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ure" sheetId="2" state="visible" r:id="rId2"/>
    <sheet name="Statistics" sheetId="3" state="visible" r:id="rId3"/>
    <sheet name="Mechanics" sheetId="4" state="visible" r:id="rId4"/>
    <sheet name="Chapter tests" sheetId="5" state="visible" r:id="rId5"/>
    <sheet name="Progress" sheetId="6" state="visible" r:id="rId6"/>
  </sheets>
  <definedNames>
    <definedName name="_xlnm.Print_Titles" localSheetId="1">'Pure'!$6:$6</definedName>
    <definedName name="_xlnm.Print_Titles" localSheetId="2">'Statistics'!$6:$6</definedName>
    <definedName name="_xlnm.Print_Titles" localSheetId="3">'Mechanics'!$6:$6</definedName>
  </definedNames>
  <calcPr calcId="124519" fullCalcOnLoad="1"/>
</workbook>
</file>

<file path=xl/styles.xml><?xml version="1.0" encoding="utf-8"?>
<styleSheet xmlns="http://schemas.openxmlformats.org/spreadsheetml/2006/main">
  <numFmts count="1">
    <numFmt numFmtId="164" formatCode="&quot;Y&quot;0"/>
  </numFmts>
  <fonts count="43">
    <font>
      <name val="Calibri"/>
      <family val="2"/>
      <color theme="1"/>
      <sz val="11"/>
      <scheme val="minor"/>
    </font>
    <font>
      <name val="Calibri"/>
      <b val="1"/>
      <color rgb="003B5BDB"/>
      <sz val="22"/>
    </font>
    <font>
      <name val="Calibri"/>
      <color rgb="006B7280"/>
      <sz val="11"/>
    </font>
    <font>
      <name val="Calibri"/>
      <b val="1"/>
      <color rgb="006B7280"/>
      <sz val="9"/>
    </font>
    <font>
      <name val="Calibri"/>
      <b val="1"/>
      <color rgb="00FFFFFF"/>
      <sz val="10"/>
    </font>
    <font>
      <name val="Calibri"/>
      <b val="1"/>
      <color rgb="003B5BDB"/>
      <sz val="13"/>
    </font>
    <font>
      <name val="Calibri"/>
      <color rgb="006B7280"/>
      <sz val="10"/>
    </font>
    <font>
      <name val="Calibri"/>
      <color rgb="006B7280"/>
      <sz val="9"/>
    </font>
    <font>
      <name val="Calibri"/>
      <color rgb="001F2937"/>
      <sz val="11"/>
    </font>
    <font>
      <name val="Calibri"/>
      <b val="1"/>
      <color rgb="001F2937"/>
      <sz val="12"/>
    </font>
    <font>
      <name val="Calibri"/>
      <color rgb="001F2937"/>
      <sz val="10"/>
    </font>
    <font>
      <name val="Calibri"/>
      <color rgb="001D4ED8"/>
      <sz val="10"/>
    </font>
    <font>
      <name val="Calibri"/>
      <i val="1"/>
      <color rgb="009CA3AF"/>
      <sz val="9"/>
    </font>
    <font>
      <name val="Calibri"/>
      <b val="1"/>
      <color rgb="003B5BDB"/>
      <sz val="9"/>
    </font>
    <font>
      <name val="Calibri"/>
      <i val="1"/>
      <color rgb="009CA3AF"/>
      <sz val="10"/>
    </font>
    <font>
      <name val="Calibri"/>
      <b val="1"/>
      <color rgb="001F2937"/>
      <sz val="11"/>
    </font>
    <font>
      <name val="Calibri"/>
      <b val="1"/>
      <color rgb="000C8599"/>
      <sz val="22"/>
    </font>
    <font>
      <name val="Calibri"/>
      <b val="1"/>
      <color rgb="000C8599"/>
      <sz val="13"/>
    </font>
    <font>
      <name val="Calibri"/>
      <b val="1"/>
      <color rgb="000C8599"/>
      <sz val="9"/>
    </font>
    <font>
      <name val="Calibri"/>
      <b val="1"/>
      <color rgb="00D9480F"/>
      <sz val="22"/>
    </font>
    <font>
      <name val="Calibri"/>
      <b val="1"/>
      <color rgb="00D9480F"/>
      <sz val="13"/>
    </font>
    <font>
      <name val="Calibri"/>
      <b val="1"/>
      <color rgb="00D9480F"/>
      <sz val="9"/>
    </font>
    <font>
      <name val="Calibri"/>
      <b val="1"/>
      <color rgb="001F2937"/>
      <sz val="22"/>
    </font>
    <font>
      <name val="Calibri"/>
      <b val="1"/>
      <color rgb="001F2937"/>
      <sz val="10"/>
    </font>
    <font>
      <name val="Calibri"/>
      <color rgb="009B1C1C"/>
      <sz val="9"/>
    </font>
    <font>
      <name val="Calibri"/>
      <b val="1"/>
      <color rgb="001F2937"/>
      <sz val="26"/>
    </font>
    <font>
      <name val="Calibri"/>
      <b val="1"/>
      <color rgb="009B1C1C"/>
      <sz val="26"/>
    </font>
    <font>
      <name val="Calibri"/>
      <b val="1"/>
      <color rgb="009B1C1C"/>
      <sz val="10"/>
    </font>
    <font>
      <name val="Calibri"/>
      <b val="1"/>
      <color rgb="008A4B00"/>
      <sz val="26"/>
    </font>
    <font>
      <name val="Calibri"/>
      <b val="1"/>
      <color rgb="008A4B00"/>
      <sz val="10"/>
    </font>
    <font>
      <name val="Calibri"/>
      <b val="1"/>
      <color rgb="001E6B3A"/>
      <sz val="26"/>
    </font>
    <font>
      <name val="Calibri"/>
      <b val="1"/>
      <color rgb="001E6B3A"/>
      <sz val="10"/>
    </font>
    <font>
      <name val="Calibri"/>
      <b val="1"/>
      <color rgb="001F2937"/>
      <sz val="14"/>
    </font>
    <font>
      <name val="Calibri"/>
      <b val="1"/>
      <color rgb="009B1C1C"/>
      <sz val="11"/>
    </font>
    <font>
      <name val="Calibri"/>
      <b val="1"/>
      <color rgb="008A4B00"/>
      <sz val="11"/>
    </font>
    <font>
      <name val="Calibri"/>
      <b val="1"/>
      <color rgb="001E6B3A"/>
      <sz val="11"/>
    </font>
    <font>
      <name val="Calibri"/>
      <b val="1"/>
      <color rgb="001F2937"/>
      <sz val="24"/>
    </font>
    <font>
      <name val="Calibri"/>
      <color rgb="006B7280"/>
      <sz val="12"/>
    </font>
    <font>
      <name val="Calibri"/>
      <b val="1"/>
      <color rgb="00FFFFFF"/>
      <sz val="16"/>
    </font>
    <font>
      <name val="Calibri"/>
      <b val="1"/>
      <color rgb="009B1C1C"/>
      <sz val="12"/>
    </font>
    <font>
      <name val="Calibri"/>
      <b val="1"/>
      <color rgb="008A4B00"/>
      <sz val="12"/>
    </font>
    <font>
      <name val="Calibri"/>
      <b val="1"/>
      <color rgb="001E6B3A"/>
      <sz val="12"/>
    </font>
    <font>
      <name val="Calibri"/>
      <b val="1"/>
      <color rgb="00FFFFFF"/>
      <sz val="11"/>
    </font>
  </fonts>
  <fills count="16">
    <fill>
      <patternFill/>
    </fill>
    <fill>
      <patternFill patternType="gray125"/>
    </fill>
    <fill>
      <patternFill patternType="solid">
        <fgColor rgb="003B5BDB"/>
      </patternFill>
    </fill>
    <fill>
      <patternFill patternType="solid">
        <fgColor rgb="00E8EDFF"/>
      </patternFill>
    </fill>
    <fill>
      <patternFill patternType="solid">
        <fgColor rgb="00FFFBEA"/>
      </patternFill>
    </fill>
    <fill>
      <patternFill patternType="solid">
        <fgColor rgb="000C8599"/>
      </patternFill>
    </fill>
    <fill>
      <patternFill patternType="solid">
        <fgColor rgb="00E3F5F7"/>
      </patternFill>
    </fill>
    <fill>
      <patternFill patternType="solid">
        <fgColor rgb="00D9480F"/>
      </patternFill>
    </fill>
    <fill>
      <patternFill patternType="solid">
        <fgColor rgb="00FFEEE3"/>
      </patternFill>
    </fill>
    <fill>
      <patternFill patternType="solid">
        <fgColor rgb="001F2937"/>
      </patternFill>
    </fill>
    <fill>
      <patternFill patternType="solid">
        <fgColor rgb="00F3F4F6"/>
      </patternFill>
    </fill>
    <fill>
      <patternFill patternType="solid">
        <fgColor rgb="00FAD4D4"/>
      </patternFill>
    </fill>
    <fill>
      <patternFill patternType="solid">
        <fgColor rgb="00FFE4C2"/>
      </patternFill>
    </fill>
    <fill>
      <patternFill patternType="solid">
        <fgColor rgb="00D4F0DC"/>
      </patternFill>
    </fill>
    <fill>
      <patternFill patternType="solid">
        <fgColor rgb="006B7280"/>
      </patternFill>
    </fill>
    <fill>
      <patternFill patternType="solid">
        <fgColor rgb="001E6B3A"/>
      </patternFill>
    </fill>
  </fills>
  <borders count="7">
    <border>
      <left/>
      <right/>
      <top/>
      <bottom/>
      <diagonal/>
    </border>
    <border>
      <bottom style="thin">
        <color rgb="00C7CDD6"/>
      </bottom>
    </border>
    <border>
      <top style="medium">
        <color rgb="003B5BDB"/>
      </top>
      <bottom style="thin">
        <color rgb="003B5BDB"/>
      </bottom>
    </border>
    <border>
      <left style="thin">
        <color rgb="00E9D98B"/>
      </left>
      <right style="thin">
        <color rgb="00E9D98B"/>
      </right>
      <top style="thin">
        <color rgb="00F3E8B0"/>
      </top>
      <bottom style="thin">
        <color rgb="00F3E8B0"/>
      </bottom>
    </border>
    <border>
      <bottom style="thin">
        <color rgb="00E5E7EB"/>
      </bottom>
    </border>
    <border>
      <top style="medium">
        <color rgb="000C8599"/>
      </top>
      <bottom style="thin">
        <color rgb="000C8599"/>
      </bottom>
    </border>
    <border>
      <top style="medium">
        <color rgb="00D9480F"/>
      </top>
      <bottom style="thin">
        <color rgb="00D9480F"/>
      </bottom>
    </border>
  </borders>
  <cellStyleXfs count="1">
    <xf numFmtId="0" fontId="0" fillId="0" borderId="0"/>
  </cellStyleXfs>
  <cellXfs count="97">
    <xf numFmtId="0" fontId="0" fillId="0" borderId="0" pivotButton="0" quotePrefix="0" xfId="0"/>
    <xf numFmtId="0" fontId="36" fillId="0" borderId="0" pivotButton="0" quotePrefix="0" xfId="0"/>
    <xf numFmtId="0" fontId="37" fillId="0" borderId="0" pivotButton="0" quotePrefix="0" xfId="0"/>
    <xf numFmtId="0" fontId="32" fillId="0" borderId="0" pivotButton="0" quotePrefix="0" xfId="0"/>
    <xf numFmtId="0" fontId="38" fillId="9" borderId="0" applyAlignment="1" pivotButton="0" quotePrefix="0" xfId="0">
      <alignment horizontal="center" vertical="center"/>
    </xf>
    <xf numFmtId="0" fontId="9" fillId="0" borderId="0" applyAlignment="1" pivotButton="0" quotePrefix="0" xfId="0">
      <alignment vertical="center" wrapText="1"/>
    </xf>
    <xf numFmtId="0" fontId="8" fillId="0" borderId="0" applyAlignment="1" pivotButton="0" quotePrefix="0" xfId="0">
      <alignment vertical="center" wrapText="1"/>
    </xf>
    <xf numFmtId="0" fontId="39" fillId="11" borderId="0" applyAlignment="1" pivotButton="0" quotePrefix="0" xfId="0">
      <alignment vertical="center" indent="1"/>
    </xf>
    <xf numFmtId="0" fontId="8" fillId="0" borderId="0" applyAlignment="1" pivotButton="0" quotePrefix="0" xfId="0">
      <alignment vertical="center"/>
    </xf>
    <xf numFmtId="0" fontId="40" fillId="12" borderId="0" applyAlignment="1" pivotButton="0" quotePrefix="0" xfId="0">
      <alignment vertical="center" indent="1"/>
    </xf>
    <xf numFmtId="0" fontId="41" fillId="13" borderId="0" applyAlignment="1" pivotButton="0" quotePrefix="0" xfId="0">
      <alignment vertical="center" indent="1"/>
    </xf>
    <xf numFmtId="0" fontId="42" fillId="2" borderId="0" applyAlignment="1" pivotButton="0" quotePrefix="0" xfId="0">
      <alignment vertical="center" indent="1"/>
    </xf>
    <xf numFmtId="0" fontId="42" fillId="5" borderId="0" applyAlignment="1" pivotButton="0" quotePrefix="0" xfId="0">
      <alignment vertical="center" indent="1"/>
    </xf>
    <xf numFmtId="0" fontId="42" fillId="7" borderId="0" applyAlignment="1" pivotButton="0" quotePrefix="0" xfId="0">
      <alignment vertical="center" indent="1"/>
    </xf>
    <xf numFmtId="0" fontId="42" fillId="14" borderId="0" applyAlignment="1" pivotButton="0" quotePrefix="0" xfId="0">
      <alignment vertical="center" indent="1"/>
    </xf>
    <xf numFmtId="0" fontId="42" fillId="15" borderId="0" applyAlignment="1" pivotButton="0" quotePrefix="0" xfId="0">
      <alignment vertical="center" indent="1"/>
    </xf>
    <xf numFmtId="0" fontId="15" fillId="0" borderId="0" applyAlignment="1" pivotButton="0" quotePrefix="0" xfId="0">
      <alignment vertical="center"/>
    </xf>
    <xf numFmtId="0" fontId="2" fillId="0" borderId="0" applyAlignment="1" pivotButton="0" quotePrefix="0" xfId="0">
      <alignment vertical="center" wrapText="1"/>
    </xf>
    <xf numFmtId="0" fontId="2" fillId="0" borderId="0" applyAlignment="1" pivotButton="0" quotePrefix="0" xfId="0">
      <alignment vertical="top" wrapText="1"/>
    </xf>
    <xf numFmtId="0" fontId="1" fillId="0" borderId="0" pivotButton="0" quotePrefix="0" xfId="0"/>
    <xf numFmtId="0" fontId="2" fillId="0" borderId="0" pivotButton="0" quotePrefix="0" xfId="0"/>
    <xf numFmtId="0" fontId="15" fillId="0" borderId="0" pivotButton="0" quotePrefix="0" xfId="0"/>
    <xf numFmtId="0" fontId="3" fillId="0" borderId="1" applyAlignment="1" pivotButton="0" quotePrefix="0" xfId="0">
      <alignment horizontal="left"/>
    </xf>
    <xf numFmtId="0" fontId="0" fillId="0" borderId="1" pivotButton="0" quotePrefix="0" xfId="0"/>
    <xf numFmtId="0" fontId="3" fillId="0" borderId="1" applyAlignment="1" pivotButton="0" quotePrefix="0" xfId="0">
      <alignment horizontal="center"/>
    </xf>
    <xf numFmtId="0" fontId="4" fillId="2" borderId="0" applyAlignment="1" pivotButton="0" quotePrefix="0" xfId="0">
      <alignment horizontal="center" vertical="center"/>
    </xf>
    <xf numFmtId="0" fontId="4" fillId="2" borderId="0" applyAlignment="1" pivotButton="0" quotePrefix="0" xfId="0">
      <alignment horizontal="left" vertical="center"/>
    </xf>
    <xf numFmtId="0" fontId="5" fillId="3" borderId="2" applyAlignment="1" pivotButton="0" quotePrefix="0" xfId="0">
      <alignment horizontal="center" vertical="center"/>
    </xf>
    <xf numFmtId="0" fontId="5" fillId="3" borderId="2" applyAlignment="1" pivotButton="0" quotePrefix="0" xfId="0">
      <alignment vertical="center"/>
    </xf>
    <xf numFmtId="0" fontId="0" fillId="3" borderId="2" applyAlignment="1" pivotButton="0" quotePrefix="0" xfId="0">
      <alignment vertical="center"/>
    </xf>
    <xf numFmtId="0" fontId="6" fillId="3" borderId="2" applyAlignment="1" pivotButton="0" quotePrefix="0" xfId="0">
      <alignment vertical="center"/>
    </xf>
    <xf numFmtId="0" fontId="7" fillId="0" borderId="4" applyAlignment="1" pivotButton="0" quotePrefix="0" xfId="0">
      <alignment horizontal="center" vertical="center"/>
    </xf>
    <xf numFmtId="0" fontId="8" fillId="0" borderId="4" applyAlignment="1" pivotButton="0" quotePrefix="0" xfId="0">
      <alignment vertical="center" wrapText="1"/>
    </xf>
    <xf numFmtId="164" fontId="7" fillId="0" borderId="4" applyAlignment="1" pivotButton="0" quotePrefix="0" xfId="0">
      <alignment horizontal="center" vertical="center"/>
    </xf>
    <xf numFmtId="0" fontId="9" fillId="4" borderId="3" applyAlignment="1" pivotButton="0" quotePrefix="0" xfId="0">
      <alignment horizontal="center" vertical="center"/>
    </xf>
    <xf numFmtId="0" fontId="10" fillId="0" borderId="4" applyAlignment="1" pivotButton="0" quotePrefix="0" xfId="0">
      <alignment vertical="center" wrapText="1"/>
    </xf>
    <xf numFmtId="0" fontId="11" fillId="0" borderId="4" applyAlignment="1" pivotButton="0" quotePrefix="0" xfId="0">
      <alignment horizontal="center" vertical="center" wrapText="1"/>
    </xf>
    <xf numFmtId="0" fontId="11" fillId="0" borderId="4" applyAlignment="1" pivotButton="0" quotePrefix="0" xfId="0">
      <alignment horizontal="center" vertical="center"/>
    </xf>
    <xf numFmtId="0" fontId="12" fillId="0" borderId="4" applyAlignment="1" pivotButton="0" quotePrefix="0" xfId="0">
      <alignment horizontal="center" vertical="center"/>
    </xf>
    <xf numFmtId="164" fontId="13" fillId="0" borderId="4" applyAlignment="1" pivotButton="0" quotePrefix="0" xfId="0">
      <alignment horizontal="center" vertical="center"/>
    </xf>
    <xf numFmtId="0" fontId="0" fillId="0" borderId="4" applyAlignment="1" pivotButton="0" quotePrefix="0" xfId="0">
      <alignment horizontal="center" vertical="center"/>
    </xf>
    <xf numFmtId="0" fontId="0" fillId="0" borderId="4" pivotButton="0" quotePrefix="0" xfId="0"/>
    <xf numFmtId="0" fontId="14" fillId="0" borderId="4" applyAlignment="1" pivotButton="0" quotePrefix="0" xfId="0">
      <alignment vertical="center" wrapText="1"/>
    </xf>
    <xf numFmtId="0" fontId="16" fillId="0" borderId="0" pivotButton="0" quotePrefix="0" xfId="0"/>
    <xf numFmtId="0" fontId="4" fillId="5" borderId="0" applyAlignment="1" pivotButton="0" quotePrefix="0" xfId="0">
      <alignment horizontal="center" vertical="center"/>
    </xf>
    <xf numFmtId="0" fontId="4" fillId="5" borderId="0" applyAlignment="1" pivotButton="0" quotePrefix="0" xfId="0">
      <alignment horizontal="left" vertical="center"/>
    </xf>
    <xf numFmtId="0" fontId="17" fillId="6" borderId="5" applyAlignment="1" pivotButton="0" quotePrefix="0" xfId="0">
      <alignment horizontal="center" vertical="center"/>
    </xf>
    <xf numFmtId="0" fontId="17" fillId="6" borderId="5" applyAlignment="1" pivotButton="0" quotePrefix="0" xfId="0">
      <alignment vertical="center"/>
    </xf>
    <xf numFmtId="0" fontId="0" fillId="6" borderId="5" applyAlignment="1" pivotButton="0" quotePrefix="0" xfId="0">
      <alignment vertical="center"/>
    </xf>
    <xf numFmtId="0" fontId="6" fillId="6" borderId="5" applyAlignment="1" pivotButton="0" quotePrefix="0" xfId="0">
      <alignment vertical="center"/>
    </xf>
    <xf numFmtId="164" fontId="18" fillId="0" borderId="4" applyAlignment="1" pivotButton="0" quotePrefix="0" xfId="0">
      <alignment horizontal="center" vertical="center"/>
    </xf>
    <xf numFmtId="0" fontId="19" fillId="0" borderId="0" pivotButton="0" quotePrefix="0" xfId="0"/>
    <xf numFmtId="0" fontId="4" fillId="7" borderId="0" applyAlignment="1" pivotButton="0" quotePrefix="0" xfId="0">
      <alignment horizontal="center" vertical="center"/>
    </xf>
    <xf numFmtId="0" fontId="4" fillId="7" borderId="0" applyAlignment="1" pivotButton="0" quotePrefix="0" xfId="0">
      <alignment horizontal="left" vertical="center"/>
    </xf>
    <xf numFmtId="0" fontId="20" fillId="8" borderId="6" applyAlignment="1" pivotButton="0" quotePrefix="0" xfId="0">
      <alignment horizontal="center" vertical="center"/>
    </xf>
    <xf numFmtId="0" fontId="20" fillId="8" borderId="6" applyAlignment="1" pivotButton="0" quotePrefix="0" xfId="0">
      <alignment vertical="center"/>
    </xf>
    <xf numFmtId="0" fontId="0" fillId="8" borderId="6" applyAlignment="1" pivotButton="0" quotePrefix="0" xfId="0">
      <alignment vertical="center"/>
    </xf>
    <xf numFmtId="0" fontId="6" fillId="8" borderId="6" applyAlignment="1" pivotButton="0" quotePrefix="0" xfId="0">
      <alignment vertical="center"/>
    </xf>
    <xf numFmtId="164" fontId="21" fillId="0" borderId="4" applyAlignment="1" pivotButton="0" quotePrefix="0" xfId="0">
      <alignment horizontal="center" vertical="center"/>
    </xf>
    <xf numFmtId="0" fontId="22" fillId="0" borderId="0" pivotButton="0" quotePrefix="0" xfId="0"/>
    <xf numFmtId="0" fontId="4" fillId="9" borderId="0" applyAlignment="1" pivotButton="0" quotePrefix="0" xfId="0">
      <alignment horizontal="left" vertical="center"/>
    </xf>
    <xf numFmtId="0" fontId="4" fillId="9" borderId="0" applyAlignment="1" pivotButton="0" quotePrefix="0" xfId="0">
      <alignment horizontal="center" vertical="center"/>
    </xf>
    <xf numFmtId="0" fontId="5" fillId="3" borderId="2" pivotButton="0" quotePrefix="0" xfId="0"/>
    <xf numFmtId="0" fontId="0" fillId="3" borderId="2" pivotButton="0" quotePrefix="0" xfId="0"/>
    <xf numFmtId="0" fontId="6" fillId="3" borderId="2" pivotButton="0" quotePrefix="0" xfId="0"/>
    <xf numFmtId="0" fontId="7" fillId="0" borderId="4" applyAlignment="1" pivotButton="0" quotePrefix="0" xfId="0">
      <alignment vertical="center" wrapText="1"/>
    </xf>
    <xf numFmtId="0" fontId="23" fillId="4" borderId="0" applyAlignment="1" pivotButton="0" quotePrefix="0" xfId="0">
      <alignment horizontal="center" vertical="center"/>
    </xf>
    <xf numFmtId="0" fontId="23" fillId="0" borderId="4" applyAlignment="1" pivotButton="0" quotePrefix="0" xfId="0">
      <alignment vertical="center" wrapText="1"/>
    </xf>
    <xf numFmtId="0" fontId="24" fillId="0" borderId="4" applyAlignment="1" pivotButton="0" quotePrefix="0" xfId="0">
      <alignment vertical="center" wrapText="1"/>
    </xf>
    <xf numFmtId="0" fontId="17" fillId="6" borderId="5" pivotButton="0" quotePrefix="0" xfId="0"/>
    <xf numFmtId="0" fontId="0" fillId="6" borderId="5" pivotButton="0" quotePrefix="0" xfId="0"/>
    <xf numFmtId="0" fontId="6" fillId="6" borderId="5" pivotButton="0" quotePrefix="0" xfId="0"/>
    <xf numFmtId="0" fontId="20" fillId="8" borderId="6" pivotButton="0" quotePrefix="0" xfId="0"/>
    <xf numFmtId="0" fontId="0" fillId="8" borderId="6" pivotButton="0" quotePrefix="0" xfId="0"/>
    <xf numFmtId="0" fontId="6" fillId="8" borderId="6" pivotButton="0" quotePrefix="0" xfId="0"/>
    <xf numFmtId="0" fontId="25" fillId="10" borderId="0" applyAlignment="1" pivotButton="0" quotePrefix="0" xfId="0">
      <alignment horizontal="center" vertical="center"/>
    </xf>
    <xf numFmtId="0" fontId="26" fillId="11" borderId="0" applyAlignment="1" pivotButton="0" quotePrefix="0" xfId="0">
      <alignment horizontal="center" vertical="center"/>
    </xf>
    <xf numFmtId="0" fontId="0" fillId="11" borderId="0" pivotButton="0" quotePrefix="0" xfId="0"/>
    <xf numFmtId="0" fontId="28" fillId="12" borderId="0" applyAlignment="1" pivotButton="0" quotePrefix="0" xfId="0">
      <alignment horizontal="center" vertical="center"/>
    </xf>
    <xf numFmtId="0" fontId="0" fillId="12" borderId="0" pivotButton="0" quotePrefix="0" xfId="0"/>
    <xf numFmtId="0" fontId="30" fillId="13" borderId="0" applyAlignment="1" pivotButton="0" quotePrefix="0" xfId="0">
      <alignment horizontal="center" vertical="center"/>
    </xf>
    <xf numFmtId="0" fontId="0" fillId="13" borderId="0" pivotButton="0" quotePrefix="0" xfId="0"/>
    <xf numFmtId="0" fontId="23" fillId="10" borderId="0" applyAlignment="1" pivotButton="0" quotePrefix="0" xfId="0">
      <alignment horizontal="center"/>
    </xf>
    <xf numFmtId="0" fontId="27" fillId="11" borderId="0" applyAlignment="1" pivotButton="0" quotePrefix="0" xfId="0">
      <alignment horizontal="center"/>
    </xf>
    <xf numFmtId="0" fontId="29" fillId="12" borderId="0" applyAlignment="1" pivotButton="0" quotePrefix="0" xfId="0">
      <alignment horizontal="center"/>
    </xf>
    <xf numFmtId="0" fontId="31" fillId="13" borderId="0" applyAlignment="1" pivotButton="0" quotePrefix="0" xfId="0">
      <alignment horizontal="center"/>
    </xf>
    <xf numFmtId="0" fontId="33" fillId="11" borderId="4" pivotButton="0" quotePrefix="0" xfId="0"/>
    <xf numFmtId="0" fontId="0" fillId="0" borderId="4" applyAlignment="1" pivotButton="0" quotePrefix="0" xfId="0">
      <alignment horizontal="center"/>
    </xf>
    <xf numFmtId="0" fontId="0" fillId="4" borderId="4" applyAlignment="1" pivotButton="0" quotePrefix="0" xfId="0">
      <alignment horizontal="center"/>
    </xf>
    <xf numFmtId="0" fontId="6" fillId="0" borderId="4" pivotButton="0" quotePrefix="0" xfId="0"/>
    <xf numFmtId="0" fontId="34" fillId="12" borderId="4" pivotButton="0" quotePrefix="0" xfId="0"/>
    <xf numFmtId="0" fontId="35" fillId="13" borderId="4" pivotButton="0" quotePrefix="0" xfId="0"/>
    <xf numFmtId="0" fontId="0" fillId="0" borderId="0" applyAlignment="1" pivotButton="0" quotePrefix="0" xfId="0">
      <alignment horizontal="center"/>
    </xf>
    <xf numFmtId="0" fontId="15" fillId="0" borderId="0" applyAlignment="1" pivotButton="0" quotePrefix="0" xfId="0">
      <alignment horizontal="center"/>
    </xf>
    <xf numFmtId="0" fontId="0" fillId="4" borderId="0" applyAlignment="1" pivotButton="0" quotePrefix="0" xfId="0">
      <alignment horizontal="center"/>
    </xf>
    <xf numFmtId="0" fontId="8" fillId="0" borderId="4" pivotButton="0" quotePrefix="0" xfId="0"/>
    <xf numFmtId="9" fontId="0" fillId="0" borderId="4" applyAlignment="1" pivotButton="0" quotePrefix="0" xfId="0">
      <alignment horizontal="center"/>
    </xf>
  </cellXfs>
  <cellStyles count="1">
    <cellStyle name="Normal" xfId="0" builtinId="0" hidden="0"/>
  </cellStyles>
  <dxfs count="9">
    <dxf>
      <font>
        <b val="1"/>
        <color rgb="009B1C1C"/>
      </font>
      <fill>
        <patternFill patternType="solid">
          <fgColor rgb="00FAD4D4"/>
        </patternFill>
      </fill>
    </dxf>
    <dxf>
      <font>
        <b val="1"/>
        <color rgb="008A4B00"/>
      </font>
      <fill>
        <patternFill patternType="solid">
          <fgColor rgb="00FFE4C2"/>
        </patternFill>
      </fill>
    </dxf>
    <dxf>
      <font>
        <b val="1"/>
        <color rgb="001E6B3A"/>
      </font>
      <fill>
        <patternFill patternType="solid">
          <fgColor rgb="00D4F0DC"/>
        </patternFill>
      </fill>
    </dxf>
    <dxf>
      <fill>
        <patternFill patternType="solid">
          <fgColor rgb="00FAD4D4"/>
        </patternFill>
      </fill>
    </dxf>
    <dxf>
      <fill>
        <patternFill patternType="solid">
          <fgColor rgb="00FFE4C2"/>
        </patternFill>
      </fill>
    </dxf>
    <dxf>
      <fill>
        <patternFill patternType="solid">
          <fgColor rgb="00D4F0DC"/>
        </patternFill>
      </fill>
    </dxf>
    <dxf>
      <font>
        <color rgb="009B1C1C"/>
      </font>
      <fill>
        <patternFill patternType="solid">
          <fgColor rgb="00FAD4D4"/>
        </patternFill>
      </fill>
    </dxf>
    <dxf>
      <font>
        <color rgb="008A4B00"/>
      </font>
      <fill>
        <patternFill patternType="solid">
          <fgColor rgb="00FFE4C2"/>
        </patternFill>
      </fill>
    </dxf>
    <dxf>
      <font>
        <color rgb="001E6B3A"/>
      </font>
      <fill>
        <patternFill patternType="solid">
          <fgColor rgb="00D4F0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Ratings by topic area</a:t>
            </a:r>
          </a:p>
        </rich>
      </tx>
    </title>
    <plotArea>
      <barChart>
        <barDir val="bar"/>
        <grouping val="stacked"/>
        <ser>
          <idx val="0"/>
          <order val="0"/>
          <tx>
            <strRef>
              <f>'Progress'!C30</f>
            </strRef>
          </tx>
          <spPr>
            <a:solidFill>
              <a:srgbClr val="E57373"/>
            </a:solidFill>
            <a:ln>
              <a:solidFill>
                <a:srgbClr val="E57373"/>
              </a:solidFill>
              <a:prstDash val="solid"/>
            </a:ln>
          </spPr>
          <cat>
            <numRef>
              <f>'Progress'!$A$31:$A$49</f>
            </numRef>
          </cat>
          <val>
            <numRef>
              <f>'Progress'!$C$31:$C$49</f>
            </numRef>
          </val>
        </ser>
        <ser>
          <idx val="1"/>
          <order val="1"/>
          <tx>
            <strRef>
              <f>'Progress'!D30</f>
            </strRef>
          </tx>
          <spPr>
            <a:solidFill>
              <a:srgbClr val="F6AE5B"/>
            </a:solidFill>
            <a:ln>
              <a:solidFill>
                <a:srgbClr val="F6AE5B"/>
              </a:solidFill>
              <a:prstDash val="solid"/>
            </a:ln>
          </spPr>
          <cat>
            <numRef>
              <f>'Progress'!$A$31:$A$49</f>
            </numRef>
          </cat>
          <val>
            <numRef>
              <f>'Progress'!$D$31:$D$49</f>
            </numRef>
          </val>
        </ser>
        <ser>
          <idx val="2"/>
          <order val="2"/>
          <tx>
            <strRef>
              <f>'Progress'!E30</f>
            </strRef>
          </tx>
          <spPr>
            <a:solidFill>
              <a:srgbClr val="5DBB7A"/>
            </a:solidFill>
            <a:ln>
              <a:solidFill>
                <a:srgbClr val="5DBB7A"/>
              </a:solidFill>
              <a:prstDash val="solid"/>
            </a:ln>
          </spPr>
          <cat>
            <numRef>
              <f>'Progress'!$A$31:$A$49</f>
            </numRef>
          </cat>
          <val>
            <numRef>
              <f>'Progress'!$E$31:$E$49</f>
            </numRef>
          </val>
        </ser>
        <gapWidth val="150"/>
        <overlap val="100"/>
        <axId val="10"/>
        <axId val="100"/>
      </barChart>
      <catAx>
        <axId val="10"/>
        <scaling>
          <orientation val="maxMin"/>
        </scaling>
        <axPos val="l"/>
        <majorTickMark val="none"/>
        <minorTickMark val="none"/>
        <crossAx val="100"/>
        <lblOffset val="100"/>
      </catAx>
      <valAx>
        <axId val="100"/>
        <scaling>
          <orientation val="minMax"/>
        </scaling>
        <axPos val="l"/>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Tracker</author>
  </authors>
  <commentList>
    <comment ref="G9" authorId="0" shapeId="0">
      <text>
        <t>Question 11 (a) (page 9)
Question 12 (page 10)
Question 14 (page 11)
Question 15 (page 11)
Question 17 (a) (page 13)
Question 18 (a) (page 14)
Question 28 (page 24)
Question 32 (b) (page 28)
Source: Question Set 7: Algebraic Methods exam questions</t>
      </text>
    </comment>
    <comment ref="J9" authorId="0" shapeId="0">
      <text>
        <t>Page 1: the question starting there (a)
Page 2: the question starting there (ii)
Page 3: the question starting there (b)
Page 4: the question starting there (i)
Page 5: the question starting there
Source: Proof</t>
      </text>
    </comment>
    <comment ref="N9" authorId="0" shapeId="0">
      <text>
        <t>Page 1: the question starting there (i)
Page 2: the question starting there
Page 3: the question starting there (a)
Page 4: the question starting there (a)
Page 5: the question starting there
Source: Ch4 Graphs and Transformations + Ch7 Algebraic Methods Exam Questions 2</t>
      </text>
    </comment>
    <comment ref="G10" authorId="0" shapeId="0">
      <text>
        <t>Question 8 (page 7)
Question 11 (b) (page 9)
Question 13 (page 10)
Question 17 (b) (page 13)
Question 18 (b) (page 14)
Question 24 (b) (page 19)
Question 32 (a) (page 28)
Question 35 (page 31)
Source: Question Set 7: Algebraic Methods exam questions</t>
      </text>
    </comment>
    <comment ref="J10" authorId="0" shapeId="0">
      <text>
        <t>Question 1 (a,b) (page 1)
Question 3 (page 1)
Question 7 (a,c) (page 1)
Question 8 (c) (page 1)
Source: 2a. Mixed exam-style questions on proof</t>
      </text>
    </comment>
    <comment ref="N10" authorId="0" shapeId="0">
      <text>
        <t>Page 1: the question starting there (a)
Page 3: the question starting there (ii)
Source: Ch1 Algebraic Methods Exam Questions</t>
      </text>
    </comment>
    <comment ref="G11" authorId="0" shapeId="0">
      <text>
        <t>Question 13 (page 7)
Question 14 (page 7)
Question 15 (page 8)
Question 16 (page 9)
Question 17 (page 10)
Question 18 (page 11)
Source: Question Set 1: Algebraic Methods exam questions</t>
      </text>
    </comment>
    <comment ref="J11" authorId="0" shapeId="0">
      <text>
        <t>Page 4: the question starting there (ii)
Source: Proof</t>
      </text>
    </comment>
    <comment ref="N11" authorId="0" shapeId="0">
      <text>
        <t>Page 4: the question starting there
Source: Ch1 Algebraic Methods Exam Questions</t>
      </text>
    </comment>
    <comment ref="G14" authorId="0" shapeId="0">
      <text>
        <t>Question 1 (page 1)
Question 2 (page 1)
Question 3 (page 1)
Question 4 (page 2)
Question 5 (page 2)
Question 6 (a) (page 3)
Question 8 (page 4)
Question 10 (page 5)
Source: Exam Booklet</t>
      </text>
    </comment>
    <comment ref="J14" authorId="0" shapeId="0">
      <text>
        <t>Page 1: the question starting there
Source: Exponential Equations</t>
      </text>
    </comment>
    <comment ref="N14" authorId="0" shapeId="0">
      <text>
        <t>Page 1: the question starting there (i)
Page 2: the question starting there (ii)
Page 4: the question starting there
Page 6: the question starting there (i)
Page 7: the question starting there (i)
Page 9: the question starting there
Source: Ch1 Algebraic Expression Exam Questions</t>
      </text>
    </comment>
    <comment ref="G15" authorId="0" shapeId="0">
      <text>
        <t>Question 1 (page 1)
Question 2 (page 1)
Question 3 (page 1)
Source: Exam Booklet</t>
      </text>
    </comment>
    <comment ref="J15" authorId="0" shapeId="0">
      <text>
        <t>Question 4 (page 1)
Question 5 (page 1)
Question 6 (page 1)
Question 7 (page 1)
Question 8 (page 2)
Question 9 (page 2)
Question 10 (page 2)
Question 11 (page 2)
Source: 01a. Indices</t>
      </text>
    </comment>
    <comment ref="N15" authorId="0" shapeId="0">
      <text>
        <t>Page 4: the question starting there
Page 7: the question starting there (i)
Page 8: the question starting there
Source: Ch1 Algebraic Expression Exam Questions</t>
      </text>
    </comment>
    <comment ref="G16" authorId="0" shapeId="0">
      <text>
        <t>Question 2 (page 1)
Question 3 (page 1)
Question 5 (page 2)
Question 6 (page 2)
Question 8 (page 2)
Question 9 (page 3)
Question 11 (page 4)
Source: A Level Maths: Algebraic Expressions — Medium</t>
      </text>
    </comment>
    <comment ref="J16" authorId="0" shapeId="0">
      <text>
        <t>Question 4 (page 1)
Question 5 (page 1)
Question 7 (page 1)
Question 8 (page 1)
Question 9 (page 2)
Question 11 (page 2)
Question 12 (page 2)
Question 15 (page 2)
Source: 02a. Surds</t>
      </text>
    </comment>
    <comment ref="N16" authorId="0" shapeId="0">
      <text>
        <t>Page 2: the question starting there (i)
Page 5: the question starting there
Page 6: the question starting there (ii)
Page 7: the question starting there (ii)
Page 10: the question starting there
Page 11: the question starting there
Page 12: the question starting there
Page 13: the question starting there (b)
Source: Ch1 Algebraic Expression Exam Questions</t>
      </text>
    </comment>
    <comment ref="G17" authorId="0" shapeId="0">
      <text>
        <t>Question 11 (a) (page 6)
Question 15 (page 9)
Source: Question Set 2: Quadratics exam questions</t>
      </text>
    </comment>
    <comment ref="J17" authorId="0" shapeId="0">
      <text>
        <t>Page 1: the question starting there (a)
Source: Quadratics</t>
      </text>
    </comment>
    <comment ref="G18" authorId="0" shapeId="0">
      <text>
        <t>Question 1 (page 1)
Question 2 (page 1)
Question 3 (a) (page 2)
Question 4 (page 3)
Question 5 (page 3)
Question 6 (page 4)
Question 7 (page 5)
Source: 2.2 Completing the Square</t>
      </text>
    </comment>
    <comment ref="J18" authorId="0" shapeId="0">
      <text>
        <t>Page 6: the question starting there (a)
Source: Quadratics</t>
      </text>
    </comment>
    <comment ref="N18" authorId="0" shapeId="0">
      <text>
        <t>Page 11: the question starting there (a)
Source: Ch2 Quadratics and Ch3 Equations and Inequalities Exam Questions</t>
      </text>
    </comment>
    <comment ref="G19" authorId="0" shapeId="0">
      <text>
        <t>Question 12 (page 7)
Question 14 (b) (page 8)
Question 18 (b) (page 12)
Question 19 (page 13)
Question 24 (b) (page 18)
Source: Question Set 2: Quadratics exam questions</t>
      </text>
    </comment>
    <comment ref="J19" authorId="0" shapeId="0">
      <text>
        <t>Page 6: the question starting there (b)
Source: Quadratics</t>
      </text>
    </comment>
    <comment ref="N19" authorId="0" shapeId="0">
      <text>
        <t>Page 11: the question starting there (b)
Source: Ch2 Quadratics and Ch3 Equations and Inequalities Exam Questions</t>
      </text>
    </comment>
    <comment ref="G20" authorId="0" shapeId="0">
      <text>
        <t>Question 1 (page 1)
Question 2 (page 1)
Question 3 (page 2)
Question 4 (page 3)
Question 5 (page 4)
Question 6 (page 5)
Question 7 (page 6)
Question 8 (page 7)
Source: 2.4 The Discriminant</t>
      </text>
    </comment>
    <comment ref="J20" authorId="0" shapeId="0">
      <text>
        <t>Page 3: the question starting there (b)
Page 5: the question starting there (b)
Source: Circles</t>
      </text>
    </comment>
    <comment ref="N20" authorId="0" shapeId="0">
      <text>
        <t>Page 3: the question starting there
Page 4: the question starting there
Page 6: the question starting there
Page 7: the question starting there
Page 8: the question starting there (c,d)
Page 9: the question starting there
Page 10: the question starting there
Page 13: the question starting there
Source: Ch2 Quadratics and Ch3 Equations and Inequalities Exam Questions</t>
      </text>
    </comment>
    <comment ref="G21" authorId="0" shapeId="0">
      <text>
        <t>Question 6 (b) (page 3)
Question 7 (page 4)
Question 9 (b) (page 5)
Source: Exam Booklet</t>
      </text>
    </comment>
    <comment ref="J21" authorId="0" shapeId="0">
      <text>
        <t>Page 1: the question starting there (b)
Page 4: the question starting there
Source: Quadratics</t>
      </text>
    </comment>
    <comment ref="N21" authorId="0" shapeId="0">
      <text>
        <t>Page 1: the question starting there (ii)
Page 3: the question starting there
Source: Ch1 Algebraic Expression Exam Questions</t>
      </text>
    </comment>
    <comment ref="J22" authorId="0" shapeId="0">
      <text>
        <t>Question 1 (page 1)
Source: 08a. Simultaneous equations</t>
      </text>
    </comment>
    <comment ref="G23" authorId="0" shapeId="0">
      <text>
        <t>Question 3 (page 2)
Question 5 (page 3)
Question 6 (page 4)
Question 7 (page 5)
Question 12 (page 8)
Source: Question Set 3: Equations and Inequalities exam questions</t>
      </text>
    </comment>
    <comment ref="J23" authorId="0" shapeId="0">
      <text>
        <t>Question 2 (page 1)
Question 3 (page 1)
Question 4 (page 1)
Question 5 (page 1)
Source: 08a. Simultaneous equations</t>
      </text>
    </comment>
    <comment ref="N23" authorId="0" shapeId="0">
      <text>
        <t>Page 8: the question starting there (b)
Source: Ch2 Quadratics and Ch3 Equations and Inequalities Exam Questions</t>
      </text>
    </comment>
    <comment ref="G24" authorId="0" shapeId="0">
      <text>
        <t>Question 8 (b) (page 6)
Question 13 (page 8)
Source: Question Set 3: Equations and Inequalities exam questions</t>
      </text>
    </comment>
    <comment ref="J24" authorId="0" shapeId="0">
      <text>
        <t>Question 1 (page 1)
Question 2 (page 1)
Source: 09a. Inequalities</t>
      </text>
    </comment>
    <comment ref="N24" authorId="0" shapeId="0">
      <text>
        <t>Page 5: the question starting there (a,c)
Source: Ch2 Quadratics and Ch3 Equations and Inequalities Exam Questions</t>
      </text>
    </comment>
    <comment ref="G25" authorId="0" shapeId="0">
      <text>
        <t>Question 1 (a) (page 1)
Question 2 (page 2)
Question 4 (page 3)
Question 8 (a) (page 6)
Question 9 (page 7)
Question 11 (page 7)
Question 14 (b) (page 9)
Question 15 (page 10)
Source: Question Set 3: Equations and Inequalities exam questions</t>
      </text>
    </comment>
    <comment ref="J25" authorId="0" shapeId="0">
      <text>
        <t>Page 1: the question starting there
Source: Inequalities</t>
      </text>
    </comment>
    <comment ref="N25" authorId="0" shapeId="0">
      <text>
        <t>Page 4: the question starting there (b)
Page 5: the question starting there (b)
Page 6: the question starting there (b)
Page 7: the question starting there (b)
Page 9: the question starting there (b)
Page 13: the question starting there (b)
Source: Ch2 Quadratics and Ch3 Equations and Inequalities Exam Questions</t>
      </text>
    </comment>
    <comment ref="J26" authorId="0" shapeId="0">
      <text>
        <t>Page 2: the question starting there
Source: Inequalities</t>
      </text>
    </comment>
    <comment ref="N26" authorId="0" shapeId="0">
      <text>
        <t>Page 6: the question starting there
Source: Ch2 Functions and Graphs Exam Questions 1</t>
      </text>
    </comment>
    <comment ref="G27" authorId="0" shapeId="0">
      <text>
        <t>Question 13 (page 6)
Question 14 (page 7)
Source: Exam Booklet</t>
      </text>
    </comment>
    <comment ref="J27" authorId="0" shapeId="0">
      <text>
        <t>Question 1 (page 1)
Question 2 (page 1)
Question 3 (page 1)
Question 4 (page 1)
Question 5 (page 1)
Question 6 (page 1)
Source: 11a. Polynomials</t>
      </text>
    </comment>
    <comment ref="G28" authorId="0" shapeId="0">
      <text>
        <t>Question 11 (page 6)
Question 12 (page 6)
Source: Exam Booklet</t>
      </text>
    </comment>
    <comment ref="J28" authorId="0" shapeId="0">
      <text>
        <t>Page 2: the question starting there (a)
Source: Stationary Points</t>
      </text>
    </comment>
    <comment ref="N28" authorId="0" shapeId="0">
      <text>
        <t>Page 5: the question starting there (a)
Source: Ch4 Graphs and Transformations + Ch7 Algebraic Methods Exam Questions 1</t>
      </text>
    </comment>
    <comment ref="J29" authorId="0" shapeId="0">
      <text>
        <t>Question 1 (page 1)
Question 4 (page 1)
Source: 02a. Rational expressions</t>
      </text>
    </comment>
    <comment ref="G30" authorId="0" shapeId="0">
      <text>
        <t>Question 1 (page 1)
Question 2 (b) (page 2)
Question 25 (b) (page 20)
Question 29 (b) (page 25)
Question 33 (b) (page 29)
Source: Question Set 7: Algebraic Methods exam questions</t>
      </text>
    </comment>
    <comment ref="J30" authorId="0" shapeId="0">
      <text>
        <t>Page 1: the question starting there (b)
Source: Factor Theorem</t>
      </text>
    </comment>
    <comment ref="N30" authorId="0" shapeId="0">
      <text>
        <t>Page 1: the question starting there (b)
Page 3: the question starting there (b)
Page 4: the question starting there (b)
Page 6: the question starting there (b)
Page 8: the question starting there (c)
Page 13: the question starting there (b)
Source: Ch4 Graphs and Transformations + Ch7 Algebraic Methods Exam Questions 1</t>
      </text>
    </comment>
    <comment ref="G31" authorId="0" shapeId="0">
      <text>
        <t>Question 1 (page 1)
Question 2 (a) (page 2)
Question 3 (page 3)
Question 4 (a) (page 4)
Question 5 (page 5)
Question 6 (a) (page 6)
Question 21 (page 16)
Question 33 (a) (page 29)
Source: Question Set 7: Algebraic Methods exam questions</t>
      </text>
    </comment>
    <comment ref="J31" authorId="0" shapeId="0">
      <text>
        <t>Page 1: the question starting there (a)
Page 2: the question starting there
Page 3: the question starting there
Page 5: the question starting there (a)
Source: Factor Theorem</t>
      </text>
    </comment>
    <comment ref="N31" authorId="0" shapeId="0">
      <text>
        <t>Page 1: the question starting there (a)
Page 3: the question starting there (a)
Page 4: the question starting there (a)
Page 6: the question starting there (a)
Page 8: the question starting there (a,b)
Page 13: the question starting there (a)
Source: Ch4 Graphs and Transformations + Ch7 Algebraic Methods Exam Questions 1</t>
      </text>
    </comment>
    <comment ref="G32" authorId="0" shapeId="0">
      <text>
        <t>Question 18 (a) (page 17)
Question 19 (a) (page 18)
Source: Question Set 9: Differentiation exam questions</t>
      </text>
    </comment>
    <comment ref="J32" authorId="0" shapeId="0">
      <text>
        <t>Question 2 (page 1)
Question 3 (page 1)
Question 5 (page 1)
Question 6 (page 2)
Question 8 (page 2)
Question 9 (page 2)
Question 10 (page 2)
Question 13 (page 2)
Source: 02a. Rational expressions</t>
      </text>
    </comment>
    <comment ref="N32" authorId="0" shapeId="0">
      <text>
        <t>Page 15: the question starting there (a)
Source: Ch2 Functions and Graphs Exam Questions 1</t>
      </text>
    </comment>
    <comment ref="G33" authorId="0" shapeId="0">
      <text>
        <t>Question 5 (page 3)
Question 6 (page 3)
Question 7 (page 4)
Question 8 (page 4)
Question 9 (page 5)
Source: Question Set 1: Algebraic Methods exam questions</t>
      </text>
    </comment>
    <comment ref="J33" authorId="0" shapeId="0">
      <text>
        <t>Page 2: the question starting there (b)
Source: Composite and Inverse Functions</t>
      </text>
    </comment>
    <comment ref="N33" authorId="0" shapeId="0">
      <text>
        <t>Page 10: the question starting there (a)
Source: Ch11 Integration Exam Questions 1</t>
      </text>
    </comment>
    <comment ref="G34" authorId="0" shapeId="0">
      <text>
        <t>Question 1 (a) (page 2)
Question 7 (a) (page 9)
Question 8 (a) (page 10)
Question 15 (a) (page 16)
Question 16 (b) (page 17)
Question 18 (page 19)
Question 20 (a) (page 20)
Question 21 (a) (page 21)
Source: Question Set 4: Graphs and Transformations exam questions</t>
      </text>
    </comment>
    <comment ref="J34" authorId="0" shapeId="0">
      <text>
        <t>Page 3: the question starting there (b,c)
Source: Transformations and Graphs</t>
      </text>
    </comment>
    <comment ref="N34" authorId="0" shapeId="0">
      <text>
        <t>Page 5: the question starting there (b)
Page 11: the question starting there (a)
Source: Ch4 Graphs and Transformations + Ch7 Algebraic Methods Exam Questions 1</t>
      </text>
    </comment>
    <comment ref="J35" authorId="0" shapeId="0">
      <text>
        <t>Question 1 (b) (page 1)
Source: 14a. Graphs of functions</t>
      </text>
    </comment>
    <comment ref="G36" authorId="0" shapeId="0">
      <text>
        <t>Question 2 (a) (page 3)
Question 6 (page 8)
Question 13 (page 14)
Question 14 (page 15)
Question 16 (a) (page 17)
Question 23 (a) (page 23)
Source: Question Set 4: Graphs and Transformations exam questions</t>
      </text>
    </comment>
    <comment ref="J36" authorId="0" shapeId="0">
      <text>
        <t>Page 1: the question starting there (a)
Source: Transformations and Graphs</t>
      </text>
    </comment>
    <comment ref="N36" authorId="0" shapeId="0">
      <text>
        <t>Page 2: the question starting there (a)
Source: Ch4 Graphs and Transformations + Ch7 Algebraic Methods Exam Questions 1</t>
      </text>
    </comment>
    <comment ref="G37" authorId="0" shapeId="0">
      <text>
        <t>Question 2 (page 3)
Question 12 (page 13)
Question 23 (b,c) (page 23)
Source: Question Set 4: Graphs and Transformations exam questions</t>
      </text>
    </comment>
    <comment ref="J37" authorId="0" shapeId="0">
      <text>
        <t>Page 3: the question starting there (b)
Page 4: the question starting there
Source: Transformations and Graphs</t>
      </text>
    </comment>
    <comment ref="N37" authorId="0" shapeId="0">
      <text>
        <t>Page 2: the question starting there (b,c)
Page 3: the question starting there (c)
Page 11: the question starting there (b,c)
Source: Ch4 Graphs and Transformations + Ch7 Algebraic Methods Exam Questions 1</t>
      </text>
    </comment>
    <comment ref="G39" authorId="0" shapeId="0">
      <text>
        <t>Question 7 (a) (page 9)
Question 10 (page 14)
Question 16 (a) (page 22)
Question 17 (page 24)
Question 18 (page 25)
Question 22 (a) (page 28)
Question 30 (a) (page 38)
Source: Question Set 2: Functions and Graphs exam questions</t>
      </text>
    </comment>
    <comment ref="J39" authorId="0" shapeId="0">
      <text>
        <t>Page 1: the question starting there (a)
Source: Modulus of Functions</t>
      </text>
    </comment>
    <comment ref="N39" authorId="0" shapeId="0">
      <text>
        <t>Page 1: the question starting there (a)
Page 3: the question starting there (a)
Page 5: the question starting there (a)
Page 6: the question starting there
Page 8: the question starting there (a)
Page 10: the question starting there (a)
Source: Ch2 Functions and Graphs Exam Questions 2</t>
      </text>
    </comment>
    <comment ref="G40" authorId="0" shapeId="0">
      <text>
        <t>Question 7 (b,c) (page 9)
Question 8 (e) (page 10)
Question 16 (b,c) (page 22)
Question 22 (b) (page 28)
Question 25 (page 31)
Question 28 (a) (page 35)
Question 30 (b) (page 38)
Question 34 (page 44)
Source: Question Set 2: Functions and Graphs exam questions</t>
      </text>
    </comment>
    <comment ref="J40" authorId="0" shapeId="0">
      <text>
        <t>Page 1: the question starting there (b)
Page 2: the question starting there
Page 3: the question starting there (c)
Source: Modulus of Functions</t>
      </text>
    </comment>
    <comment ref="N40" authorId="0" shapeId="0">
      <text>
        <t>Page 1: the question starting there (b,c)
Page 3: the question starting there (b)
Page 5: the question starting there (b)
Page 8: the question starting there (b)
Page 9: the question starting there (c)
Page 10: the question starting there (b,c)
Source: Ch2 Functions and Graphs Exam Questions 2</t>
      </text>
    </comment>
    <comment ref="G41" authorId="0" shapeId="0">
      <text>
        <t>Question 6 (a) (page 8)
Question 11 (d) (page 15)
Question 20 (page 27)
Question 21 (page 27)
Question 23 (a) (page 29)
Question 24 (page 30)
Question 29 (a) (page 36)
Source: Question Set 2: Functions and Graphs exam questions</t>
      </text>
    </comment>
    <comment ref="J41" authorId="0" shapeId="0">
      <text>
        <t>Page 2: the question starting there (c,d)
Source: Composite and Inverse Functions</t>
      </text>
    </comment>
    <comment ref="N41" authorId="0" shapeId="0">
      <text>
        <t>Page 3: the question starting there (c)
Page 8: the question starting there (d)
Page 9: the question starting there (a)
Page 10: the question starting there (a)
Page 13: the question starting there (b)
Page 15: the question starting there (b)
Source: Ch2 Functions and Graphs Exam Questions 1</t>
      </text>
    </comment>
    <comment ref="G42" authorId="0" shapeId="0">
      <text>
        <t>Question 1 (page 1)
Question 4 (b,c) (page 5)
Question 8 (a) (page 10)
Question 12 (b) (page 17)
Question 26 (page 32)
Question 29 (c) (page 36)
Question 32 (a,b) (page 41)
Source: Question Set 2: Functions and Graphs exam questions</t>
      </text>
    </comment>
    <comment ref="J42" authorId="0" shapeId="0">
      <text>
        <t>Page 1: the question starting there (b)
Page 2: the question starting there (d)
Page 3: the question starting there (c)
Source: Composite and Inverse Functions</t>
      </text>
    </comment>
    <comment ref="N42" authorId="0" shapeId="0">
      <text>
        <t>Page 1: the question starting there (a)
Page 5: the question starting there (b)
Page 7: the question starting there
Page 8: the question starting there (b,c)
Page 9: the question starting there (c,d)
Page 12: the question starting there
Page 14: the question starting there (d,e)
Page 16: the question starting there (b,d)
Source: Ch2 Functions and Graphs Exam Questions 1</t>
      </text>
    </comment>
    <comment ref="G43" authorId="0" shapeId="0">
      <text>
        <t>Question 2 (b,c) (page 2)
Question 5 (b) (page 6)
Question 8 (b,c) (page 10)
Question 13 (page 18)
Question 19 (b,c) (page 26)
Question 27 (page 33)
Question 31 (page 40)
Question 33 (page 43)
Source: Question Set 2: Functions and Graphs exam questions</t>
      </text>
    </comment>
    <comment ref="J43" authorId="0" shapeId="0">
      <text>
        <t>Page 1: the question starting there (c)
Page 2: the question starting there (a)
Page 3: the question starting there (b)
Source: Composite and Inverse Functions</t>
      </text>
    </comment>
    <comment ref="N43" authorId="0" shapeId="0">
      <text>
        <t>Page 1: the question starting there (c)
Page 4: the question starting there (c,d)
Page 8: the question starting there (a)
Page 9: the question starting there (b)
Page 10: the question starting there (b)
Page 11: the question starting there (b,c,d)
Page 14: the question starting there (b)
Page 15: the question starting there (c)
Source: Ch2 Functions and Graphs Exam Questions 1</t>
      </text>
    </comment>
    <comment ref="G44" authorId="0" shapeId="0">
      <text>
        <t>Question 1 (bi) (page 2)
Question 7 (bi) (page 9)
Question 8 (b) (page 10)
Question 9 (a) (page 11)
Question 13 (page 14)
Question 14 (page 15)
Question 20 (b) (page 20)
Question 24 (b) (page 24)
Source: Question Set 4: Graphs and Transformations exam questions</t>
      </text>
    </comment>
    <comment ref="J44" authorId="0" shapeId="0">
      <text>
        <t>Question 1 (a,b) (page 1)
Question 2 (b) (page 1)
Question 3 (a,c) (page 1)
Question 4 (a,b) (page 1)
Question 7 (a) (page 2)
Question 9 (a,b,c) (page 2)
Question 11 (b) (page 2)
Question 12 (b,c) (page 2)
Source: 15a. Transformations of graphs</t>
      </text>
    </comment>
    <comment ref="N44" authorId="0" shapeId="0">
      <text>
        <t>Page 3: the question starting there (d)
Page 5: the question starting there (c)
Page 10: the question starting there (b)
Source: Ch4 Graphs and Transformations + Ch7 Algebraic Methods Exam Questions 1</t>
      </text>
    </comment>
    <comment ref="G45" authorId="0" shapeId="0">
      <text>
        <t>Question 4 (c) (page 5)
Question 5 (bii) (page 7)
Question 17 (c) (page 18)
Question 19 (page 19)
Question 22 (bii) (page 22)
Source: Question Set 4: Graphs and Transformations exam questions</t>
      </text>
    </comment>
    <comment ref="J45" authorId="0" shapeId="0">
      <text>
        <t>Page 1: the question starting there (d)
Source: Stationary Points</t>
      </text>
    </comment>
    <comment ref="N45" authorId="0" shapeId="0">
      <text>
        <t>Page 10: the question starting there (b)
Page 12: the question starting there (b)
Source: Ch4 Graphs and Transformations + Ch7 Algebraic Methods Exam Questions 1</t>
      </text>
    </comment>
    <comment ref="G46" authorId="0" shapeId="0">
      <text>
        <t>Question 1 (bii) (page 2)
Question 3 (ii) (page 4)
Question 7 (bii) (page 9)
Source: Question Set 4: Graphs and Transformations exam questions</t>
      </text>
    </comment>
    <comment ref="J46" authorId="0" shapeId="0">
      <text>
        <t>Question 1 (page 1)
Question 2 (page 1)
Question 3 (page 1)
Question 4 (page 1)
Question 5 (page 1)
Question 7 (page 2)
Question 11 (page 2)
Question 13 (page 2)
Source: 15a. Transformations of graphs</t>
      </text>
    </comment>
    <comment ref="N46" authorId="0" shapeId="0">
      <text>
        <t>Page 9: the question starting there (d)
Source: Ch4 Graphs and Transformations + Ch7 Algebraic Methods Exam Questions 1</t>
      </text>
    </comment>
    <comment ref="G47" authorId="0" shapeId="0">
      <text>
        <t>Question 8 (d) (page 10)
Question 35 (b) (page 45)
Question 36 (b) (page 47)
Source: Question Set 2: Functions and Graphs exam questions</t>
      </text>
    </comment>
    <comment ref="J47" authorId="0" shapeId="0">
      <text>
        <t>Question 3 (page 1)
Question 4 (a,b,c,d,e,f) (page 1)
Question 7 (page 1)
Source: 04a. The modulus function</t>
      </text>
    </comment>
    <comment ref="N47" authorId="0" shapeId="0">
      <text>
        <t>Page 4: the question starting there (a)
Page 7: the question starting there (a)
Page 9: the question starting there (a)
Page 11: the question starting there (a)
Page 14: the question starting there (a,b)
Page 16: the question starting there (b)
Source: Ch2 Functions and Graphs Exam Questions 2</t>
      </text>
    </comment>
    <comment ref="G48" authorId="0" shapeId="0">
      <text>
        <t>Question 11 (c) (page 15)
Question 28 (b) (page 35)
Question 35 (a,c) (page 45)
Question 36 (a) (page 47)
Source: Question Set 2: Functions and Graphs exam questions</t>
      </text>
    </comment>
    <comment ref="J48" authorId="0" shapeId="0">
      <text>
        <t>Page 1: the question starting there (c)
Source: Modulus of Functions</t>
      </text>
    </comment>
    <comment ref="N48" authorId="0" shapeId="0">
      <text>
        <t>Page 4: the question starting there (b)
Page 6: the question starting there (b)
Page 11: the question starting there (b)
Page 14: the question starting there (c)
Page 15: the question starting there (a)
Page 16: the question starting there (a)
Source: Ch2 Functions and Graphs Exam Questions 2</t>
      </text>
    </comment>
    <comment ref="G49" authorId="0" shapeId="0">
      <text>
        <t>Question 1 (page 1)
Question 2 (page 1)
Question 5 (page 3)
Question 6 (page 3)
Question 8 (page 4)
Source: Question Set 1: Algebraic Methods exam questions</t>
      </text>
    </comment>
    <comment ref="J49" authorId="0" shapeId="0">
      <text>
        <t>Page 2: the question starting there (a)
Page 3: the question starting there (a)
Source: Partial Fractions</t>
      </text>
    </comment>
    <comment ref="N49" authorId="0" shapeId="0">
      <text>
        <t>Page 8: the question starting there (a)
Page 11: the question starting there (b)
Page 16: the question starting there (a)
Source: Ch11 Integration Exam Questions 3</t>
      </text>
    </comment>
    <comment ref="G50" authorId="0" shapeId="0">
      <text>
        <t>Question 3 (page 2)
Question 4 (page 2)
Question 10 (page 5)
Question 12 (page 6)
Source: Question Set 1: Algebraic Methods exam questions</t>
      </text>
    </comment>
    <comment ref="J50" authorId="0" shapeId="0">
      <text>
        <t>Page 1: the question starting there (a)
Source: Partial Fractions</t>
      </text>
    </comment>
    <comment ref="N50" authorId="0" shapeId="0">
      <text>
        <t>Page 10: the question starting there (a)
Source: Ch11 Integration Exam Questions 3</t>
      </text>
    </comment>
    <comment ref="G51" authorId="0" shapeId="0">
      <text>
        <t>Question 17 (page 11)
Question 21 (page 15)
Question 25 (page 19)
Source: Question Set 2: Quadratics exam questions</t>
      </text>
    </comment>
    <comment ref="J51" authorId="0" shapeId="0">
      <text>
        <t>Page 7: the question starting there
Page 8: the question starting there (a,b,d)
Source: Quadratics</t>
      </text>
    </comment>
    <comment ref="N51" authorId="0" shapeId="0">
      <text>
        <t>Page 1: the question starting there
Page 2: the question starting there
Source: Ch2 Quadratics and Ch3 Equations and Inequalities Exam Questions</t>
      </text>
    </comment>
    <comment ref="G54" authorId="0" shapeId="0">
      <text>
        <t>Question 1 (page 1)
Question 4 (a) (page 3)
Question 6 (a) (page 5)
Question 10 (a) (page 8)
Source: Question Set 5: Straight Line Graphs exam questions</t>
      </text>
    </comment>
    <comment ref="J54" authorId="0" shapeId="0">
      <text>
        <t>Question 1 (page 1)
Question 2 (page 1)
Question 3 (page 1)
Question 5 (page 1)
Question 7 (page 1)
Question 9 (page 1)
Question 12 (page 2)
Question 19 (page 2)
Source: 1a. Equations of straight lines</t>
      </text>
    </comment>
    <comment ref="N54" authorId="0" shapeId="0">
      <text>
        <t>Page 5: the question starting there
Page 6: the question starting there (a, b)
Page 10: the question starting there (a)
Page 11: the question starting there (a, b)
Source: Ch5 Straight Line Graphs Exam Questions</t>
      </text>
    </comment>
    <comment ref="G55" authorId="0" shapeId="0">
      <text>
        <t>Question 1 (page 1)
Question 3 (a) (page 2)
Question 4 (b) (page 3)
Question 6 (page 5)
Question 8 (page 6)
Question 9 (a) (page 7)
Question 10 (a, b) (page 8)
Question 11 (a) (page 9)
Source: Question Set 5: Straight Line Graphs exam questions</t>
      </text>
    </comment>
    <comment ref="J55" authorId="0" shapeId="0">
      <text>
        <t>Page 1: the question starting there (a)
Source: Straight Lines</t>
      </text>
    </comment>
    <comment ref="N55" authorId="0" shapeId="0">
      <text>
        <t>Page 5: the question starting there
Page 6: the question starting there (b)
Page 8: the question starting there (b)
Page 9: the question starting there
Page 10: the question starting there (b)
Page 11: the question starting there (b)
Page 12: the question starting there (a)
Page 13: the question starting there (a)
Source: Ch5 Straight Line Graphs Exam Questions</t>
      </text>
    </comment>
    <comment ref="G56" authorId="0" shapeId="0">
      <text>
        <t>Question 2 (page 1)
Question 6 (b) (page 5)
Question 8 (page 6)
Question 10 (b) (page 8)
Question 13 (page 11)
Question 15 (page 12)
Question 17 (a) (page 14)
Question 18 (a) (page 15)
Source: Question Set 5: Straight Line Graphs exam questions</t>
      </text>
    </comment>
    <comment ref="J56" authorId="0" shapeId="0">
      <text>
        <t>Page 1: the question starting there (a)
Source: Straight Lines</t>
      </text>
    </comment>
    <comment ref="N56" authorId="0" shapeId="0">
      <text>
        <t>Page 1: the question starting there
Page 2: the question starting there (a)
Page 6: the question starting there (b)
Page 9: the question starting there
Page 10: the question starting there (b)
Page 11: the question starting there (b)
Page 12: the question starting there (b)
Page 13: the question starting there (a)
Source: Ch5 Straight Line Graphs Exam Questions</t>
      </text>
    </comment>
    <comment ref="G57" authorId="0" shapeId="0">
      <text>
        <t>Question 3 (b) (page 2)
Question 5 (page 4)
Question 9 (b) (page 7)
Question 11 (b) (page 9)
Question 17 (b) (page 14)
Source: Question Set 5: Straight Line Graphs exam questions</t>
      </text>
    </comment>
    <comment ref="J57" authorId="0" shapeId="0">
      <text>
        <t>Page 1: the question starting there (b)
Source: Straight Lines</t>
      </text>
    </comment>
    <comment ref="N57" authorId="0" shapeId="0">
      <text>
        <t>Page 10: the question starting there (c)
Page 13: the question starting there (b)
Source: Ch5 Straight Line Graphs Exam Questions</t>
      </text>
    </comment>
    <comment ref="G58" authorId="0" shapeId="0">
      <text>
        <t>Question 19 (page 16)
Question 21 (page 18)
Source: Question Set 5: Straight Line Graphs exam questions</t>
      </text>
    </comment>
    <comment ref="J58" authorId="0" shapeId="0">
      <text>
        <t>Page 2: the question starting there
Page 4: the question starting there
Source: Linear Models</t>
      </text>
    </comment>
    <comment ref="N58" authorId="0" shapeId="0">
      <text>
        <t>Page 3: the question starting there
Page 4: the question starting there
Source: Ch5 Straight Line Graphs Exam Questions</t>
      </text>
    </comment>
    <comment ref="G59" authorId="0" shapeId="0">
      <text>
        <t>Question 4 (c) (page 3)
Question 5 (page 4)
Question 14 (page 12)
Question 16 (page 13)
Question 22 (page 19)
Source: Question Set 5: Straight Line Graphs exam questions</t>
      </text>
    </comment>
    <comment ref="J59" authorId="0" shapeId="0">
      <text>
        <t>Question 2 (b) (page 1)
Question 3 (b,c) (page 1)
Question 5 (b) (page 1)
Question 7 (b) (page 2)
Source: 3a. Coordinate geometry − further questions</t>
      </text>
    </comment>
    <comment ref="N59" authorId="0" shapeId="0">
      <text>
        <t>Page 8: the question starting there (a)
Page 12: the question starting there (a)
Page 14: the question starting there (b)
Source: Ch6 Circles Exam Questions</t>
      </text>
    </comment>
    <comment ref="G60" authorId="0" shapeId="0">
      <text>
        <t>Question 1 (page 1)
Question 2 (page 2)
Question 5 (a, b) (page 6)
Question 7 (a) (page 10)
Question 11 (a) (page 14)
Question 12 (a) (page 15)
Question 14 (page 16)
Question 20 (page 22)
Source: Question Set 6: Circles exam questions</t>
      </text>
    </comment>
    <comment ref="J60" authorId="0" shapeId="0">
      <text>
        <t>Page 1: the question starting there (a)
Page 2: the question starting there
Page 3: the question starting there (a)
Page 4: the question starting there (a)
Page 5: the question starting there (a)
Source: Circles</t>
      </text>
    </comment>
    <comment ref="N60" authorId="0" shapeId="0">
      <text>
        <t>Page 1: the question starting there (a)
Page 2: the question starting there (a)
Page 3: the question starting there (ii)
Page 5: the question starting there (a, b)
Page 6: the question starting there (a, b)
Page 7: the question starting there (a)
Page 9: the question starting there (a, b)
Page 10: the question starting there (a)
Source: Ch6 Circles Exam Questions</t>
      </text>
    </comment>
    <comment ref="G61" authorId="0" shapeId="0">
      <text>
        <t>Question 4 (b) (page 5)
Question 7 (b) (page 10)
Question 11 (b) (page 14)
Question 15 (page 17)
Question 16 (page 18)
Question 18 (a, b) (page 20)
Question 27 (page 28)
Question 28 (page 29)
Source: Question Set 6: Circles exam questions</t>
      </text>
    </comment>
    <comment ref="J61" authorId="0" shapeId="0">
      <text>
        <t>Page 3: the question starting there (b)
Page 5: the question starting there (b)
Source: Circles</t>
      </text>
    </comment>
    <comment ref="N61" authorId="0" shapeId="0">
      <text>
        <t>Page 1: the question starting there (b)
Page 5: the question starting there (c)
Page 9: the question starting there (c)
Page 10: the question starting there (c)
Source: Ch6 Circles Exam Questions</t>
      </text>
    </comment>
    <comment ref="G62" authorId="0" shapeId="0">
      <text>
        <t>Question 3 (c) (page 3)
Question 5 (c) (page 6)
Question 9 (b) (page 12)
Question 10 (page 13)
Question 13 (page 16)
Question 17 (b) (page 19)
Question 21 (page 23)
Question 24 (page 25)
Source: Question Set 6: Circles exam questions</t>
      </text>
    </comment>
    <comment ref="J62" authorId="0" shapeId="0">
      <text>
        <t>Page 3: the question starting there (b)
Source: Circles</t>
      </text>
    </comment>
    <comment ref="N62" authorId="0" shapeId="0">
      <text>
        <t>Page 2: the question starting there (b)
Page 3: the question starting there (i)
Page 4: the question starting there (b)
Page 6: the question starting there (c)
Page 10: the question starting there (b)
Page 12: the question starting there (b)
Page 13: the question starting there (c)
Page 14: the question starting there (b)
Source: Ch6 Circles Exam Questions</t>
      </text>
    </comment>
    <comment ref="G63" authorId="0" shapeId="0">
      <text>
        <t>Question 6 (page 8)
Source: Question Set 6: Circles exam questions</t>
      </text>
    </comment>
    <comment ref="J63" authorId="0" shapeId="0">
      <text>
        <t>Question 6 (page 1)
Question 11 (page 1)
Source: 4a. Circles</t>
      </text>
    </comment>
    <comment ref="G64" authorId="0" shapeId="0">
      <text>
        <t>Question 1 (a) (page 1)
Question 4 (a) (page 3)
Question 5 (a) (page 4)
Source: Question Set 8: Parametric Equations exam questions</t>
      </text>
    </comment>
    <comment ref="J64" authorId="0" shapeId="0">
      <text>
        <t>Page 1: the question starting there
Page 2: the question starting there (a)
Source: Parametric Equations</t>
      </text>
    </comment>
    <comment ref="N64" authorId="0" shapeId="0">
      <text>
        <t>Page 7: the question starting there (c)
Page 8: the question starting there (c)
Page 10: the question starting there (b)
Source: Ch8 Parametric Equations Exam Questions</t>
      </text>
    </comment>
    <comment ref="G65" authorId="0" shapeId="0">
      <text>
        <t>Question 1 (page 1)
Question 4 (a) (page 3)
Question 5 (a) (page 4)
Question 7 (c) (page 6)
Question 8 (c) (page 7)
Source: A Level Maths: Parametric Equations — Medium</t>
      </text>
    </comment>
    <comment ref="J65" authorId="0" shapeId="0">
      <text>
        <t>Page 2: the question starting there (b)
Source: Parametric Differentiation</t>
      </text>
    </comment>
    <comment ref="N65" authorId="0" shapeId="0">
      <text>
        <t>Page 1: the question starting there (a)
Page 5: the question starting there (c, d)
Page 6: the question starting there (d)
Page 12: the question starting there (a, b)
Page 13: the question starting there (b, c)
Page 14: the question starting there (c)
Source: Ch8 Parametric Equations Exam Questions</t>
      </text>
    </comment>
    <comment ref="G66" authorId="0" shapeId="0">
      <text>
        <t>Question 1 (b) (page 1)
Question 5 (b) (page 4)
Question 6 (b) (page 5)
Question 7 (b) (page 6)
Question 8 (b) (page 7)
Source: Question Set 8: Parametric Equations exam questions</t>
      </text>
    </comment>
    <comment ref="J66" authorId="0" shapeId="0">
      <text>
        <t>Question 4 (page 1)
Question 6 (page 1)
Question 8 (page 1)
Source: 13a. Parametric equations</t>
      </text>
    </comment>
    <comment ref="N66" authorId="0" shapeId="0">
      <text>
        <t>Page 1: the question starting there (b)
Source: Ch8 Parametric Equations Exam Questions</t>
      </text>
    </comment>
    <comment ref="G67" authorId="0" shapeId="0">
      <text>
        <t>Question 2 (page 2)
Question 9 (page 8)
Source: Question Set 8: Parametric Equations exam questions</t>
      </text>
    </comment>
    <comment ref="J67" authorId="0" shapeId="0">
      <text>
        <t>Page 2: the question starting there (c)
Source: Parametric Differentiation</t>
      </text>
    </comment>
    <comment ref="N67" authorId="0" shapeId="0">
      <text>
        <t>Page 1: the question starting there (c)
Page 2: the question starting there
Page 3: the question starting there (c)
Page 4: the question starting there (a, c)
Page 6: the question starting there (a)
Page 7: the question starting there (a)
Page 11: the question starting there (a)
Source: Ch8 Parametric Equations Exam Questions</t>
      </text>
    </comment>
    <comment ref="N68" authorId="0" shapeId="0">
      <text>
        <t>Page 1: the question starting there (b)
Source: Ch11 Integration Exam Questions 4</t>
      </text>
    </comment>
    <comment ref="G71" authorId="0" shapeId="0">
      <text>
        <t>Question 12 (page 12)
Source: Question Set 8: The Binomial Expansion exam questions</t>
      </text>
    </comment>
    <comment ref="G72" authorId="0" shapeId="0">
      <text>
        <t>Question 1 (a) (page 1)
Question 2 (a) (page 2)
Question 4 (a) (page 4)
Question 6 (page 6)
Question 7 (a) (page 7)
Question 15 (page 13)
Question 17 (page 14)
Question 20 (page 17)
Source: Question Set 8: The Binomial Expansion exam questions</t>
      </text>
    </comment>
    <comment ref="J72" authorId="0" shapeId="0">
      <text>
        <t>Page 2: the question starting there (a)
Source: Binomial Expansion</t>
      </text>
    </comment>
    <comment ref="N72" authorId="0" shapeId="0">
      <text>
        <t>Page 1: the question starting there (a)
Page 2: the question starting there (a)
Page 5: the question starting there
Page 6: the question starting there (a)
Page 7: the question starting there (a)
Page 8: the question starting there (a)
Page 12: the question starting there (a)
Page 13: the question starting there (a)
Source: Ch8 Binomial Expansion Exam Questions</t>
      </text>
    </comment>
    <comment ref="G73" authorId="0" shapeId="0">
      <text>
        <t>Question 2 (b) (page 2)
Question 5 (b) (page 5)
Question 7 (b) (page 7)
Question 9 (b) (page 9)
Question 10 (page 10)
Question 12 (page 12)
Question 16 (page 14)
Question 18 (b) (page 15)
Source: Question Set 8: The Binomial Expansion exam questions</t>
      </text>
    </comment>
    <comment ref="J73" authorId="0" shapeId="0">
      <text>
        <t>Page 1: the question starting there
Page 2: the question starting there (b)
Page 3: the question starting there
Source: Binomial Expansion</t>
      </text>
    </comment>
    <comment ref="N73" authorId="0" shapeId="0">
      <text>
        <t>Page 1: the question starting there (b, c)
Page 3: the question starting there (b)
Page 6: the question starting there (b, c, d)
Page 9: the question starting there
Page 10: the question starting there (b)
Page 11: the question starting there
Page 12: the question starting there (b)
Page 13: the question starting there (b)
Source: Ch8 Binomial Expansion Exam Questions</t>
      </text>
    </comment>
    <comment ref="G74" authorId="0" shapeId="0">
      <text>
        <t>Question 1 (b) (page 1)
Question 4 (b) (page 4)
Question 11 (b) (page 11)
Question 19 (b) (page 16)
Source: Question Set 8: The Binomial Expansion exam questions</t>
      </text>
    </comment>
    <comment ref="J74" authorId="0" shapeId="0">
      <text>
        <t>Question 5 (b) (page 1)
Question 6 (b) (page 1)
Question 11 (b) (page 2)
Question 13 (b) (page 2)
Source: 2a. Binomial expansions − further questions</t>
      </text>
    </comment>
    <comment ref="N74" authorId="0" shapeId="0">
      <text>
        <t>Page 1: the question starting there (c)
Page 3: the question starting there (b)
Page 7: the question starting there (b)
Source: Ch4 Binomial Expansion Exam Questions</t>
      </text>
    </comment>
    <comment ref="G75" authorId="0" shapeId="0">
      <text>
        <t>Question 1 (page 1)
Question 4 (a) (page 4)
Question 7 (a, b) (page 8)
Question 9 (a) (page 11)
Question 14 (b) (page 18)
Question 15 (a) (page 20)
Question 17 (page 22)
Question 18 (page 23)
Source: Question Set 4: Binomial Expansion exam questions</t>
      </text>
    </comment>
    <comment ref="J75" authorId="0" shapeId="0">
      <text>
        <t>Question 1 (page 1)
Question 2 (page 1)
Question 3 (page 1)
Question 4 (page 1)
Question 5 (page 1)
Question 6 (page 1)
Source: 01a. Binomial expansions</t>
      </text>
    </comment>
    <comment ref="N75" authorId="0" shapeId="0">
      <text>
        <t>Page 1: the question starting there (a)
Page 7: the question starting there (a)
Page 10: the question starting there
Source: Ch4 Binomial Expansion Exam Questions</t>
      </text>
    </comment>
    <comment ref="G76" authorId="0" shapeId="0">
      <text>
        <t>Question 2 (page 2)
Question 3 (page 3)
Question 5 (page 5)
Question 6 (page 6)
Question 8 (page 10)
Question 10 (page 13)
Question 13 (page 17)
Question 16 (page 21)
Source: Question Set 4: Binomial Expansion exam questions</t>
      </text>
    </comment>
    <comment ref="J76" authorId="0" shapeId="0">
      <text>
        <t>Page 2: the question starting there
Page 3: the question starting there (a)
Source: Binomial Expansion</t>
      </text>
    </comment>
    <comment ref="N76" authorId="0" shapeId="0">
      <text>
        <t>Page 2: the question starting there
Page 3: the question starting there
Page 5: the question starting there
Page 6: the question starting there
Page 9: the question starting there
Page 12: the question starting there
Page 13: the question starting there (a)
Source: Ch4 Binomial Expansion Exam Questions</t>
      </text>
    </comment>
    <comment ref="J77" authorId="0" shapeId="0">
      <text>
        <t>Page 1: the question starting there
Source: Binomial Expansion</t>
      </text>
    </comment>
    <comment ref="N77" authorId="0" shapeId="0">
      <text>
        <t>Page 8: the question starting there
Page 11: the question starting there
Source: Ch4 Binomial Expansion Exam Questions</t>
      </text>
    </comment>
    <comment ref="G78" authorId="0" shapeId="0">
      <text>
        <t>Question 14 (page 17)
Question 15 (a, b) (page 18)
Question 16 (page 19)
Question 17 (page 20)
Question 18 (page 21)
Question 29 (page 33)
Source: Question Set 3: Sequences and Series exam questions</t>
      </text>
    </comment>
    <comment ref="J78" authorId="0" shapeId="0">
      <text>
        <t>Page 1: the question starting there
Page 5: the question starting there (a)
Source: Sequences and Series</t>
      </text>
    </comment>
    <comment ref="N78" authorId="0" shapeId="0">
      <text>
        <t>Page 5: the question starting there (a)
Page 9: the question starting there (a, b)
Page 10: the question starting there (a, b)
Page 12: the question starting there (a)
Source: Ch3 Sequences and Series Exam Questions 1</t>
      </text>
    </comment>
    <comment ref="G79" authorId="0" shapeId="0">
      <text>
        <t>Question 20 (b) (page 24)
Question 24 (page 28)
Source: Question Set 3: Sequences and Series exam questions</t>
      </text>
    </comment>
    <comment ref="J79" authorId="0" shapeId="0">
      <text>
        <t>Page 4: the question starting there
Page 5: the question starting there
Source: Sequences and Series</t>
      </text>
    </comment>
    <comment ref="N79" authorId="0" shapeId="0">
      <text>
        <t>Page 1: the question starting there (ii)
Page 3: the question starting there
Page 5: the question starting there (b, c)
Page 11: the question starting there (i)
Source: Ch3 Sequences and Series Exam Questions 1</t>
      </text>
    </comment>
    <comment ref="G80" authorId="0" shapeId="0">
      <text>
        <t>Question 15 (c) (page 18)
Question 20 (a) (page 24)
Question 22 (page 26)
Question 24 (c) (page 28)
Question 28 (page 32)
Question 30 (page 34)
Question 31 (a) (page 35)
Question 35 (page 40)
Source: Question Set 3: Sequences and Series exam questions</t>
      </text>
    </comment>
    <comment ref="J80" authorId="0" shapeId="0">
      <text>
        <t>Page 2: the question starting there
Page 4: the question starting there (b)
Page 5: the question starting there (b)
Source: Sequences and Series</t>
      </text>
    </comment>
    <comment ref="N80" authorId="0" shapeId="0">
      <text>
        <t>Page 1: the question starting there (i)
Page 2: the question starting there
Page 7: the question starting there
Page 9: the question starting there (c)
Page 10: the question starting there (c)
Page 11: the question starting there (ii)
Page 12: the question starting there (d, e)
Source: Ch3 Sequences and Series Exam Questions 1</t>
      </text>
    </comment>
    <comment ref="G81" authorId="0" shapeId="0">
      <text>
        <t>Question 2 (page 2)
Question 4 (a) (page 5)
Question 5 (a) (page 6)
Question 6 (a) (page 7)
Question 34 (a) (page 39)
Question 36 (a) (page 41)
Source: Question Set 3: Sequences and Series exam questions</t>
      </text>
    </comment>
    <comment ref="J81" authorId="0" shapeId="0">
      <text>
        <t>Page 1: the question starting there (a)
Source: Arithmetic Sequences</t>
      </text>
    </comment>
    <comment ref="N81" authorId="0" shapeId="0">
      <text>
        <t>Page 4: the question starting there (a)
Page 7: the question starting there (a)
Page 11: the question starting there (a)
Source: Ch3 Sequences and Series Exam Questions 2</t>
      </text>
    </comment>
    <comment ref="G82" authorId="0" shapeId="0">
      <text>
        <t>Question 1 (page 1)
Question 3 (page 3)
Question 4 (b) (page 5)
Question 5 (b) (page 6)
Question 7 (page 8)
Question 26 (page 30)
Question 27 (page 31)
Question 36 (b) (page 41)
Source: Question Set 3: Sequences and Series exam questions</t>
      </text>
    </comment>
    <comment ref="J82" authorId="0" shapeId="0">
      <text>
        <t>Page 1: the question starting there (b)
Page 2: the question starting there
Page 4: the question starting there (b)
Source: Arithmetic Sequences</t>
      </text>
    </comment>
    <comment ref="N82" authorId="0" shapeId="0">
      <text>
        <t>Page 6: the question starting there (c)
Page 8: the question starting there
Page 11: the question starting there (ii)
Page 13: the question starting there
Source: Ch3 Sequences and Series Exam Questions 1</t>
      </text>
    </comment>
    <comment ref="G83" authorId="0" shapeId="0">
      <text>
        <t>Question 9 (a, b) (page 10)
Question 10 (a, b) (page 11)
Question 12 (a, b, c) (page 14)
Question 13 (a) (page 16)
Question 21 (a) (page 25)
Question 32 (b) (page 36)
Question 33 (a) (page 38)
Source: Question Set 3: Sequences and Series exam questions</t>
      </text>
    </comment>
    <comment ref="J83" authorId="0" shapeId="0">
      <text>
        <t>Page 1: the question starting there (a, b)
Page 3: the question starting there (a, b)
Page 4: the question starting there (a)
Source: Geometric Series</t>
      </text>
    </comment>
    <comment ref="N83" authorId="0" shapeId="0">
      <text>
        <t>Page 12: the question starting there (a, b, c)
Page 14: the question starting there
Page 17: the question starting there (a, b, c)
Source: Ch3 Sequences and Series Exam Questions 1</t>
      </text>
    </comment>
    <comment ref="G84" authorId="0" shapeId="0">
      <text>
        <t>Question 8 (page 9)
Question 9 (c) (page 10)
Question 10 (c) (page 11)
Question 11 (c) (page 13)
Question 13 (b) (page 16)
Question 21 (b) (page 25)
Question 33 (page 38)
Question 35 (page 40)
Source: Question Set 3: Sequences and Series exam questions</t>
      </text>
    </comment>
    <comment ref="J84" authorId="0" shapeId="0">
      <text>
        <t>Page 1: the question starting there (b, c)
Source: Geometric Series</t>
      </text>
    </comment>
    <comment ref="N84" authorId="0" shapeId="0">
      <text>
        <t>Page 4: the question starting there
Page 12: the question starting there (d)
Page 14: the question starting there (c)
Page 15: the question starting there (ii)
Page 16: the question starting there (b, c)
Page 17: the question starting there (d)
Source: Ch3 Sequences and Series Exam Questions 1</t>
      </text>
    </comment>
    <comment ref="G85" authorId="0" shapeId="0">
      <text>
        <t>Question 10 (d) (page 11)
Question 11 (page 13)
Question 12 (d) (page 14)
Question 22 (a) (page 26)
Question 32 (a) (page 36)
Question 38 (page 42)
Source: Question Set 3: Sequences and Series exam questions</t>
      </text>
    </comment>
    <comment ref="J85" authorId="0" shapeId="0">
      <text>
        <t>Page 2: the question starting there
Page 3: the question starting there (c)
Page 4: the question starting there (b)
Source: Geometric Series</t>
      </text>
    </comment>
    <comment ref="N85" authorId="0" shapeId="0">
      <text>
        <t>Page 2: the question starting there (i)
Page 12: the question starting there (e)
Page 15: the question starting there (i)
Page 16: the question starting there (a)
Source: Ch3 Sequences and Series Exam Questions 1</t>
      </text>
    </comment>
    <comment ref="G86" authorId="0" shapeId="0">
      <text>
        <t>Question 4 (page 5)
Question 6 (page 7)
Question 7 (page 8)
Question 13 (page 16)
Question 21 (page 25)
Question 23 (page 27)
Question 33 (page 38)
Question 34 (page 39)
Source: Question Set 3: Sequences and Series exam questions</t>
      </text>
    </comment>
    <comment ref="J86" authorId="0" shapeId="0">
      <text>
        <t>Page 1: the question starting there
Source: Geometric Series</t>
      </text>
    </comment>
    <comment ref="N86" authorId="0" shapeId="0">
      <text>
        <t>Page 3: the question starting there
Page 4: the question starting there
Page 5: the question starting there
Page 6: the question starting there
Page 7: the question starting there
Page 9: the question starting there (b, c)
Page 10: the question starting there
Page 12: the question starting there
Source: Ch3 Sequences and Series Exam Questions 2</t>
      </text>
    </comment>
    <comment ref="G89" authorId="0" shapeId="0">
      <text>
        <t>Question 1 (a) (page 1)
Question 2 (a) (page 2)
Question 3 (b) (page 3)
Question 6 (page 7)
Question 7 (b) (page 8)
Question 10 (b) (page 12)
Question 15 (a) (page 16)
Question 19 (a) (page 21)
Source: Question Set 9: Trigonometric Ratios exam questions</t>
      </text>
    </comment>
    <comment ref="J89" authorId="0" shapeId="0">
      <text>
        <t>Page 1: the question starting there (b)
Page 2: the question starting there (a)
Page 3: the question starting there (a)
Source: Sine and Cosine Rule</t>
      </text>
    </comment>
    <comment ref="N89" authorId="0" shapeId="0">
      <text>
        <t>Page 1: the question starting there (b)
Page 2: the question starting there (b)
Page 6: the question starting there (b)
Page 7: the question starting there (a)
Source: Ch9 Trigonometric Ratos Exam Questions</t>
      </text>
    </comment>
    <comment ref="G90" authorId="0" shapeId="0">
      <text>
        <t>Question 3 (c) (page 3)
Question 5 (page 6)
Question 9 (a) (page 11)
Question 11 (a) (page 13)
Question 16 (page 17)
Source: Question Set 9: Trigonometric Ratios exam questions</t>
      </text>
    </comment>
    <comment ref="J90" authorId="0" shapeId="0">
      <text>
        <t>Page 2: the question starting there (b)
Source: Sine and Cosine Rule</t>
      </text>
    </comment>
    <comment ref="N90" authorId="0" shapeId="0">
      <text>
        <t>Page 3: the question starting there (a)
Page 4: the question starting there (a)
Page 5: the question starting there
Page 7: the question starting there (b)
Source: Ch9 Trigonometric Ratos Exam Questions</t>
      </text>
    </comment>
    <comment ref="G91" authorId="0" shapeId="0">
      <text>
        <t>Question 1 (b) (page 1)
Question 2 (b) (page 2)
Question 4 (a) (page 5)
Question 7 (a) (page 8)
Question 8 (a) (page 9)
Question 11 (b) (page 13)
Question 12 (page 14)
Question 20 (page 22)
Source: Question Set 9: Trigonometric Ratios exam questions</t>
      </text>
    </comment>
    <comment ref="J91" authorId="0" shapeId="0">
      <text>
        <t>Page 1: the question starting there (a)
Source: Sine and Cosine Rule</t>
      </text>
    </comment>
    <comment ref="N91" authorId="0" shapeId="0">
      <text>
        <t>Page 1: the question starting there (a)
Page 2: the question starting there (a)
Page 4: the question starting there (a)
Page 6: the question starting there (a)
Source: Ch9 Trigonometric Ratos Exam Questions</t>
      </text>
    </comment>
    <comment ref="G92" authorId="0" shapeId="0">
      <text>
        <t>Question 3 (page 3)
Question 4 (page 5)
Question 9 (page 11)
Question 10 (page 12)
Question 15 (page 16)
Question 16 (page 17)
Question 17 (page 18)
Source: Question Set 9: Trigonometric Ratios exam questions</t>
      </text>
    </comment>
    <comment ref="J92" authorId="0" shapeId="0">
      <text>
        <t>Page 1: the question starting there
Page 2: the question starting there
Page 3: the question starting there
Source: Sine and Cosine Rule</t>
      </text>
    </comment>
    <comment ref="N92" authorId="0" shapeId="0">
      <text>
        <t>Page 3: the question starting there
Page 4: the question starting there
Page 7: the question starting there
Source: Ch9 Trigonometric Ratos Exam Questions</t>
      </text>
    </comment>
    <comment ref="G93" authorId="0" shapeId="0">
      <text>
        <t>Question 21 (page 18)
Source: Question Set 10: Trigonometric Identities and Equations exam questions</t>
      </text>
    </comment>
    <comment ref="J93" authorId="0" shapeId="0">
      <text>
        <t>Question 2 (page 1)
Source: 2a. Trigonometric ratios and graphs</t>
      </text>
    </comment>
    <comment ref="G94" authorId="0" shapeId="0">
      <text>
        <t>Question 10 (page 13)
Source: Question Set 5: Radians exam questions</t>
      </text>
    </comment>
    <comment ref="J94" authorId="0" shapeId="0">
      <text>
        <t>Question 1 (page 1)
Question 2 (page 1)
Question 3 (page 1)
Question 4 (page 1)
Source: 01a. Radians, arcs and sectors</t>
      </text>
    </comment>
    <comment ref="N94" authorId="0" shapeId="0">
      <text>
        <t>Page 2: the question starting there
Source: Ch5 Radians Exam Questions</t>
      </text>
    </comment>
    <comment ref="G95" authorId="0" shapeId="0">
      <text>
        <t>Question 5 (page 5)
Question 6 (b) (page 6)
Question 7 (a,b,c) (page 8)
Question 8 (a,b) (page 10)
Question 10 (b) (page 13)
Question 12 (b) (page 15)
Question 17 (page 21)
Question 18 (page 22)
Source: Question Set 5: Radians exam questions</t>
      </text>
    </comment>
    <comment ref="J95" authorId="0" shapeId="0">
      <text>
        <t>Page 1: the question starting there
Page 2: the question starting there (a)
Page 3: the question starting there (a,c)
Source: Arc Length and Sector Area</t>
      </text>
    </comment>
    <comment ref="N95" authorId="0" shapeId="0">
      <text>
        <t>Page 1: the question starting there
Page 3: the question starting there (b)
Page 4: the question starting there (b,c)
Page 5: the question starting there (c)
Page 6: the question starting there (b)
Page 8: the question starting there (b)
Page 10: the question starting there (b,c)
Page 12: the question starting there (a,b,c)
Source: Ch5 Radians Exam Questions</t>
      </text>
    </comment>
    <comment ref="G96" authorId="0" shapeId="0">
      <text>
        <t>Question 6 (c) (page 6)
Question 13 (page 17)
Source: Question Set 5: Radians exam questions</t>
      </text>
    </comment>
    <comment ref="J96" authorId="0" shapeId="0">
      <text>
        <t>Page 7: the question starting there (c,d)
Page 10: the question starting there (c,d)
Page 16: the question starting there (c)
Page 18: the question starting there (b)
Source: Arc length and Sector area</t>
      </text>
    </comment>
    <comment ref="N96" authorId="0" shapeId="0">
      <text>
        <t>Page 7: the question starting there (c)
Page 9: the question starting there
Source: Ch5 Radians Exam Questions</t>
      </text>
    </comment>
    <comment ref="G97" authorId="0" shapeId="0">
      <text>
        <t>Question 1 (page 1)
Question 2 (page 2)
Question 3 (page 3)
Question 4 (page 4)
Question 9 (b) (page 12)
Question 11 (page 14)
Question 14 (page 18)
Question 15 (page 19)
Source: Question Set 5: Radians exam questions</t>
      </text>
    </comment>
    <comment ref="J97" authorId="0" shapeId="0">
      <text>
        <t>Page 1: the question starting there
Page 2: the question starting there (a)
Source: Small Angle Approximation</t>
      </text>
    </comment>
    <comment ref="N97" authorId="0" shapeId="0">
      <text>
        <t>Page 20: the question starting there
Page 21: the question starting there (b)
Source: Ch6 Trigonometric Functions and Ch7 Trigonometry and Modelling Exam Questions 1</t>
      </text>
    </comment>
    <comment ref="G98" authorId="0" shapeId="0">
      <text>
        <t>Question 28 (a) (page 25)
Source: Question Set 10: Trigonometric Identities and Equations exam questions</t>
      </text>
    </comment>
    <comment ref="J98" authorId="0" shapeId="0">
      <text>
        <t>Page 2: the question starting there (c)
Source: Trigonometric Identities</t>
      </text>
    </comment>
    <comment ref="G99" authorId="0" shapeId="0">
      <text>
        <t>Question 13 (page 14)
Question 14 (page 15)
Source: Question Set 9: Trigonometric Ratios exam questions</t>
      </text>
    </comment>
    <comment ref="J99" authorId="0" shapeId="0">
      <text>
        <t>Question 7 (page 2)
Question 8 (page 2)
Question 9 (page 2)
Question 10 (page 2)
Question 11 (page 2)
Question 12 (page 2)
Source: 2a. Trigonometric ratios and graphs</t>
      </text>
    </comment>
    <comment ref="N99" authorId="0" shapeId="0">
      <text>
        <t>Page 3: the question starting there (a,b)
Page 11: the question starting there (a)
Source: Ch10 Trigonometric Identities and Equations Exam Questions</t>
      </text>
    </comment>
    <comment ref="J100" authorId="0" shapeId="0">
      <text>
        <t>Question 2 (page 1)
Question 4 (page 1)
Source: 2a. Trigonometric ratios and graphs</t>
      </text>
    </comment>
    <comment ref="G101" authorId="0" shapeId="0">
      <text>
        <t>Question 2 (page 3)
Question 3 (page 4)
Question 4 (page 5)
Question 6 (page 7)
Question 7 (page 7)
Question 15 (a) (page 16)
Source: Question Set 6: Trigonometric Functions exam questions</t>
      </text>
    </comment>
    <comment ref="J101" authorId="0" shapeId="0">
      <text>
        <t>Question 1 (page 1)
Question 2 (page 1)
Question 3 (page 1)
Question 4 (page 1)
Question 5 (page 1)
Question 6 (page 1)
Question 15 (page 2)
Source: 04a. Secant, cosecant and cotangent</t>
      </text>
    </comment>
    <comment ref="N101" authorId="0" shapeId="0">
      <text>
        <t>Page 6: the question starting there (a)
Source: Ch6 Trigonometric Functions and Ch7 Trigonometry and Modelling Exam Questions 1</t>
      </text>
    </comment>
    <comment ref="G102" authorId="0" shapeId="0">
      <text>
        <t>Question 1 (page 2)
Source: Question Set 6: Trigonometric Functions exam questions</t>
      </text>
    </comment>
    <comment ref="J102" authorId="0" shapeId="0">
      <text>
        <t>Question 7 (page 1)
Question 8 (page 1)
Question 9 (page 1)
Source: 04a. Secant, cosecant and cotangent</t>
      </text>
    </comment>
    <comment ref="G103" authorId="0" shapeId="0">
      <text>
        <t>Question 20 (page 27)
Source: Question Set 2: Functions and Graphs exam questions</t>
      </text>
    </comment>
    <comment ref="J103" authorId="0" shapeId="0">
      <text>
        <t>Question 1 (page 1)
Question 2 (page 1)
Question 3 (page 1)
Question 4 (page 1)
Question 5 (page 1)
Question 7 (page 1)
Question 8 (page 1)
Question 9 (page 1)
Source: 03a. Inverse trigonometric functions</t>
      </text>
    </comment>
    <comment ref="N103" authorId="0" shapeId="0">
      <text>
        <t>Page 18: the question starting there
Source: Ch6 Trigonometric Functions and Ch7 Trigonometry and Modelling Exam Questions 1</t>
      </text>
    </comment>
    <comment ref="G104" authorId="0" shapeId="0">
      <text>
        <t>Question 6 (a) (page 4)
Question 7 (a) (page 5)
Question 11 (a) (page 9)
Question 12 (a) (page 10)
Question 13 (a) (page 11)
Question 21 (page 18)
Question 24 (a) (page 21)
Question 27 (b) (page 24)
Source: Question Set 10: Trigonometric Identities and Equations exam questions</t>
      </text>
    </comment>
    <comment ref="J104" authorId="0" shapeId="0">
      <text>
        <t>Page 1: the question starting there (a)
Page 2: the question starting there (a)
Source: Trigonometric Identities</t>
      </text>
    </comment>
    <comment ref="N104" authorId="0" shapeId="0">
      <text>
        <t>Page 1: the question starting there (a)
Page 2: the question starting there (a)
Page 5: the question starting there (a)
Page 6: the question starting there (a)
Page 7: the question starting there (a)
Page 8: the question starting there (a)
Page 10: the question starting there (i)
Source: Ch10 Trigonometric Identities and Equations Exam Questions</t>
      </text>
    </comment>
    <comment ref="G105" authorId="0" shapeId="0">
      <text>
        <t>Question 8 (page 8)
Question 9 (page 9)
Question 10 (page 10)
Question 11 (page 11)
Question 12 (a) (page 12)
Question 13 (page 13)
Question 16 (a) (page 17)
Question 18 (page 19)
Source: Question Set 6: Trigonometric Functions exam questions</t>
      </text>
    </comment>
    <comment ref="J105" authorId="0" shapeId="0">
      <text>
        <t>Question 1 (page 1)
Question 2 (page 1)
Question 3 (page 1)
Question 4 (page 1)
Question 5 (page 1)
Question 6 (page 1)
Question 7 (page 1)
Question 8 (page 1)
Source: 05a. Pythagorean identities</t>
      </text>
    </comment>
    <comment ref="N105" authorId="0" shapeId="0">
      <text>
        <t>Page 12: the question starting there (a)
Page 13: the question starting there
Page 16: the question starting there (b)
Source: Ch6 Trigonometric Functions and Ch7 Trigonometry and Modelling Exam Questions 1</t>
      </text>
    </comment>
    <comment ref="G106" authorId="0" shapeId="0">
      <text>
        <t>Question 1 (page 2)
Question 2 (a) (page 4)
Question 3 (a) (page 5)
Question 16 (a) (page 21)
Question 18 (a) (page 24)
Question 24 (page 30)
Question 25 (a) (page 31)
Question 27 (page 33)
Source: Question Set 7: Trigonometry and Modelling exam questions</t>
      </text>
    </comment>
    <comment ref="J106" authorId="0" shapeId="0">
      <text>
        <t>Page 1: the question starting there
Source: Trigonometric Identities</t>
      </text>
    </comment>
    <comment ref="N106" authorId="0" shapeId="0">
      <text>
        <t>Page 5: the question starting there (a)
Page 7: the question starting there (a)
Page 8: the question starting there
Page 11: the question starting there
Page 15: the question starting there (a)
Page 19: the question starting there
Source: Ch6 Trigonometric Functions and Ch7 Trigonometry and Modelling Exam Questions 1</t>
      </text>
    </comment>
    <comment ref="G107" authorId="0" shapeId="0">
      <text>
        <t>Question 1 (page 2)
Question 4 (page 6)
Question 5 (page 7)
Question 6 (page 7)
Question 15 (page 20)
Question 20 (page 26)
Question 21 (page 27)
Question 22 (page 28)
Source: Question Set 7: Trigonometry and Modelling exam questions</t>
      </text>
    </comment>
    <comment ref="J107" authorId="0" shapeId="0">
      <text>
        <t>Page 1: the question starting there
Page 5: the question starting there (a)
Source: Trigonometric Equations</t>
      </text>
    </comment>
    <comment ref="N107" authorId="0" shapeId="0">
      <text>
        <t>Page 2: the question starting there (i)
Page 3: the question starting there
Page 4: the question starting there
Page 9: the question starting there
Page 10: the question starting there
Page 14: the question starting there
Page 16: the question starting there
Page 17: the question starting there
Source: Ch6 Trigonometric Functions and Ch7 Trigonometry and Modelling Exam Questions 1</t>
      </text>
    </comment>
    <comment ref="G108" authorId="0" shapeId="0">
      <text>
        <t>Question 7 (page 8)
Question 8 (page 10)
Question 9 (page 11)
Question 10 (page 13)
Question 13 (page 17)
Question 17 (a) (page 22)
Question 26 (a) (page 32)
Question 28 (page 34)
Source: Question Set 7: Trigonometry and Modelling exam questions</t>
      </text>
    </comment>
    <comment ref="J108" authorId="0" shapeId="0">
      <text>
        <t>Page 1: the question starting there (a,b,c)
Source: Modelling with Trigonometric Functions</t>
      </text>
    </comment>
    <comment ref="N108" authorId="0" shapeId="0">
      <text>
        <t>Page 6: the question starting there
Page 7: the question starting there
Page 8: the question starting there
Page 9: the question starting there (a,c)
Page 11: the question starting there
Page 12: the question starting there
Page 14: the question starting there
Page 16: the question starting there
Source: Ch6 Trigonometric Functions and Ch7 Trigonometry and Modelling Exam Questions 2</t>
      </text>
    </comment>
    <comment ref="G109" authorId="0" shapeId="0">
      <text>
        <t>Question 1 (page 1)
Question 2 (page 2)
Question 3 (page 2)
Question 4 (page 3)
Question 14 (b) (page 12)
Question 18 (page 15)
Question 25 (page 22)
Question 29 (page 26)
Source: Question Set 10: Trigonometric Identities and Equations exam questions</t>
      </text>
    </comment>
    <comment ref="J109" authorId="0" shapeId="0">
      <text>
        <t>Page 1: the question starting there (ii)
Source: Trigonometric Equations</t>
      </text>
    </comment>
    <comment ref="N109" authorId="0" shapeId="0">
      <text>
        <t>Page 9: the question starting there
Page 10: the question starting there (ii)
Page 11: the question starting there (b)
Page 12: the question starting there (b)
Source: Ch10 Trigonometric Identities and Equations Exam Questions</t>
      </text>
    </comment>
    <comment ref="G110" authorId="0" shapeId="0">
      <text>
        <t>Question 6 (page 4)
Question 7 (page 5)
Question 11 (page 9)
Question 12 (page 10)
Question 19 (page 16)
Question 23 (page 20)
Question 24 (page 21)
Question 30 (page 26)
Source: Question Set 10: Trigonometric Identities and Equations exam questions</t>
      </text>
    </comment>
    <comment ref="J110" authorId="0" shapeId="0">
      <text>
        <t>Page 1: the question starting there (b)
Page 2: the question starting there
Source: Trigonometric Identities</t>
      </text>
    </comment>
    <comment ref="N110" authorId="0" shapeId="0">
      <text>
        <t>Page 1: the question starting there
Page 2: the question starting there (b)
Page 3: the question starting there (c)
Page 5: the question starting there
Page 6: the question starting there
Page 7: the question starting there
Page 8: the question starting there
Page 13: the question starting there
Source: Ch10 Trigonometric Identities and Equations Exam Questions</t>
      </text>
    </comment>
    <comment ref="G111" authorId="0" shapeId="0">
      <text>
        <t>Question 3 (b) (page 5)
Question 9 (b) (page 11)
Question 10 (c) (page 14)
Question 12 (page 16)
Question 14 (c) (page 19)
Question 21 (b) (page 27)
Question 24 (page 30)
Question 27 (page 33)
Source: Question Set 7: Trigonometry and Modelling exam questions</t>
      </text>
    </comment>
    <comment ref="J111" authorId="0" shapeId="0">
      <text>
        <t>Page 2: the question starting there (b)
Page 3: the question starting there (b)
Source: Trigonometric Equations</t>
      </text>
    </comment>
    <comment ref="N111" authorId="0" shapeId="0">
      <text>
        <t>Page 2: the question starting there (i)
Page 6: the question starting there (b)
Page 9: the question starting there (b)
Page 11: the question starting there (b)
Page 12: the question starting there (b)
Page 13: the question starting there (b)
Page 16: the question starting there (b)
Page 17: the question starting there (b)
Source: Ch6 Trigonometric Functions and Ch7 Trigonometry and Modelling Exam Questions 1</t>
      </text>
    </comment>
    <comment ref="G112" authorId="0" shapeId="0">
      <text>
        <t>Question 2 (a) (page 4)
Question 6 (page 7)
Question 14 (a) (page 18)
Question 16 (a) (page 21)
Question 18 (a) (page 24)
Question 20 (a) (page 26)
Question 21 (a) (page 27)
Question 22 (page 28)
Source: Question Set 7: Trigonometry and Modelling exam questions</t>
      </text>
    </comment>
    <comment ref="J112" authorId="0" shapeId="0">
      <text>
        <t>Page 1: the question starting there (a)
Source: Trigonometric Equations</t>
      </text>
    </comment>
    <comment ref="N112" authorId="0" shapeId="0">
      <text>
        <t>Page 3: the question starting there (a)
Page 5: the question starting there (a)
Page 6: the question starting there (a)
Page 7: the question starting there (a)
Page 9: the question starting there (a)
Page 14: the question starting there (a)
Page 16: the question starting there (a)
Page 17: the question starting there (a)
Source: Ch6 Trigonometric Functions and Ch7 Trigonometry and Modelling Exam Questions 1</t>
      </text>
    </comment>
    <comment ref="G113" authorId="0" shapeId="0">
      <text>
        <t>Question 11 (page 15)
Question 17 (b,c) (page 22)
Source: Question Set 7: Trigonometry and Modelling exam questions</t>
      </text>
    </comment>
    <comment ref="J113" authorId="0" shapeId="0">
      <text>
        <t>Page 1: the question starting there (b,c,d)
Page 2: the question starting there
Page 3: the question starting there (c,d)
Source: Modelling with Trigonometric Functions</t>
      </text>
    </comment>
    <comment ref="N113" authorId="0" shapeId="0">
      <text>
        <t>Page 1: the question starting there
Page 2: the question starting there (b,c)
Page 3: the question starting there (b,c,d)
Page 4: the question starting there (b,c,d)
Page 5: the question starting there (b,c)
Page 9: the question starting there (c)
Page 13: the question starting there (c,d)
Page 15: the question starting there (b,c,d)
Source: Ch6 Trigonometric Functions and Ch7 Trigonometry and Modelling Exam Questions 2</t>
      </text>
    </comment>
    <comment ref="J116" authorId="0" shapeId="0">
      <text>
        <t>Page 7: the question starting there (a)
Source: Laws of Logarithms</t>
      </text>
    </comment>
    <comment ref="G117" authorId="0" shapeId="0">
      <text>
        <t>Question 10 (b) (page 8)
Question 12 (a) (page 10)
Question 13 (a, c) (page 12)
Source: Exam Booklet</t>
      </text>
    </comment>
    <comment ref="J117" authorId="0" shapeId="0">
      <text>
        <t>Page 3: the question starting there (c)
Page 4: the question starting there (b)
Page 5: the question starting there (b)
Page 6: the question starting there (b)
Source: Exponential Equations</t>
      </text>
    </comment>
    <comment ref="N117" authorId="0" shapeId="0">
      <text>
        <t>Page 3: the question starting there (b)
Page 4: the question starting there (c, d)
Source: Ch14 Exponential and Logarithms Exam Questions 1</t>
      </text>
    </comment>
    <comment ref="G118" authorId="0" shapeId="0">
      <text>
        <t>Question 1 (page 1)
Source: A Level Maths: Exponentials and Logarithms — Medium</t>
      </text>
    </comment>
    <comment ref="J118" authorId="0" shapeId="0">
      <text>
        <t>Question 1 (page 1)
Question 2 (page 1)
Question 3 (page 1)
Question 4 (page 1)
Source: 3a. Laws of logarithms</t>
      </text>
    </comment>
    <comment ref="N118" authorId="0" shapeId="0">
      <text>
        <t>Page 11: the question starting there (b)
Source: Ch14 Exponential and Logarithms Exam Questions 1</t>
      </text>
    </comment>
    <comment ref="G119" authorId="0" shapeId="0">
      <text>
        <t>Question 3 (page 1)
Question 5 (page 2)
Question 6 (page 2)
Question 7 (page 3)
Question 9 (a) (page 4)
Source: A Level Maths: Exponentials and Logarithms — Medium</t>
      </text>
    </comment>
    <comment ref="J119" authorId="0" shapeId="0">
      <text>
        <t>Page 3: the question starting there
Page 4: the question starting there
Page 5: the question starting there
Page 8: the question starting there
Page 10: the question starting there
Source: Laws of Logarithms</t>
      </text>
    </comment>
    <comment ref="N119" authorId="0" shapeId="0">
      <text>
        <t>Page 1: the question starting there
Page 7: the question starting there
Page 8: the question starting there (i)
Page 9: the question starting there
Page 10: the question starting there
Page 12: the question starting there
Page 13: the question starting there (i)
Source: Ch14 Exponential and Logarithms Exam Questions 1</t>
      </text>
    </comment>
    <comment ref="G120" authorId="0" shapeId="0">
      <text>
        <t>Question 4 (page 2)
Question 8 (b) (page 3)
Source: A Level Maths: Exponentials and Logarithms — Medium</t>
      </text>
    </comment>
    <comment ref="J120" authorId="0" shapeId="0">
      <text>
        <t>Page 7: the question starting there (b)
Source: Laws of Logarithms</t>
      </text>
    </comment>
    <comment ref="N120" authorId="0" shapeId="0">
      <text>
        <t>Page 4: the question starting there
Page 6: the question starting there
Page 8: the question starting there (a)
Page 17: the question starting there (ii)
Source: Ch14 Exponential and Logarithms Exam Questions 2</t>
      </text>
    </comment>
    <comment ref="G121" authorId="0" shapeId="0">
      <text>
        <t>Question 6 (page 4)
Question 7 (page 5)
Question 9 (page 7)
Question 10 (c) (page 8)
Question 11 (b) (page 9)
Question 12 (b, c) (page 10)
Question 13 (b) (page 12)
Source: Exam Booklet</t>
      </text>
    </comment>
    <comment ref="J121" authorId="0" shapeId="0">
      <text>
        <t>Page 2: the question starting there (b)
Page 3: the question starting there (b)
Page 4: the question starting there (a, c)
Page 5: the question starting there (c)
Source: Exponential Equations</t>
      </text>
    </comment>
    <comment ref="N121" authorId="0" shapeId="0">
      <text>
        <t>Page 13: the question starting there
Page 14: the question starting there
Page 15: the question starting there
Source: Ch14 Exponential and Logarithms Exam Questions 2</t>
      </text>
    </comment>
    <comment ref="G122" authorId="0" shapeId="0">
      <text>
        <t>Question 6 (c) (page 9)
Question 7 (page 10)
Question 8 (a) (page 11)
Question 9 (b) (page 13)
Source: Question Set 1: Regression, Correlation and Hypothesis Testing exam questions</t>
      </text>
    </comment>
    <comment ref="J122" authorId="0" shapeId="0">
      <text>
        <t>Page 1: the question starting there
Page 2: the question starting there
Page 6: the question starting there
Page 9: the question starting there
Source: Laws of Logarithms</t>
      </text>
    </comment>
    <comment ref="N122" authorId="0" shapeId="0">
      <text>
        <t>Page 2: the question starting there
Page 5: the question starting there
Page 6: the question starting there
Source: Ch14 Exponential and Logarithms Exam Questions 1</t>
      </text>
    </comment>
    <comment ref="G123" authorId="0" shapeId="0">
      <text>
        <t>Question 10 (page 8)
Question 11 (page 9)
Question 12 (page 10)
Source: Exam Booklet</t>
      </text>
    </comment>
    <comment ref="J123" authorId="0" shapeId="0">
      <text>
        <t>Page 2: the question starting there
Page 3: the question starting there
Page 4: the question starting there
Page 5: the question starting there
Page 6: the question starting there
Source: Exponential Equations</t>
      </text>
    </comment>
    <comment ref="N123" authorId="0" shapeId="0">
      <text>
        <t>Page 2: the question starting there (b, c)
Page 3: the question starting there
Page 4: the question starting there
Page 5: the question starting there (b, c)
Page 6: the question starting there (c, d, e)
Source: Ch14 Exponential and Logarithms Exam Questions 1</t>
      </text>
    </comment>
    <comment ref="G126" authorId="0" shapeId="0">
      <text>
        <t>Question 9 (page 9)
Source: Exam Booklet</t>
      </text>
    </comment>
    <comment ref="J126" authorId="0" shapeId="0">
      <text>
        <t>Page 1: the question starting there
Source: Tangents and Normals</t>
      </text>
    </comment>
    <comment ref="N126" authorId="0" shapeId="0">
      <text>
        <t>Page 6: the question starting there
Source: Ch12 Differentiation Exam Questions</t>
      </text>
    </comment>
    <comment ref="G127" authorId="0" shapeId="0">
      <text>
        <t>Question 1 (page 1)
Question 2 (page 1)
Question 3 (page 2)
Question 4 (page 2)
Question 5 (page 3)
Source: 12.2 Differentiation from first principles</t>
      </text>
    </comment>
    <comment ref="J127" authorId="0" shapeId="0">
      <text>
        <t>Page 3: the question starting there
Source: Differentiation from First Principles</t>
      </text>
    </comment>
    <comment ref="N127" authorId="0" shapeId="0">
      <text>
        <t>Page 2: the question starting there
Page 7: the question starting there
Source: Ch12 Differentiation Exam Questions</t>
      </text>
    </comment>
    <comment ref="G128" authorId="0" shapeId="0">
      <text>
        <t>Question 31 (page 31)
Question 32 (page 31)
Source: Question Set 9: Differentiation exam questions</t>
      </text>
    </comment>
    <comment ref="J128" authorId="0" shapeId="0">
      <text>
        <t>Page 4: the question starting there
Source: Differentiation from First Principles</t>
      </text>
    </comment>
    <comment ref="N128" authorId="0" shapeId="0">
      <text>
        <t>Page 2: the question starting there
Source: Ch1 Algebraic Methods Exam Questions</t>
      </text>
    </comment>
    <comment ref="G130" authorId="0" shapeId="0">
      <text>
        <t>Question 4 (b) (page 4)
Question 11 (b) (page 11)
Question 12 (c) (page 13)
Question 13 (page 14)
Source: Exam Booklet</t>
      </text>
    </comment>
    <comment ref="J130" authorId="0" shapeId="0">
      <text>
        <t>Page 1: the question starting there (c)
Page 4: the question starting there (a)
Page 6: the question starting there (c)
Page 7: the question starting there (a)
Source: Basic Differentiation</t>
      </text>
    </comment>
    <comment ref="N130" authorId="0" shapeId="0">
      <text>
        <t>Page 1: the question starting there (b)
Page 5: the question starting there (b)
Page 10: the question starting there (e)
Page 13: the question starting there (a, c)
Page 16: the question starting there (c)
Page 17: the question starting there (c)
Source: Ch12 Differentiation Exam Questions</t>
      </text>
    </comment>
    <comment ref="G131" authorId="0" shapeId="0">
      <text>
        <t>Question 47 (b) (page 50)
Question 53 (c) (page 57)
Question 65 (c) (page 71)
Question 68 (page 75)
Question 73 (page 82)
Source: Question Set 9: Differentiation exam questions</t>
      </text>
    </comment>
    <comment ref="J131" authorId="0" shapeId="0">
      <text>
        <t>Page 4: the question starting there (b)
Page 7: the question starting there (b)
Source: Basic Differentiation</t>
      </text>
    </comment>
    <comment ref="N131" authorId="0" shapeId="0">
      <text>
        <t>Page 3: the question starting there (b)
Source: Ch9 Differentiation Exam Questions 2</t>
      </text>
    </comment>
    <comment ref="G132" authorId="0" shapeId="0">
      <text>
        <t>Question 1 (a) (page 1)
Question 2 (a) (page 2)
Question 3 (page 3)
Question 4 (a) (page 4)
Question 5 (a) (page 5)
Source: Exam Booklet</t>
      </text>
    </comment>
    <comment ref="J132" authorId="0" shapeId="0">
      <text>
        <t>Page 2: the question starting there (a)
Page 3: the question starting there
Page 4: the question starting there (a)
Source: Basic Differentiation</t>
      </text>
    </comment>
    <comment ref="N132" authorId="0" shapeId="0">
      <text>
        <t>Page 3: the question starting there (a)
Page 11: the question starting there (a)
Page 13: the question starting there (a)
Page 14: the question starting there (a)
Source: Ch12 Differentiation Exam Questions</t>
      </text>
    </comment>
    <comment ref="G133" authorId="0" shapeId="0">
      <text>
        <t>Question 26 (page 26)
Question 29 (page 29)
Question 70 (a, c) (page 78)
Source: Question Set 9: Differentiation exam questions</t>
      </text>
    </comment>
    <comment ref="J133" authorId="0" shapeId="0">
      <text>
        <t>Page 1: the question starting there (a, c)
Source: Newton Raphson</t>
      </text>
    </comment>
    <comment ref="N133" authorId="0" shapeId="0">
      <text>
        <t>Page 2: the question starting there
Page 9: the question starting there
Page 11: the question starting there (b, c)
Page 18: the question starting there (ii)
Source: Ch9 Differentiation Exam Questions 1</t>
      </text>
    </comment>
    <comment ref="G134" authorId="0" shapeId="0">
      <text>
        <t>Question 1 (page 1)
Question 2 (a) (page 2)
Question 24 (a) (page 23)
Question 54 (page 58)
Question 56 (page 59)
Question 65 (a) (page 71)
Source: Question Set 9: Differentiation exam questions</t>
      </text>
    </comment>
    <comment ref="J134" authorId="0" shapeId="0">
      <text>
        <t>Page 2: the question starting there (b)
Source: Rates of Change</t>
      </text>
    </comment>
    <comment ref="N134" authorId="0" shapeId="0">
      <text>
        <t>Page 4: the question starting there (a)
Source: Ch9 Differentiation Exam Questions 2</t>
      </text>
    </comment>
    <comment ref="G135" authorId="0" shapeId="0">
      <text>
        <t>Question 8 (page 8)
Question 10 (page 10)
Source: Exam Booklet</t>
      </text>
    </comment>
    <comment ref="J135" authorId="0" shapeId="0">
      <text>
        <t>Page 1: the question starting there (a)
Page 3: the question starting there (a, b)
Page 6: the question starting there (b)
Page 7: the question starting there (b)
Source: Tangents and Normals</t>
      </text>
    </comment>
    <comment ref="N135" authorId="0" shapeId="0">
      <text>
        <t>Page 4: the question starting there
Page 8: the question starting there
Page 12: the question starting there
Source: Ch12 Differentiation Exam Questions</t>
      </text>
    </comment>
    <comment ref="G136" authorId="0" shapeId="0">
      <text>
        <t>Question 6 (b) (page 6)
Source: Exam Booklet</t>
      </text>
    </comment>
    <comment ref="J136" authorId="0" shapeId="0">
      <text>
        <t>Page 2: the question starting there (b)
Source: Basic Differentiation</t>
      </text>
    </comment>
    <comment ref="N136" authorId="0" shapeId="0">
      <text>
        <t>Page 3: the question starting there (b)
Page 14: the question starting there (b)
Source: Ch12 Differentiation Exam Questions</t>
      </text>
    </comment>
    <comment ref="G137" authorId="0" shapeId="0">
      <text>
        <t>Question 2 (b) (page 2)
Question 7 (page 7)
Question 13 (page 14)
Source: Exam Booklet</t>
      </text>
    </comment>
    <comment ref="J137" authorId="0" shapeId="0">
      <text>
        <t>Page 1: the question starting there (b)
Page 3: the question starting there
Page 4: the question starting there (b)
Page 6: the question starting there (b, c)
Source: Stationary Points</t>
      </text>
    </comment>
    <comment ref="N137" authorId="0" shapeId="0">
      <text>
        <t>Page 5: the question starting there
Page 11: the question starting there (b)
Page 13: the question starting there (b, c)
Page 15: the question starting there (b)
Source: Ch12 Differentiation Exam Questions</t>
      </text>
    </comment>
    <comment ref="G138" authorId="0" shapeId="0">
      <text>
        <t>Question 11 (page 11)
Question 12 (page 13)
Source: Exam Booklet</t>
      </text>
    </comment>
    <comment ref="J138" authorId="0" shapeId="0">
      <text>
        <t>Page 1: the question starting there
Page 6: the question starting there
Source: Basic Differentiation</t>
      </text>
    </comment>
    <comment ref="N138" authorId="0" shapeId="0">
      <text>
        <t>Page 1: the question starting there
Page 2: the question starting there
Page 3: the question starting there
Page 4: the question starting there
Page 5: the question starting there
Page 7: the question starting there
Page 8: the question starting there
Page 9: the question starting there
Source: Ch9 Differentiation Exam Questions 3</t>
      </text>
    </comment>
    <comment ref="G139" authorId="0" shapeId="0">
      <text>
        <t>Question 2 (b) (page 2)
Question 3 (page 3)
Question 4 (page 4)
Question 27 (b) (page 27)
Question 66 (a) (page 73)
Question 70 (a, c) (page 78)
Source: Question Set 9: Differentiation exam questions</t>
      </text>
    </comment>
    <comment ref="J139" authorId="0" shapeId="0">
      <text>
        <t>Page 1: the question starting there (a)
Source: Iterative Equations</t>
      </text>
    </comment>
    <comment ref="N139" authorId="0" shapeId="0">
      <text>
        <t>Page 11: the question starting there (b)
Page 14: the question starting there (i)
Source: Ch9 Differentiation Exam Questions 1</t>
      </text>
    </comment>
    <comment ref="G140" authorId="0" shapeId="0">
      <text>
        <t>Question 7 (page 7)
Question 8 (b) (page 8)
Question 9 (page 9)
Question 10 (page 10)
Question 11 (page 11)
Question 13 (a) (page 13)
Question 26 (a) (page 26)
Question 27 (a) (page 27)
Source: Question Set 9: Differentiation exam questions</t>
      </text>
    </comment>
    <comment ref="J140" authorId="0" shapeId="0">
      <text>
        <t>Page 1: the question starting there (b)
Source: Products and Quotients</t>
      </text>
    </comment>
    <comment ref="N140" authorId="0" shapeId="0">
      <text>
        <t>Page 5: the question starting there (a)
Page 6: the question starting there (a)
Page 16: the question starting there (a)
Page 18: the question starting there (i)
Source: Ch9 Differentiation Exam Questions 1</t>
      </text>
    </comment>
    <comment ref="G141" authorId="0" shapeId="0">
      <text>
        <t>Question 14 (page 14)
Question 15 (page 15)
Question 16 (page 15)
Question 17 (page 16)
Question 36 (page 36)
Question 48 (page 51)
Question 53 (b) (page 57)
Question 57 (page 60)
Source: Question Set 9: Differentiation exam questions</t>
      </text>
    </comment>
    <comment ref="J141" authorId="0" shapeId="0">
      <text>
        <t>Page 3: the question starting there (a)
Page 4: the question starting there (a)
Page 6: the question starting there
Source: Products and Quotients</t>
      </text>
    </comment>
    <comment ref="N141" authorId="0" shapeId="0">
      <text>
        <t>Page 2: the question starting there
Page 4: the question starting there (a)
Page 7: the question starting there (b)
Page 8: the question starting there
Page 9: the question starting there
Page 13: the question starting there
Page 18: the question starting there (ii)
Source: Ch9 Differentiation Exam Questions 1</t>
      </text>
    </comment>
    <comment ref="G142" authorId="0" shapeId="0">
      <text>
        <t>Question 25 (page 24)
Question 28 (page 28)
Question 29 (page 29)
Question 30 (page 30)
Question 43 (page 44)
Source: Question Set 9: Differentiation exam questions</t>
      </text>
    </comment>
    <comment ref="J142" authorId="0" shapeId="0">
      <text>
        <t>Question 2 (b,c,d) (page 1)
Question 3 (page 1)
Question 5 (b) (page 1)
Question 6 (d) (page 1)
Question 14 (page 2)
Source: 04a. Differentiating trigonometric functions</t>
      </text>
    </comment>
    <comment ref="N142" authorId="0" shapeId="0">
      <text>
        <t>Page 2: the question starting there (a, c)
Page 3: the question starting there (a)
Source: Ch9 Differentiation Exam Questions 2</t>
      </text>
    </comment>
    <comment ref="G143" authorId="0" shapeId="0">
      <text>
        <t>Question 55 (page 59)
Source: Question Set 9: Differentiation exam questions</t>
      </text>
    </comment>
    <comment ref="J143" authorId="0" shapeId="0">
      <text>
        <t>Page 1: the question starting there (a)
Page 3: the question starting there (a)
Source: Rates of Change</t>
      </text>
    </comment>
    <comment ref="N143" authorId="0" shapeId="0">
      <text>
        <t>Page 10: the question starting there
Page 14: the question starting there (ii)
Source: Ch9 Differentiation Exam Questions 1</t>
      </text>
    </comment>
    <comment ref="G144" authorId="0" shapeId="0">
      <text>
        <t>Question 33 (b) (page 32)
Question 34 (a, b) (page 33)
Question 35 (a, b) (page 35)
Question 50 (a) (page 53)
Question 61 (a, b) (page 66)
Question 71 (page 79)
Question 72 (a, b) (page 80)
Source: Question Set 9: Differentiation exam questions</t>
      </text>
    </comment>
    <comment ref="J144" authorId="0" shapeId="0">
      <text>
        <t>Page 1: the question starting there
Page 2: the question starting there (a)
Source: Parametric Differentiation</t>
      </text>
    </comment>
    <comment ref="N144" authorId="0" shapeId="0">
      <text>
        <t>Page 3: the question starting there (b)
Page 4: the question starting there (b)
Page 5: the question starting there (a, b)
Page 6: the question starting there (b, c)
Page 7: the question starting there (b)
Page 8: the question starting there (a, b)
Page 9: the question starting there
Page 14: the question starting there (a, b)
Source: Ch8 Parametric Equations Exam Questions</t>
      </text>
    </comment>
    <comment ref="G145" authorId="0" shapeId="0">
      <text>
        <t>Question 20 (page 19)
Question 21 (page 20)
Question 22 (page 21)
Question 37 (page 37)
Question 58 (b, c) (page 61)
Question 60 (page 64)
Question 63 (page 69)
Question 69 (page 76)
Source: Question Set 9: Differentiation exam questions</t>
      </text>
    </comment>
    <comment ref="J145" authorId="0" shapeId="0">
      <text>
        <t>Page 4: the question starting there
Page 7: the question starting there
Source: Tangents and Normals</t>
      </text>
    </comment>
    <comment ref="N145" authorId="0" shapeId="0">
      <text>
        <t>Page 1: the question starting there
Page 5: the question starting there
Page 6: the question starting there
Page 9: the question starting there
Page 10: the question starting there
Page 11: the question starting there
Page 12: the question starting there
Page 13: the question starting there
Source: Ch9 Differentiation Exam Questions 2</t>
      </text>
    </comment>
    <comment ref="G146" authorId="0" shapeId="0">
      <text>
        <t>Question 33 (a) (page 30)
Question 34 (a) (page 32)
Question 43 (a) (page 42)
Question 51 (a) (page 54)
Question 71 (a) (page 77)
Source: Question Set 11: Integration exam questions</t>
      </text>
    </comment>
    <comment ref="J146" authorId="0" shapeId="0">
      <text>
        <t>Page 1: the question starting there (a)
Page 3: the question starting there (a)
Source: Rates of Change</t>
      </text>
    </comment>
    <comment ref="N146" authorId="0" shapeId="0">
      <text>
        <t>Page 2: the question starting there (a)
Page 5: the question starting there
Page 6: the question starting there (a)
Page 11: the question starting there (a)
Page 13: the question starting there (a)
Source: Ch11 Integration Exam Questions 3</t>
      </text>
    </comment>
    <comment ref="G149" authorId="0" shapeId="0">
      <text>
        <t>Question 1 (page 1)
Question 2 (page 1)
Source: A Level Maths: Integration — Medium</t>
      </text>
    </comment>
    <comment ref="J149" authorId="0" shapeId="0">
      <text>
        <t>Page 1: the question starting there
Page 2: the question starting there
Page 5: the question starting there
Source: Basic Integration</t>
      </text>
    </comment>
    <comment ref="N149" authorId="0" shapeId="0">
      <text>
        <t>Page 1: the question starting there
Page 3: the question starting there (a)
Page 12: the question starting there (a)
Page 16: the question starting there
Source: Ch13 Integration Exam Question</t>
      </text>
    </comment>
    <comment ref="G150" authorId="0" shapeId="0">
      <text>
        <t>Question 1 (page 1)
Question 2 (page 1)
Question 3 (page 1)
Question 5 (b) (page 2)
Question 6 (page 3)
Question 7 (page 3)
Question 8 (page 3)
Source: A Level Maths: Integration — Medium</t>
      </text>
    </comment>
    <comment ref="J150" authorId="0" shapeId="0">
      <text>
        <t>Page 1: the question starting there
Page 2: the question starting there
Page 5: the question starting there
Source: Basic Integration</t>
      </text>
    </comment>
    <comment ref="N150" authorId="0" shapeId="0">
      <text>
        <t>Page 1: the question starting there
Page 3: the question starting there (a)
Page 9: the question starting there (a)
Page 10: the question starting there (b)
Page 12: the question starting there (a)
Page 14: the question starting there (i)
Page 16: the question starting there
Page 18: the question starting there (b)
Source: Ch13 Integration Exam Question</t>
      </text>
    </comment>
    <comment ref="G151" authorId="0" shapeId="0">
      <text>
        <t>Question 4 (page 2)
Question 7 (page 4)
Question 9 (page 5)
Source: Exam Booklet</t>
      </text>
    </comment>
    <comment ref="J151" authorId="0" shapeId="0">
      <text>
        <t>Page 4: the question starting there
Page 6: the question starting there (b)
Source: Basic Integration</t>
      </text>
    </comment>
    <comment ref="N151" authorId="0" shapeId="0">
      <text>
        <t>Page 9: the question starting there
Source: Ch11 Integration Exam Questions 1</t>
      </text>
    </comment>
    <comment ref="G152" authorId="0" shapeId="0">
      <text>
        <t>Question 10 (page 4)
Question 11 (page 5)
Question 12 (page 5)
Source: A Level Maths: Integration — Medium</t>
      </text>
    </comment>
    <comment ref="J152" authorId="0" shapeId="0">
      <text>
        <t>Page 1: the question starting there
Source: Definite Integration</t>
      </text>
    </comment>
    <comment ref="N152" authorId="0" shapeId="0">
      <text>
        <t>Page 3: the question starting there (b)
Page 5: the question starting there
Page 7: the question starting there
Page 12: the question starting there (b, c)
Page 14: the question starting there (ii)
Source: Ch13 Integration Exam Question</t>
      </text>
    </comment>
    <comment ref="G153" authorId="0" shapeId="0">
      <text>
        <t>Question 11 (b) (page 8)
Source: Exam Booklet</t>
      </text>
    </comment>
    <comment ref="J153" authorId="0" shapeId="0">
      <text>
        <t>Page 2: the question starting there
Source: Finding Area using Integration</t>
      </text>
    </comment>
    <comment ref="N153" authorId="0" shapeId="0">
      <text>
        <t>Page 4: the question starting there
Page 6: the question starting there (c)
Page 9: the question starting there (a, b)
Source: Ch13 Integration Exam Question</t>
      </text>
    </comment>
    <comment ref="G154" authorId="0" shapeId="0">
      <text>
        <t>Question 10 (b) (page 6)
Question 12 (b) (page 10)
Source: Exam Booklet</t>
      </text>
    </comment>
    <comment ref="J154" authorId="0" shapeId="0">
      <text>
        <t>Page 1: the question starting there (c)
Page 2: the question starting there (b)
Page 3: the question starting there
Page 4: the question starting there (c)
Source: Finding Area using Integration</t>
      </text>
    </comment>
    <comment ref="N154" authorId="0" shapeId="0">
      <text>
        <t>Page 2: the question starting there
Page 8: the question starting there (b)
Page 11: the question starting there (d)
Page 13: the question starting there (c)
Page 15: the question starting there (b)
Page 17: the question starting there (b)
Source: Ch13 Integration Exam Question</t>
      </text>
    </comment>
    <comment ref="G155" authorId="0" shapeId="0">
      <text>
        <t>Question 1 (page 1)
Question 3 (page 3)
Question 27 (page 25)
Question 28 (page 26)
Source: Question Set 11: Integration exam questions</t>
      </text>
    </comment>
    <comment ref="J155" authorId="0" shapeId="0">
      <text>
        <t>Page 1: the question starting there (b)
Source: Definite Integration</t>
      </text>
    </comment>
    <comment ref="N155" authorId="0" shapeId="0">
      <text>
        <t>Page 1: the question starting there (a)
Page 13: the question starting there (ii)
Source: Ch11 Integration Exam Questions 1</t>
      </text>
    </comment>
    <comment ref="G156" authorId="0" shapeId="0">
      <text>
        <t>Question 1 (b, c) (page 1)
Question 4 (a) (page 4)
Question 26 (page 24)
Question 27 (page 25)
Question 28 (page 26)
Question 29 (page 27)
Question 30 (page 27)
Source: Question Set 11: Integration exam questions</t>
      </text>
    </comment>
    <comment ref="J156" authorId="0" shapeId="0">
      <text>
        <t>Question 1 (page 1)
Question 2 (page 1)
Question 3 (page 1)
Question 4 (page 1)
Question 5 (page 1)
Question 6 (page 1)
Source: 03a. Integrating functions of ax + b</t>
      </text>
    </comment>
    <comment ref="N156" authorId="0" shapeId="0">
      <text>
        <t>Page 1: the question starting there
Page 11: the question starting there (a)
Page 19: the question starting there (ii)
Source: Ch11 Integration Exam Questions 1</t>
      </text>
    </comment>
    <comment ref="G157" authorId="0" shapeId="0">
      <text>
        <t>Question 2 (page 2)
Question 4 (b) (page 4)
Question 5 (page 5)
Question 6 (page 6)
Question 7 (page 7)
Question 57 (b) (page 62)
Source: Question Set 11: Integration exam questions</t>
      </text>
    </comment>
    <comment ref="J157" authorId="0" shapeId="0">
      <text>
        <t>Question 3 (page 1)
Question 4 (page 1)
Question 5 (a,b,c,e,f,g,h,i) (page 1)
Question 6 (a,b,c,e,f) (page 1)
Source: 02a. Integrating trigonometric functions</t>
      </text>
    </comment>
    <comment ref="N157" authorId="0" shapeId="0">
      <text>
        <t>Page 14: the question starting there
Source: Ch11 Integration Exam Questions 1</t>
      </text>
    </comment>
    <comment ref="G158" authorId="0" shapeId="0">
      <text>
        <t>Question 3 (a) (page 3)
Question 45 (b) (page 45)
Question 63 (page 69)
Source: Question Set 11: Integration exam questions</t>
      </text>
    </comment>
    <comment ref="J158" authorId="0" shapeId="0">
      <text>
        <t>Question 6 (page 2)
Question 7 (page 2)
Question 8 (page 2)
Source: 04a. Integration by substitution</t>
      </text>
    </comment>
    <comment ref="N158" authorId="0" shapeId="0">
      <text>
        <t>Page 11: the question starting there (b)
Source: Ch11 Integration Exam Questions 1</t>
      </text>
    </comment>
    <comment ref="G159" authorId="0" shapeId="0">
      <text>
        <t>Question 8 (page 7)
Question 11 (page 9)
Question 13 (page 11)
Question 14 (page 12)
Question 47 (page 47)
Question 48 (page 48)
Question 61 (page 67)
Question 69 (page 75)
Source: Question Set 11: Integration exam questions</t>
      </text>
    </comment>
    <comment ref="J159" authorId="0" shapeId="0">
      <text>
        <t>Page 1: the question starting there
Page 2: the question starting there (c)
Source: Integration by Substitution</t>
      </text>
    </comment>
    <comment ref="N159" authorId="0" shapeId="0">
      <text>
        <t>Page 4: the question starting there (a)
Page 7: the question starting there (a)
Page 13: the question starting there (c)
Page 14: the question starting there (a)
Source: Ch11 Integration Exam Questions 3</t>
      </text>
    </comment>
    <comment ref="G160" authorId="0" shapeId="0">
      <text>
        <t>Question 18 (page 19)
Question 19 (page 19)
Question 20 (page 20)
Question 21 (page 20)
Question 22 (page 21)
Question 23 (page 22)
Question 24 (page 22)
Question 25 (page 23)
Source: Question Set 11: Integration exam questions</t>
      </text>
    </comment>
    <comment ref="J160" authorId="0" shapeId="0">
      <text>
        <t>Page 1: the question starting there (b)
Page 2: the question starting there
Source: Integration by Parts</t>
      </text>
    </comment>
    <comment ref="N160" authorId="0" shapeId="0">
      <text>
        <t>Page 14: the question starting there (b)
Page 15: the question starting there
Page 16: the question starting there
Page 19: the question starting there (i)
Source: Ch11 Integration Exam Questions 1</t>
      </text>
    </comment>
    <comment ref="G161" authorId="0" shapeId="0">
      <text>
        <t>Question 31 (page 28)
Question 32 (page 29)
Question 49 (page 50)
Question 65 (page 71)
Source: Question Set 11: Integration exam questions</t>
      </text>
    </comment>
    <comment ref="J161" authorId="0" shapeId="0">
      <text>
        <t>Page 5: the question starting there
Source: Definite Integration</t>
      </text>
    </comment>
    <comment ref="N161" authorId="0" shapeId="0">
      <text>
        <t>Page 5: the question starting there (b)
Page 18: the question starting there
Source: Ch11 Integration Exam Questions 1</t>
      </text>
    </comment>
    <comment ref="G162" authorId="0" shapeId="0">
      <text>
        <t>Question 60 (page 65)
Source: Question Set 11: Integration exam questions</t>
      </text>
    </comment>
    <comment ref="J162" authorId="0" shapeId="0">
      <text>
        <t>Page 5: the question starting there (b)
Page 8: the question starting there (b)
Page 11: the question starting there (c)
Source: Finding Areas using Integration 2</t>
      </text>
    </comment>
    <comment ref="N162" authorId="0" shapeId="0">
      <text>
        <t>Page 3: the question starting there
Source: Ch11 Integration Exam Questions 1</t>
      </text>
    </comment>
    <comment ref="G163" authorId="0" shapeId="0">
      <text>
        <t>Question 46 (page 46)
Source: Question Set 11: Integration exam questions</t>
      </text>
    </comment>
    <comment ref="J163" authorId="0" shapeId="0">
      <text>
        <t>Page 1: the question starting there
Source: Definite Integration</t>
      </text>
    </comment>
    <comment ref="N163" authorId="0" shapeId="0">
      <text>
        <t>Page 6: the question starting there
Source: Ch11 Integration Exam Questions 1</t>
      </text>
    </comment>
    <comment ref="G164" authorId="0" shapeId="0">
      <text>
        <t>Question 15 (b) (page 13)
Question 16 (page 15)
Question 17 (b, c) (page 17)
Question 55 (page 59)
Source: Question Set 11: Integration exam questions</t>
      </text>
    </comment>
    <comment ref="J164" authorId="0" shapeId="0">
      <text>
        <t>Page 1: the question starting there
Source: Parametric Integration</t>
      </text>
    </comment>
    <comment ref="N164" authorId="0" shapeId="0">
      <text>
        <t>Page 1: the question starting there (a)
Page 2: the question starting there (a, b)
Page 4: the question starting there (c, d)
Page 5: the question starting there (b, c)
Page 7: the question starting there (d)
Source: Ch11 Integration Exam Questions 4</t>
      </text>
    </comment>
    <comment ref="G165" authorId="0" shapeId="0">
      <text>
        <t>Question 35 (b, c) (page 34)
Question 36 (page 35)
Question 37 (page 36)
Question 38 (page 37)
Question 64 (page 70)
Question 70 (a) (page 76)
Source: Question Set 11: Integration exam questions</t>
      </text>
    </comment>
    <comment ref="J165" authorId="0" shapeId="0">
      <text>
        <t>Page 1: the question starting there (b)
Page 2: the question starting there (b)
Source: Solving Differential Equations</t>
      </text>
    </comment>
    <comment ref="N165" authorId="0" shapeId="0">
      <text>
        <t>Page 1: the question starting there (a)
Page 8: the question starting there (b)
Page 9: the question starting there (b)
Page 10: the question starting there (b)
Page 15: the question starting there (b)
Page 16: the question starting there (b)
Source: Ch11 Integration Exam Questions 3</t>
      </text>
    </comment>
    <comment ref="G166" authorId="0" shapeId="0">
      <text>
        <t>Question 33 (page 30)
Question 34 (page 32)
Question 39 (page 38)
Question 41 (page 40)
Question 42 (page 41)
Question 43 (page 42)
Question 51 (page 54)
Question 71 (page 77)
Source: Question Set 11: Integration exam questions</t>
      </text>
    </comment>
    <comment ref="J166" authorId="0" shapeId="0">
      <text>
        <t>Page 1: the question starting there (b, c)
Page 2: the question starting there
Source: Solving Differential Equations</t>
      </text>
    </comment>
    <comment ref="N166" authorId="0" shapeId="0">
      <text>
        <t>Page 1: the question starting there
Page 2: the question starting there
Page 4: the question starting there (b, c)
Page 6: the question starting there
Page 11: the question starting there
Page 13: the question starting there
Page 15: the question starting there
Page 16: the question starting there (b, c)
Source: Ch11 Integration Exam Questions 3</t>
      </text>
    </comment>
    <comment ref="G169" authorId="0" shapeId="0">
      <text>
        <t>Question 1 (a, d) (page 2)
Question 2 (c) (page 4)
Question 3 (b) (page 6)
Question 6 (a) (page 10)
Question 7 (a) (page 12)
Question 14 (c) (page 21)
Question 16 (a) (page 25)
Question 18 (a) (page 28)
Source: Question Set 10: Numerical Methods exam questions</t>
      </text>
    </comment>
    <comment ref="J169" authorId="0" shapeId="0">
      <text>
        <t>Page 1: the question starting there (c)
Page 2: the question starting there (e)
Source: Location of Roots</t>
      </text>
    </comment>
    <comment ref="N169" authorId="0" shapeId="0">
      <text>
        <t>Page 1: the question starting there (a)
Page 3: the question starting there (b)
Page 6: the question starting there (a, c)
Page 8: the question starting there (a, d)
Page 9: the question starting there (c)
Page 10: the question starting there (c)
Page 11: the question starting there (d)
Page 12: the question starting there (c)
Source: Ch10 Numerical Methods Exam Questions</t>
      </text>
    </comment>
    <comment ref="G170" authorId="0" shapeId="0">
      <text>
        <t>Question 1 (b, c) (page 2)
Question 2 (a, b) (page 4)
Question 3 (c, d) (page 6)
Question 4 (page 8)
Question 11 (b) (page 17)
Question 12 (page 18)
Question 15 (c) (page 23)
Question 19 (d, e) (page 30)
Source: Question Set 10: Numerical Methods exam questions</t>
      </text>
    </comment>
    <comment ref="J170" authorId="0" shapeId="0">
      <text>
        <t>Page 1: the question starting there (b)
Page 2: the question starting there (b, c)
Page 3: the question starting there (c, d)
Source: Iterative Equations</t>
      </text>
    </comment>
    <comment ref="N170" authorId="0" shapeId="0">
      <text>
        <t>Page 1: the question starting there (b)
Page 3: the question starting there (c, d)
Page 4: the question starting there (c)
Page 6: the question starting there (b)
Page 7: the question starting there (b)
Page 8: the question starting there (b, c)
Page 10: the question starting there (a, b)
Page 12: the question starting there (a, b)
Source: Ch10 Numerical Methods Exam Questions</t>
      </text>
    </comment>
    <comment ref="G171" authorId="0" shapeId="0">
      <text>
        <t>Question 5 (b) (page 9)
Question 6 (c) (page 10)
Question 7 (c) (page 12)
Question 8 (b) (page 13)
Question 9 (page 14)
Question 16 (b) (page 25)
Question 17 (b) (page 26)
Question 18 (c, d) (page 28)
Source: Question Set 10: Numerical Methods exam questions</t>
      </text>
    </comment>
    <comment ref="J171" authorId="0" shapeId="0">
      <text>
        <t>Page 1: the question starting there (c)
Source: Newton Raphson</t>
      </text>
    </comment>
    <comment ref="N171" authorId="0" shapeId="0">
      <text>
        <t>Page 2: the question starting there
Source: Ch10 Numerical Methods Exam Questions</t>
      </text>
    </comment>
    <comment ref="G172" authorId="0" shapeId="0">
      <text>
        <t>Question 50 (b, c) (page 52)
Question 52 (page 56)
Question 62 (page 68)
Question 66 (page 72)
Source: Question Set 11: Integration exam questions</t>
      </text>
    </comment>
    <comment ref="J172" authorId="0" shapeId="0">
      <text>
        <t>Page 1: the question starting there (a)
Page 2: the question starting there
Page 3: the question starting there
Source: Trapezium Rule</t>
      </text>
    </comment>
    <comment ref="N172" authorId="0" shapeId="0">
      <text>
        <t>Page 1: the question starting there
Page 2: the question starting there
Page 3: the question starting there (a)
Page 4: the question starting there (b, d, e)
Page 7: the question starting there (a, c)
Page 8: the question starting there (b)
Page 9: the question starting there (a)
Page 11: the question starting there (b, c)
Source: Ch11 Integration Exam Questions 2</t>
      </text>
    </comment>
    <comment ref="G173" authorId="0" shapeId="0">
      <text>
        <t>Question 13 (page 19)
Source: Question Set 10: Numerical Methods exam questions</t>
      </text>
    </comment>
    <comment ref="J173" authorId="0" shapeId="0">
      <text>
        <t>Page 2: the question starting there
Source: Iterative Equations</t>
      </text>
    </comment>
    <comment ref="N173" authorId="0" shapeId="0">
      <text>
        <t>Page 1: the question starting there
Source: Ch11 Integration Exam Questions 2</t>
      </text>
    </comment>
    <comment ref="J176" authorId="0" shapeId="0">
      <text>
        <t>Question 1 (page 1)
Question 2 (page 1)
Question 7 (page 1)
Question 9 (a) (page 1)
Question 10 (a,c,d) (page 1)
Source: 2a. Cartesian components of a vector</t>
      </text>
    </comment>
    <comment ref="G177" authorId="0" shapeId="0">
      <text>
        <t>Question 1 (page 1)
Question 4 (a) (page 2)
Question 6 (a) (page 3)
Question 8 (a) (page 4)
Question 9 (a, c) (page 5)
Source: A Level Maths: Vectors — Medium</t>
      </text>
    </comment>
    <comment ref="J177" authorId="0" shapeId="0">
      <text>
        <t>Page 2: the question starting there (a, c)
Page 3: the question starting there (c)
Page 4: the question starting there (a)
Page 7: the question starting there (a)
Source: Vectors</t>
      </text>
    </comment>
    <comment ref="N177" authorId="0" shapeId="0">
      <text>
        <t>Page 2: the question starting there (a, b)
Page 3: the question starting there (b)
Page 4: the question starting there
Source: Ch12 Vectors Exam Questions</t>
      </text>
    </comment>
    <comment ref="G178" authorId="0" shapeId="0">
      <text>
        <t>Question 1 (b) (page 1)
Question 2 (page 2)
Question 3 (b) (page 2)
Question 5 (b) (page 3)
Question 7 (page 4)
Source: Exam Booklet</t>
      </text>
    </comment>
    <comment ref="J178" authorId="0" shapeId="0">
      <text>
        <t>Page 2: the question starting there (b)
Page 3: the question starting there (b)
Page 6: the question starting there
Source: Vectors</t>
      </text>
    </comment>
    <comment ref="N178" authorId="0" shapeId="0">
      <text>
        <t>Page 1: the question starting there (b)
Page 3: the question starting there (a)
Page 4: the question starting there (b)
Source: Ch11 Vectors Exam Questions</t>
      </text>
    </comment>
    <comment ref="G179" authorId="0" shapeId="0">
      <text>
        <t>Question 2 (page 1)
Question 3 (page 1)
Question 5 (page 2)
Question 9 (b) (page 5)
Source: A Level Maths: Vectors — Medium</t>
      </text>
    </comment>
    <comment ref="J179" authorId="0" shapeId="0">
      <text>
        <t>Page 1: the question starting there (a)
Page 3: the question starting there (a, b)
Source: Vectors</t>
      </text>
    </comment>
    <comment ref="N179" authorId="0" shapeId="0">
      <text>
        <t>Page 1: the question starting there
Page 4: the question starting there
Source: Ch11 Vectors Exam Questions</t>
      </text>
    </comment>
    <comment ref="G180" authorId="0" shapeId="0">
      <text>
        <t>Question 8 (page 4)
Question 9 (page 5)
Question 11 (b) (page 7)
Source: A Level Maths: Vectors — Medium</t>
      </text>
    </comment>
    <comment ref="J180" authorId="0" shapeId="0">
      <text>
        <t>Page 2: the question starting there (c)
Page 3: the question starting there (c)
Page 7: the question starting there (a)
Source: Vectors</t>
      </text>
    </comment>
    <comment ref="N180" authorId="0" shapeId="0">
      <text>
        <t>Page 2: the question starting there (ii)
Source: Ch11 Vectors Exam Questions</t>
      </text>
    </comment>
    <comment ref="G181" authorId="0" shapeId="0">
      <text>
        <t>Question 4 (page 2)
Question 10 (page 6)
Source: A Level Maths: Vectors — Medium</t>
      </text>
    </comment>
    <comment ref="J181" authorId="0" shapeId="0">
      <text>
        <t>Page 1: the question starting there
Page 7: the question starting there (b)
Source: Vectors</t>
      </text>
    </comment>
    <comment ref="N181" authorId="0" shapeId="0">
      <text>
        <t>Page 3: the question starting there
Source: Ch11 Vectors Exam Questions</t>
      </text>
    </comment>
    <comment ref="G182" authorId="0" shapeId="0">
      <text>
        <t>Question 1 (page 1)
Question 2 (page 2)
Question 3 (page 3)
Question 4 (page 4)
Question 5 (page 5)
Question 6 (page 6)
Source: Question Set 12: Vectors exam questions</t>
      </text>
    </comment>
    <comment ref="J182" authorId="0" shapeId="0">
      <text>
        <t>Page 4: the question starting there (a)
Page 5: the question starting there (a)
Page 6: the question starting there
Source: Vectors</t>
      </text>
    </comment>
    <comment ref="N182" authorId="0" shapeId="0">
      <text>
        <t>Page 1: the question starting there
Page 3: the question starting there (a)
Page 5: the question starting there (a)
Source: Ch12 Vectors Exam Questions</t>
      </text>
    </comment>
    <comment ref="G183" authorId="0" shapeId="0">
      <text>
        <t>Question 7 (page 6)
Question 8 (page 7)
Question 9 (b) (page 8)
Question 10 (b) (page 9)
Question 11 (c) (page 10)
Question 12 (page 12)
Source: Question Set 12: Vectors exam questions</t>
      </text>
    </comment>
    <comment ref="J183" authorId="0" shapeId="0">
      <text>
        <t>Page 4: the question starting there (b)
Page 5: the question starting there
Source: Vectors</t>
      </text>
    </comment>
    <comment ref="N183" authorId="0" shapeId="0">
      <text>
        <t>Page 1: the question starting there
Page 2: the question starting there
Page 3: the question starting there (b)
Page 4: the question starting there
Page 5: the question starting there
Page 6: the question starting there
Source: Ch12 Vectors Exam Questions</t>
      </text>
    </comment>
    <comment ref="G184" authorId="0" shapeId="0">
      <text>
        <t>Question 3 (page 1)
Question 5 (page 2)
Question 6 (page 2)
Source: A Level Maths: Vectors — Medium</t>
      </text>
    </comment>
    <comment ref="J184" authorId="0" shapeId="0">
      <text>
        <t>Question 21 (page 2)
Source: 2a. Cartesian components of a vector</t>
      </text>
    </comment>
  </commentList>
</comments>
</file>

<file path=xl/comments/comment2.xml><?xml version="1.0" encoding="utf-8"?>
<comments xmlns="http://schemas.openxmlformats.org/spreadsheetml/2006/main">
  <authors>
    <author>Tracker</author>
  </authors>
  <commentList>
    <comment ref="G9" authorId="0" shapeId="0">
      <text>
        <t>Question 2 (page 2)
Question 3 (a, b) (page 3)
Source: 1.2 Sampling</t>
      </text>
    </comment>
    <comment ref="J9" authorId="0" shapeId="0">
      <text>
        <t>Page 1: the question starting there (a,c)
Page 2: the question starting there
Page 3: the question starting there
Page 4: the question starting there
Page 4: the question starting there
Page 5: the question starting there (a,b,c,d)
Source: Sampling methods 1</t>
      </text>
    </comment>
    <comment ref="N9" authorId="0" shapeId="0">
      <text>
        <t>Page 11: the question starting there (a, b, c)
Source: Ch6 Statistical Distributions and Ch7 Hypothesis Testing Exam Questions</t>
      </text>
    </comment>
    <comment ref="G10" authorId="0" shapeId="0">
      <text>
        <t>Question 1 (page 1)
Question 4 (page 4)
Question 6 (page 6)
Question 7 (page 6)
Source: 1.2 Sampling</t>
      </text>
    </comment>
    <comment ref="J10" authorId="0" shapeId="0">
      <text>
        <t>Page 1: the question starting there (a,b)
Page 2: the question starting there (a)
Page 3: the question starting there (b,c)
Page 3: the question starting there (b)
Page 3: the question starting there
Page 4: the question starting there (a)
Page 4: the question starting there
Page 5: the question starting there (a)
Source: Sampling methods 2</t>
      </text>
    </comment>
    <comment ref="N10" authorId="0" shapeId="0">
      <text>
        <t>Page 2: the question starting there (a)
Source: Ch4 Correlation Exam Questions</t>
      </text>
    </comment>
    <comment ref="G11" authorId="0" shapeId="0">
      <text>
        <t>Question 1 (page 1)
Question 3 (c, d) (page 3)
Question 5 (page 5)
Source: 1.2 Sampling</t>
      </text>
    </comment>
    <comment ref="J11" authorId="0" shapeId="0">
      <text>
        <t>Page 2: the question starting there (b)
Page 3: the question starting there (a)
Page 3: the question starting there (a)
Page 4: the question starting there (b)
Page 5: the question starting there (b)
Source: Sampling methods 2</t>
      </text>
    </comment>
    <comment ref="N11" authorId="0" shapeId="0">
      <text>
        <t>Page 5: the question starting there (a, b)
Source: Ch2 Measures of Location and Spread + Ch3 Representation of Data Exam Questions 2</t>
      </text>
    </comment>
    <comment ref="G15" authorId="0" shapeId="0">
      <text>
        <t>Question 1 (a, b) (page 2)
Question 2 (a) (page 4)
Question 3 (a, b) (page 6)
Question 4 (a, c) (page 8)
Source: Question Set 2: Measures of Location and Spread exam questions</t>
      </text>
    </comment>
    <comment ref="J15" authorId="0" shapeId="0">
      <text>
        <t>Page 1: the question starting there (b)
Page 2: the question starting there (a)
Page 3: the question starting there (a)
Source: Data Presentation and Interpretation</t>
      </text>
    </comment>
    <comment ref="N15" authorId="0" shapeId="0">
      <text>
        <t>Page 1: the question starting there (b)
Page 3: the question starting there (d)
Page 8: the question starting there (c)
Page 9: the question starting there (a, b)
Page 11: the question starting there (c)
Page 12: the question starting there (b, c)
Page 13: the question starting there (a, d)
Page 16: the question starting there (b, c, d)
Source: Ch2 Measures of Location and Spread + Ch3 Representation of Data Exam Questions 2</t>
      </text>
    </comment>
    <comment ref="G16" authorId="0" shapeId="0">
      <text>
        <t>Question 1 (a) (page 2)
Question 2 (a) (page 4)
Question 3 (a) (page 6)
Question 4 (c) (page 8)
Source: Question Set 2: Measures of Location and Spread exam questions</t>
      </text>
    </comment>
    <comment ref="J16" authorId="0" shapeId="0">
      <text>
        <t>Page 1: the question starting there (b)
Page 2: the question starting there (a)
Source: Data Presentation and Interpretation</t>
      </text>
    </comment>
    <comment ref="N16" authorId="0" shapeId="0">
      <text>
        <t>Page 1: the question starting there (b)
Page 3: the question starting there (b)
Page 8: the question starting there (c, d)
Page 9: the question starting there (a)
Page 11: the question starting there (c)
Page 12: the question starting there (b)
Page 16: the question starting there (b)
Source: Ch2 Measures of Location and Spread + Ch3 Representation of Data Exam Questions 2</t>
      </text>
    </comment>
    <comment ref="G17" authorId="0" shapeId="0">
      <text>
        <t>Question 1 (c) (page 2)
Question 2 (b) (page 4)
Question 3 (c) (page 6)
Question 4 (b) (page 8)
Question 5 (page 9)
Question 6 (page 10)
Question 7 (page 10)
Source: Question Set 2: Measures of Location and Spread exam questions</t>
      </text>
    </comment>
    <comment ref="J17" authorId="0" shapeId="0">
      <text>
        <t>Page 1: the question starting there (c)
Page 2: the question starting there (b)
Page 3: the question starting there (b)
Page 4: the question starting there (b)
Source: Large data sets</t>
      </text>
    </comment>
    <comment ref="N17" authorId="0" shapeId="0">
      <text>
        <t>Page 2: the question starting there (b)
Page 3: the question starting there (c)
Page 5: the question starting there (c, d)
Page 6: the question starting there (c)
Page 9: the question starting there (c)
Page 12: the question starting there (c)
Page 13: the question starting there (b, d)
Source: Ch2 Measures of Location and Spread + Ch3 Representation of Data Exam Questions 2</t>
      </text>
    </comment>
    <comment ref="G18" authorId="0" shapeId="0">
      <text>
        <t>Question 2 (c) (page 4)
Source: Question Set 2: Measures of Location and Spread exam questions</t>
      </text>
    </comment>
    <comment ref="J18" authorId="0" shapeId="0">
      <text>
        <t>Page 1: the question starting there (b, c)
Source: Large data sets</t>
      </text>
    </comment>
    <comment ref="N18" authorId="0" shapeId="0">
      <text>
        <t>Page 13: the question starting there (e)
Source: Ch2 Measures of Location and Spread + Ch3 Representation of Data Exam Questions 2</t>
      </text>
    </comment>
    <comment ref="G19" authorId="0" shapeId="0">
      <text>
        <t>Question 5 (c) (page 7)
Question 6 (c) (page 9)
Question 7 (a, b, d) (page 11)
Question 9 (page 16)
Source: Question Set 3: Representations of Data exam questions</t>
      </text>
    </comment>
    <comment ref="J19" authorId="0" shapeId="0">
      <text>
        <t>Page 13: the question starting there (a,b,c)
Page 19: the question starting there
Page 24: the question starting there (a,b)
Page 25: the question starting there (b,c)
Page 26: the question starting there (b)
Page 30: the question starting there (d,e)
Page 32: the question starting there (b)
Page 33: the question starting there (c)
Source: Representation and summary data</t>
      </text>
    </comment>
    <comment ref="N19" authorId="0" shapeId="0">
      <text>
        <t>Page 2: the question starting there (d)
Page 8: the question starting there (e)
Page 15: the question starting there
Source: Ch2 Measures of Location and Spread + Ch3 Representation of Data Exam Questions 2</t>
      </text>
    </comment>
    <comment ref="G21" authorId="0" shapeId="0">
      <text>
        <t>Question 1 (page 2)
Question 2 (page 4)
Question 3 (page 5)
Question 4 (page 6)
Question 10 (page 17)
Source: Question Set 3: Representations of Data exam questions</t>
      </text>
    </comment>
    <comment ref="J21" authorId="0" shapeId="0">
      <text>
        <t>Page 1: the question starting there (a)
Page 2: the question starting there
Page 3: the question starting there (a)
Page 4: the question starting there (a, d)
Source: Data Presentation and Interpretation</t>
      </text>
    </comment>
    <comment ref="N21" authorId="0" shapeId="0">
      <text>
        <t>Page 1: the question starting there (a)
Page 4: the question starting there
Page 7: the question starting there
Page 10: the question starting there
Page 11: the question starting there (a, b)
Page 12: the question starting there (a)
Page 14: the question starting there (a, b, c)
Page 16: the question starting there (a)
Source: Ch2 Measures of Location and Spread + Ch3 Representation of Data Exam Questions 2</t>
      </text>
    </comment>
    <comment ref="G22" authorId="0" shapeId="0">
      <text>
        <t>Question 5 (b) (page 7)
Question 6 (b) (page 9)
Question 7 (c) (page 11)
Question 9 (page 16)
Source: Question Set 3: Representations of Data exam questions</t>
      </text>
    </comment>
    <comment ref="J22" authorId="0" shapeId="0">
      <text>
        <t>Page 1: the question starting there (c)
Source: Data Presentation and Interpretation</t>
      </text>
    </comment>
    <comment ref="N22" authorId="0" shapeId="0">
      <text>
        <t>Page 1: the question starting there (c)
Page 3: the question starting there (a)
Page 8: the question starting there (e)
Page 15: the question starting there (c, d)
Source: Ch2 Measures of Location and Spread + Ch3 Representation of Data Exam Questions 2</t>
      </text>
    </comment>
    <comment ref="G23" authorId="0" shapeId="0">
      <text>
        <t>Question 7 (e) (page 11)
Question 8 (d) (page 14)
Source: Question Set 3: Representations of Data exam questions</t>
      </text>
    </comment>
    <comment ref="J23" authorId="0" shapeId="0">
      <text>
        <t>Page 5: the question starting there (c)
Source: Large data sets</t>
      </text>
    </comment>
    <comment ref="N23" authorId="0" shapeId="0">
      <text>
        <t>Page 8: the question starting there (f)
Page 16: the question starting there (d)
Source: Ch2 Measures of Location and Spread + Ch3 Representation of Data Exam Questions 2</t>
      </text>
    </comment>
    <comment ref="G24" authorId="0" shapeId="0">
      <text>
        <t>Question 1 (c, d) (page 2)
Question 2 (a, b) (page 4)
Source: Exam Booklet</t>
      </text>
    </comment>
    <comment ref="J24" authorId="0" shapeId="0">
      <text>
        <t>Page 1: the question starting there (a)
Page 2: the question starting there (a, b)
Page 4: the question starting there (a)
Source: Regression and Correlation</t>
      </text>
    </comment>
    <comment ref="N24" authorId="0" shapeId="0">
      <text>
        <t>Page 1: the question starting there (a)
Page 3: the question starting there (c)
Page 5: the question starting there (c)
Source: Ch4 Correlation Exam Questions</t>
      </text>
    </comment>
    <comment ref="G25" authorId="0" shapeId="0">
      <text>
        <t>Question 2 (c, d, e) (page 4)
Question 3 (page 5)
Source: Exam Booklet</t>
      </text>
    </comment>
    <comment ref="J25" authorId="0" shapeId="0">
      <text>
        <t>Page 1: the question starting there
Source: Regression and Correlation</t>
      </text>
    </comment>
    <comment ref="N25" authorId="0" shapeId="0">
      <text>
        <t>Page 1: the question starting there (b, c)
Page 2: the question starting there (b, c)
Page 5: the question starting there (d)
Source: Ch4 Correlation Exam Questions</t>
      </text>
    </comment>
    <comment ref="G26" authorId="0" shapeId="0">
      <text>
        <t>Question 6 (b, c) (page 9)
Question 7 (page 10)
Question 8 (page 11)
Question 9 (page 13)
Source: Question Set 1: Regression, Correlation and Hypothesis Testing exam questions</t>
      </text>
    </comment>
    <comment ref="J26" authorId="0" shapeId="0">
      <text>
        <t>Page 4: the question starting there (c)
Source: Regression and Correlation</t>
      </text>
    </comment>
    <comment ref="J27" authorId="0" shapeId="0">
      <text>
        <t>Page 1: the question starting there
Page 2: the question starting there (b, c, d)
Page 4: the question starting there (a, d)
Page 5: the question starting there (a, c, d)
Page 6: the question starting there (a, c)
Source: Large data sets</t>
      </text>
    </comment>
    <comment ref="N27" authorId="0" shapeId="0">
      <text>
        <t>Page 2: the question starting there (c, d)
Page 3: the question starting there (a, d)
Page 6: the question starting there (b)
Source: Ch2 Measures of Location and Spread + Ch3 Representation of Data Exam Questions 2</t>
      </text>
    </comment>
    <comment ref="G30" authorId="0" shapeId="0">
      <text>
        <t>Question 3 (page 1)
Question 5 (page 2)
Question 6 (page 3)
Source: A Level Maths: Probability — Medium</t>
      </text>
    </comment>
    <comment ref="J30" authorId="0" shapeId="0">
      <text>
        <t>Page 2: the question starting there
Page 4: the question starting there (a)
Source: Probability</t>
      </text>
    </comment>
    <comment ref="N30" authorId="0" shapeId="0">
      <text>
        <t>Page 1: the question starting there (a)
Page 4: the question starting there
Page 6: the question starting there
Source: Ch5 Probability Exam Questions</t>
      </text>
    </comment>
    <comment ref="G31" authorId="0" shapeId="0">
      <text>
        <t>Question 1 (b) (page 2)
Question 2 (b) (page 4)
Question 3 (a) (page 6)
Question 4 (page 7)
Question 5 (b) (page 8)
Question 6 (b) (page 9)
Question 7 (page 10)
Source: Exam Booklet</t>
      </text>
    </comment>
    <comment ref="J31" authorId="0" shapeId="0">
      <text>
        <t>Page 5: the question starting there (a)
Page 9: the question starting there (c, d, e)
Page 11: the question starting there (a, b)
Source: Probability</t>
      </text>
    </comment>
    <comment ref="N31" authorId="0" shapeId="0">
      <text>
        <t>Page 3: the question starting there
Page 5: the question starting there (a, c)
Page 7: the question starting there (a, b, c)
Page 9: the question starting there (a, c, d, e)
Source: Ch5 Probability Exam Questions</t>
      </text>
    </comment>
    <comment ref="G32" authorId="0" shapeId="0">
      <text>
        <t>Question 1 (a, b) (page 2)
Question 2 (a, c) (page 4)
Question 4 (c) (page 7)
Question 5 (page 8)
Question 6 (page 9)
Source: Exam Booklet</t>
      </text>
    </comment>
    <comment ref="J32" authorId="0" shapeId="0">
      <text>
        <t>Page 5: the question starting there (b)
Page 11: the question starting there (b)
Source: Probability</t>
      </text>
    </comment>
    <comment ref="N32" authorId="0" shapeId="0">
      <text>
        <t>Page 3: the question starting there
Page 5: the question starting there (b)
Page 7: the question starting there (e)
Source: Ch5 Probability Exam Questions</t>
      </text>
    </comment>
    <comment ref="G33" authorId="0" shapeId="0">
      <text>
        <t>Question 5 (page 2)
Question 6 (page 3)
Source: A Level Maths: Probability — Medium</t>
      </text>
    </comment>
    <comment ref="J33" authorId="0" shapeId="0">
      <text>
        <t>Page 2: the question starting there
Source: Probability</t>
      </text>
    </comment>
    <comment ref="N33" authorId="0" shapeId="0">
      <text>
        <t>Page 1: the question starting there (a)
Page 6: the question starting there (b, c)
Page 8: the question starting there (a, b, d, e)
Source: Ch5 Probability Exam Questions</t>
      </text>
    </comment>
    <comment ref="G34" authorId="0" shapeId="0">
      <text>
        <t>Question 1 (page 2)
Question 2 (b, c) (page 4)
Question 3 (page 6)
Question 4 (page 8)
Source: Question Set 2: Conditional Probability exam questions</t>
      </text>
    </comment>
    <comment ref="J34" authorId="0" shapeId="0">
      <text>
        <t>Page 3: the question starting there (d, e, f)
Page 5: the question starting there (c)
Page 6: the question starting there (c, e, f)
Source: Probability</t>
      </text>
    </comment>
    <comment ref="N34" authorId="0" shapeId="0">
      <text>
        <t>Page 6: the question starting there (a, d)
Page 7: the question starting there (f)
Page 8: the question starting there (b)
Page 11: the question starting there (a, c)
Page 15: the question starting there
Page 19: the question starting there (a, b)
Source: Ch2 Conditional Probability Exam Questions</t>
      </text>
    </comment>
    <comment ref="G35" authorId="0" shapeId="0">
      <text>
        <t>Question 1 (b, c) (page 2)
Question 2 (b) (page 4)
Question 4 (c) (page 8)
Question 5 (c) (page 10)
Question 6 (c) (page 12)
Question 7 (b) (page 14)
Question 8 (c) (page 15)
Question 10 (b) (page 17)
Source: Question Set 2: Conditional Probability exam questions</t>
      </text>
    </comment>
    <comment ref="J35" authorId="0" shapeId="0">
      <text>
        <t>Page 1: the question starting there (c)
Page 2: the question starting there (a, b, f)
Page 5: the question starting there (a, b)
Source: Conditional Probability</t>
      </text>
    </comment>
    <comment ref="N35" authorId="0" shapeId="0">
      <text>
        <t>Page 9: the question starting there (b, c)
Page 10: the question starting there (d)
Page 12: the question starting there
Page 14: the question starting there (c)
Page 16: the question starting there (d, f)
Page 17: the question starting there (c)
Page 18: the question starting there (c)
Page 21: the question starting there (a, b)
Source: Ch2 Conditional Probability Exam Questions</t>
      </text>
    </comment>
    <comment ref="G36" authorId="0" shapeId="0">
      <text>
        <t>Question 7 (page 14)
Question 10 (b) (page 17)
Source: Question Set 2: Conditional Probability exam questions</t>
      </text>
    </comment>
    <comment ref="J36" authorId="0" shapeId="0">
      <text>
        <t>Page 1: the question starting there (c)
Page 2: the question starting there (c, f)
Page 4: the question starting there (c)
Source: Conditional Probability</t>
      </text>
    </comment>
    <comment ref="N36" authorId="0" shapeId="0">
      <text>
        <t>Page 4: the question starting there (d)
Page 7: the question starting there (f)
Page 9: the question starting there (a, b)
Page 14: the question starting there (c)
Page 16: the question starting there (d, f)
Page 19: the question starting there (a)
Page 20: the question starting there (f)
Source: Ch2 Conditional Probability Exam Questions</t>
      </text>
    </comment>
    <comment ref="G37" authorId="0" shapeId="0">
      <text>
        <t>Question 1 (page 2)
Question 2 (page 4)
Question 3 (page 6)
Question 4 (page 8)
Source: Question Set 2: Conditional Probability exam questions</t>
      </text>
    </comment>
    <comment ref="J37" authorId="0" shapeId="0">
      <text>
        <t>Page 5: the question starting there (c)
Page 6: the question starting there (c, d)
Source: Probability</t>
      </text>
    </comment>
    <comment ref="N37" authorId="0" shapeId="0">
      <text>
        <t>Page 6: the question starting there (a)
Page 7: the question starting there (f)
Page 11: the question starting there
Page 15: the question starting there (b, c)
Page 19: the question starting there (a, b)
Source: Ch2 Conditional Probability Exam Questions</t>
      </text>
    </comment>
    <comment ref="G38" authorId="0" shapeId="0">
      <text>
        <t>Question 5 (page 10)
Question 6 (page 12)
Question 8 (page 15)
Source: Question Set 2: Conditional Probability exam questions</t>
      </text>
    </comment>
    <comment ref="J38" authorId="0" shapeId="0">
      <text>
        <t>Page 1: the question starting there (a,b,c)
Page 4: the question starting there
Page 8: the question starting there
Page 11: the question starting there
Page 19: the question starting there
Source: Probability</t>
      </text>
    </comment>
    <comment ref="N38" authorId="0" shapeId="0">
      <text>
        <t>Page 8: the question starting there
Page 10: the question starting there
Page 17: the question starting there
Page 18: the question starting there (a, b, c)
Source: Ch2 Conditional Probability Exam Questions</t>
      </text>
    </comment>
    <comment ref="G39" authorId="0" shapeId="0">
      <text>
        <t>Question 12 (a) (page 13)
Question 14 (c) (page 15)
Source: Question Set 6: Statistical Distributions exam questions</t>
      </text>
    </comment>
    <comment ref="J39" authorId="0" shapeId="0">
      <text>
        <t>Page 5: the question starting there
Source: Conditional Probability</t>
      </text>
    </comment>
    <comment ref="N39" authorId="0" shapeId="0">
      <text>
        <t>Page 1: the question starting there (c, d)
Page 2: the question starting there (a, f)
Source: Ch2 Conditional Probability Exam Questions</t>
      </text>
    </comment>
    <comment ref="G42" authorId="0" shapeId="0">
      <text>
        <t>Question 1 (page 1)
Question 2 (page 2)
Question 3 (page 3)
Question 4 (page 4)
Question 9 (page 10)
Question 11 (page 12)
Question 13 (page 14)
Question 15 (page 16)
Source: Question Set 6: Statistical Distributions exam questions</t>
      </text>
    </comment>
    <comment ref="J42" authorId="0" shapeId="0">
      <text>
        <t>Page 4: the question starting there
Page 6: the question starting there (a)
Page 8: the question starting there
Source: Probability</t>
      </text>
    </comment>
    <comment ref="N42" authorId="0" shapeId="0">
      <text>
        <t>Page 1: the question starting there (a,b)
Page 2: the question starting there (d,e)
Page 5: the question starting there
Source: Ch2 Conditional Probability Exam Questions</t>
      </text>
    </comment>
    <comment ref="G43" authorId="0" shapeId="0">
      <text>
        <t>Question 5 (page 5)
Question 6 (page 6)
Question 7 (b) (page 7)
Question 8 (b,c) (page 9)
Question 10 (page 11)
Question 12 (a,b) (page 13)
Question 14 (page 15)
Source: Question Set 6: Statistical Distributions exam questions</t>
      </text>
    </comment>
    <comment ref="J43" authorId="0" shapeId="0">
      <text>
        <t>Page 1: the question starting there (a,b,c)
Page 3: the question starting there (a)
Page 4: the question starting there (d)
Page 5: the question starting there (a,b,c)
Source: Discrete Distributions - Binomial</t>
      </text>
    </comment>
    <comment ref="N43" authorId="0" shapeId="0">
      <text>
        <t>Page 1: the question starting there (a)
Page 2: the question starting there (b)
Page 4: the question starting there (a,b)
Page 5: the question starting there (a)
Page 6: the question starting there
Source: Ch6 Statistical Distributions and Ch7 Hypothesis Testing Exam Questions</t>
      </text>
    </comment>
    <comment ref="G44" authorId="0" shapeId="0">
      <text>
        <t>Question 5 (b,c) (page 5)
Question 6 (b,c) (page 6)
Question 7 (b) (page 7)
Question 8 (c) (page 9)
Question 10 (a) (page 11)
Question 14 (a) (page 15)
Source: Question Set 6: Statistical Distributions exam questions</t>
      </text>
    </comment>
    <comment ref="J44" authorId="0" shapeId="0">
      <text>
        <t>Page 1: the question starting there (b)
Page 3: the question starting there (a)
Page 4: the question starting there (d)
Page 5: the question starting there (b,c)
Source: Discrete Distributions - Binomial</t>
      </text>
    </comment>
    <comment ref="N44" authorId="0" shapeId="0">
      <text>
        <t>Page 1: the question starting there (a)
Page 2: the question starting there (b)
Page 4: the question starting there (a)
Page 5: the question starting there (a)
Page 6: the question starting there (c)
Source: Ch6 Statistical Distributions and Ch7 Hypothesis Testing Exam Questions</t>
      </text>
    </comment>
    <comment ref="G45" authorId="0" shapeId="0">
      <text>
        <t>Question 1 (page 1)
Question 2 (page 2)
Question 8 (a) (page 6)
Question 9 (a) (page 7)
Question 11 (a,b) (page 9)
Source: Question Set 3: The Normal Distribution exam questions</t>
      </text>
    </comment>
    <comment ref="J45" authorId="0" shapeId="0">
      <text>
        <t>Page 1: the question starting there (b,c)
Source: Normal Distribution</t>
      </text>
    </comment>
    <comment ref="N45" authorId="0" shapeId="0">
      <text>
        <t>Page 1: the question starting there (a,b)
Page 19: the question starting there
Page 20: the question starting there (a,d)
Page 21: the question starting there (a)
Page 22: the question starting there (a,b)
Page 23: the question starting there (a)
Page 24: the question starting there (a)
Page 26: the question starting there (a,b)
Source: Ch3 The Normal Distribution Exam Questions</t>
      </text>
    </comment>
    <comment ref="G46" authorId="0" shapeId="0">
      <text>
        <t>Question 3 (page 3)
Question 12 (a) (page 11)
Source: Question Set 3: The Normal Distribution exam questions</t>
      </text>
    </comment>
    <comment ref="J46" authorId="0" shapeId="0">
      <text>
        <t>Page 1: the question starting there (a)
Source: Normal Distribution</t>
      </text>
    </comment>
    <comment ref="N46" authorId="0" shapeId="0">
      <text>
        <t>Page 4: the question starting there (d)
Page 20: the question starting there (b,c)
Page 21: the question starting there (b)
Page 22: the question starting there (c,d)
Page 23: the question starting there (b)
Page 24: the question starting there (b)
Page 27: the question starting there (b)
Source: Ch3 The Normal Distribution Exam Questions</t>
      </text>
    </comment>
    <comment ref="G47" authorId="0" shapeId="0">
      <text>
        <t>Question 4 (page 3)
Question 5 (page 4)
Question 6 (page 4)
Question 7 (page 5)
Question 12 (a) (page 11)
Source: Question Set 3: The Normal Distribution exam questions</t>
      </text>
    </comment>
    <comment ref="J47" authorId="0" shapeId="0">
      <text>
        <t>Page 4: the question starting there (a)
Source: Discrete Distributions - Binomial</t>
      </text>
    </comment>
    <comment ref="N47" authorId="0" shapeId="0">
      <text>
        <t>Page 8: the question starting there (a)
Page 14: the question starting there (a)
Page 18: the question starting there (a,b,c)
Page 21: the question starting there (c)
Page 26: the question starting there (c)
Page 27: the question starting there (d)
Page 28: the question starting there (b,c)
Page 30: the question starting there (a)
Source: Ch3 The Normal Distribution Exam Questions</t>
      </text>
    </comment>
    <comment ref="J48" authorId="0" shapeId="0">
      <text>
        <t>Page 1: the question starting there (b)
Page 4: the question starting there (d)
Source: Discrete Distributions - Binomial</t>
      </text>
    </comment>
    <comment ref="N48" authorId="0" shapeId="0">
      <text>
        <t>Page 7: the question starting there (c,d)
Page 9: the question starting there
Page 11: the question starting there (d)
Page 13: the question starting there (d)
Page 14: the question starting there (c)
Page 17: the question starting there
Page 30: the question starting there (c)
Page 31: the question starting there (a,d)
Source: Ch3 The Normal Distribution Exam Questions</t>
      </text>
    </comment>
    <comment ref="G49" authorId="0" shapeId="0">
      <text>
        <t>Question 8 (a) (page 9)
Question 12 (a) (page 13)
Question 14 (c) (page 15)
Source: Question Set 6: Statistical Distributions exam questions</t>
      </text>
    </comment>
    <comment ref="J49" authorId="0" shapeId="0">
      <text>
        <t>Page 4: the question starting there (b)
Source: Normal Distribution</t>
      </text>
    </comment>
    <comment ref="N49" authorId="0" shapeId="0">
      <text>
        <t>Page 4: the question starting there (c)
Page 5: the question starting there (e,f)
Page 11: the question starting there (a)
Page 13: the question starting there (a,b)
Source: Ch3 The Normal Distribution Exam Questions</t>
      </text>
    </comment>
    <comment ref="G52" authorId="0" shapeId="0">
      <text>
        <t>Question 8 (a) (page 3)
Source: A Level Maths: Hypothesis Testing — Medium</t>
      </text>
    </comment>
    <comment ref="J52" authorId="0" shapeId="0">
      <text>
        <t>Page 1: the question starting there (e)
Page 2: the question starting there (a,c)
Source: Hypothesis Testing - Tests on Binomial</t>
      </text>
    </comment>
    <comment ref="N52" authorId="0" shapeId="0">
      <text>
        <t>Page 3: the question starting there (a,b)
Page 8: the question starting there (c,d)
Source: Ch6 Statistical Distributions and Ch7 Hypothesis Testing Exam Questions</t>
      </text>
    </comment>
    <comment ref="G53" authorId="0" shapeId="0">
      <text>
        <t>Question 7 (c,d) (page 10)
Source: Exam Booklet</t>
      </text>
    </comment>
    <comment ref="J53" authorId="0" shapeId="0">
      <text>
        <t>Page 2: the question starting there (b,c)
Page 3: the question starting there (b,c)
Source: Hypothesis Testing - Tests on Binomial</t>
      </text>
    </comment>
    <comment ref="N53" authorId="0" shapeId="0">
      <text>
        <t>Page 3: the question starting there (c,d)
Page 5: the question starting there (c,d)
Page 8: the question starting there (a,b)
Page 9: the question starting there (a,c)
Source: Ch6 Statistical Distributions and Ch7 Hypothesis Testing Exam Questions</t>
      </text>
    </comment>
    <comment ref="G54" authorId="0" shapeId="0">
      <text>
        <t>Question 3 (b,c) (page 3)
Question 4 (b,c) (page 5)
Question 5 (b) (page 7)
Source: Exam Booklet</t>
      </text>
    </comment>
    <comment ref="J54" authorId="0" shapeId="0">
      <text>
        <t>Page 4: the question starting there (d)
Source: Hypothesis Testing - Tests on Binomial</t>
      </text>
    </comment>
    <comment ref="N54" authorId="0" shapeId="0">
      <text>
        <t>Page 1: the question starting there (b)
Page 3: the question starting there (c,d)
Page 4: the question starting there (c)
Page 11: the question starting there (d)
Source: Ch6 Statistical Distributions and Ch7 Hypothesis Testing Exam Questions</t>
      </text>
    </comment>
    <comment ref="G55" authorId="0" shapeId="0">
      <text>
        <t>Question 6 (b) (page 8)
Question 7 (b,c,d,e) (page 10)
Source: Exam Booklet</t>
      </text>
    </comment>
    <comment ref="J55" authorId="0" shapeId="0">
      <text>
        <t>Page 1: the question starting there (d,e)
Page 2: the question starting there
Page 3: the question starting there
Source: Hypothesis Testing - Tests on Binomial</t>
      </text>
    </comment>
    <comment ref="N55" authorId="0" shapeId="0">
      <text>
        <t>Page 5: the question starting there (b,c,d,e)
Page 9: the question starting there
Source: Ch6 Statistical Distributions and Ch7 Hypothesis Testing Exam Questions</t>
      </text>
    </comment>
    <comment ref="G56" authorId="0" shapeId="0">
      <text>
        <t>Question 5 (b) (page 7)
Question 6 (b) (page 9)
Question 9 (a) (page 13)
Source: Question Set 1: Regression, Correlation and Hypothesis Testing exam questions</t>
      </text>
    </comment>
    <comment ref="J56" authorId="0" shapeId="0">
      <text>
        <t>Page 1: the question starting there (a,b,c)
Page 3: the question starting there (a)
Page 4: the question starting there (c)
Source: Regression and Correlation</t>
      </text>
    </comment>
    <comment ref="N56" authorId="0" shapeId="0">
      <text>
        <t>Page 1: the question starting there (b,c)
Page 3: the question starting there (a)
Page 4: the question starting there (b)
Source: Ch1 Regression, Correlation and Hypothesis Testing Exam Questions</t>
      </text>
    </comment>
    <comment ref="G57" authorId="0" shapeId="0">
      <text>
        <t>Question 1 (d,e) (page 2)
Question 2 (page 4)
Question 3 (page 5)
Question 4 (page 6)
Question 5 (a) (page 7)
Question 6 (a) (page 9)
Question 10 (page 14)
Question 11 (page 15)
Source: Question Set 1: Regression, Correlation and Hypothesis Testing exam questions</t>
      </text>
    </comment>
    <comment ref="J57" authorId="0" shapeId="0">
      <text>
        <t>Page 1: the question starting there (d)
Page 3: the question starting there (b)
Page 4: the question starting there (b)
Source: Regression and Correlation</t>
      </text>
    </comment>
    <comment ref="N57" authorId="0" shapeId="0">
      <text>
        <t>Page 1: the question starting there (a)
Page 3: the question starting there (c)
Page 4: the question starting there (c)
Source: Ch1 Regression, Correlation and Hypothesis Testing Exam Questions</t>
      </text>
    </comment>
    <comment ref="G58" authorId="0" shapeId="0">
      <text>
        <t>Question 8 (b,c) (page 6)
Question 9 (b,c) (page 7)
Question 11 (c) (page 9)
Question 12 (b) (page 11)
Question 13 (b) (page 13)
Source: Question Set 3: The Normal Distribution exam questions</t>
      </text>
    </comment>
    <comment ref="J58" authorId="0" shapeId="0">
      <text>
        <t>Page 1: the question starting there (d)
Page 3: the question starting there (b,c)
Source: Normal Distribution</t>
      </text>
    </comment>
    <comment ref="N58" authorId="0" shapeId="0">
      <text>
        <t>Page 1: the question starting there (d)
Page 4: the question starting there (b)
Page 6: the question starting there (c)
Source: Ch3 The Normal Distribution Exam Questions</t>
      </text>
    </comment>
  </commentList>
</comments>
</file>

<file path=xl/comments/comment3.xml><?xml version="1.0" encoding="utf-8"?>
<comments xmlns="http://schemas.openxmlformats.org/spreadsheetml/2006/main">
  <authors>
    <author>Tracker</author>
  </authors>
  <commentList>
    <comment ref="G9" authorId="0" shapeId="0">
      <text>
        <t>Question 3 (a) (page 5)
Source: Question Set 1: Constant Acceleration exam questions</t>
      </text>
    </comment>
    <comment ref="J9" authorId="0" shapeId="0">
      <text>
        <t>Page 1: the question starting there (a)
Source: Kinematics - by Graphical Methods</t>
      </text>
    </comment>
    <comment ref="N9" authorId="0" shapeId="0">
      <text>
        <t>Page 11: the question starting there (a)
Source: Ch9 Constant Acceleration Exam Questions 1</t>
      </text>
    </comment>
    <comment ref="G10" authorId="0" shapeId="0">
      <text>
        <t>Question 16 (c) (page 22)
Question 17 (d,e) (page 24)
Source: Question Set 1: Constant Acceleration exam questions</t>
      </text>
    </comment>
    <comment ref="J10" authorId="0" shapeId="0">
      <text>
        <t>Page 1: the question starting there (c)
Page 2: the question starting there (c,d)
Page 3: the question starting there (c)
Page 7: the question starting there (d)
Source: Kinematics - Uniform Acceleration Formulae</t>
      </text>
    </comment>
    <comment ref="N10" authorId="0" shapeId="0">
      <text>
        <t>Page 2: the question starting there (d,e)
Page 3: the question starting there (e,f)
Source: Ch9 Constant Acceleration Exam Questions 2</t>
      </text>
    </comment>
    <comment ref="J13" authorId="0" shapeId="0">
      <text>
        <t>Page 1: the question starting there (b)
Source: Kinematics - Uniform Acceleration Formulae</t>
      </text>
    </comment>
    <comment ref="N13" authorId="0" shapeId="0">
      <text>
        <t>Page 9: the question starting there (c)
Source: Ch9 Constant Acceleration Exam Questions 2</t>
      </text>
    </comment>
    <comment ref="G15" authorId="0" shapeId="0">
      <text>
        <t>Question 1 (page 1)
Question 2 (page 3)
Question 3 (page 4)
Question 4 (page 6)
Source: 9.2 Velocity-Time Graphs</t>
      </text>
    </comment>
    <comment ref="J15" authorId="0" shapeId="0">
      <text>
        <t>Page 1: the question starting there (a,b,c,d)
Page 2: the question starting there
Source: Kinematics - by Graphical Methods</t>
      </text>
    </comment>
    <comment ref="N15" authorId="0" shapeId="0">
      <text>
        <t>Page 2: the question starting there (a,b)
Page 3: the question starting there (a,b,c,d)
Page 4: the question starting there
Page 5: the question starting there
Page 6: the question starting there (b,c,e)
Page 7: the question starting there
Page 9: the question starting there
Page 12: the question starting there
Source: Ch9 Constant Acceleration Exam Questions 1</t>
      </text>
    </comment>
    <comment ref="G16" authorId="0" shapeId="0">
      <text>
        <t>Question 1 (page 2)
Question 3 (page 5)
Question 5 (page 7)
Question 6 (page 8)
Question 7 (page 10)
Question 9 (page 14)
Source: Question Set 1: Constant Acceleration exam questions</t>
      </text>
    </comment>
    <comment ref="J16" authorId="0" shapeId="0">
      <text>
        <t>Page 1: the question starting there (a,b)
Page 2: the question starting there (a,b)
Page 3: the question starting there (a,b)
Page 5: the question starting there (b)
Source: Kinematics - Uniform Acceleration Formulae</t>
      </text>
    </comment>
    <comment ref="N16" authorId="0" shapeId="0">
      <text>
        <t>Page 1: the question starting there
Page 3: the question starting there (a,b,c)
Page 4: the question starting there
Page 5: the question starting there
Page 6: the question starting there
Page 7: the question starting there
Page 10: the question starting there (a,b)
Page 11: the question starting there
Source: Ch9 Constant Acceleration Exam Questions 2</t>
      </text>
    </comment>
    <comment ref="G17" authorId="0" shapeId="0">
      <text>
        <t>Question 11 (page 16)
Question 12 (page 17)
Question 13 (page 18)
Question 14 (page 20)
Question 16 (a,b) (page 22)
Source: Question Set 1: Constant Acceleration exam questions</t>
      </text>
    </comment>
    <comment ref="J17" authorId="0" shapeId="0">
      <text>
        <t>Page 1: the question starting there (b,c,d)
Page 2: the question starting there (c,d)
Source: Kinematics - by Graphical Methods</t>
      </text>
    </comment>
    <comment ref="N17" authorId="0" shapeId="0">
      <text>
        <t>Page 2: the question starting there (b)
Page 3: the question starting there (c,d)
Page 4: the question starting there (b,c)
Page 5: the question starting there (b,c)
Page 6: the question starting there (c,d)
Page 7: the question starting there (b)
Page 9: the question starting there (b,c)
Page 12: the question starting there (b,c,d)
Source: Ch9 Constant Acceleration Exam Questions 1</t>
      </text>
    </comment>
    <comment ref="G18" authorId="0" shapeId="0">
      <text>
        <t>Question 2 (page 4)
Question 4 (page 6)
Question 8 (page 12)
Question 10 (page 15)
Question 15 (page 21)
Question 17 (b,c) (page 24)
Source: Question Set 1: Constant Acceleration exam questions</t>
      </text>
    </comment>
    <comment ref="J18" authorId="0" shapeId="0">
      <text>
        <t>Page 1: the question starting there (a,b)
Page 2: the question starting there (a,b)
Page 3: the question starting there (a,b)
Source: Kinematics - Uniform Acceleration Formulae</t>
      </text>
    </comment>
    <comment ref="N18" authorId="0" shapeId="0">
      <text>
        <t>Page 1: the question starting there
Page 2: the question starting there (a,c)
Page 3: the question starting there (a,b,c)
Page 5: the question starting there
Page 7: the question starting there
Page 10: the question starting there (a,b)
Page 11: the question starting there
Source: Ch9 Constant Acceleration Exam Questions 2</t>
      </text>
    </comment>
    <comment ref="G19" authorId="0" shapeId="0">
      <text>
        <t>Question 4 (a) (page 5)
Question 5 (page 6)
Question 8 (page 9)
Question 9 (a) (page 10)
Question 11 (page 12)
Source: Exam Booklet</t>
      </text>
    </comment>
    <comment ref="J19" authorId="0" shapeId="0">
      <text>
        <t>Page 1: the question starting there (a)
Page 2: the question starting there (a)
Page 3: the question starting there (b)
Source: Kinematics - Problems in Calculus</t>
      </text>
    </comment>
    <comment ref="N19" authorId="0" shapeId="0">
      <text>
        <t>Page 1: the question starting there (a)
Page 2: the question starting there (a)
Page 3: the question starting there (a)
Page 4: the question starting there (b)
Source: Ch11 Variable Acceleration Exam Questions</t>
      </text>
    </comment>
    <comment ref="G20" authorId="0" shapeId="0">
      <text>
        <t>Question 5 (page 6)
Question 6 (a) (page 7)
Question 8 (b) (page 9)
Source: Exam Booklet</t>
      </text>
    </comment>
    <comment ref="J20" authorId="0" shapeId="0">
      <text>
        <t>Page 1: the question starting there
Page 1: the question starting there (a)
Page 2: the question starting there (a)
Source: Kinematics - Problems with calculus</t>
      </text>
    </comment>
    <comment ref="N20" authorId="0" shapeId="0">
      <text>
        <t>Page 1: the question starting there (c)
Page 3: the question starting there (a)
Source: Ch11 Variable Acceleration Exam Questions</t>
      </text>
    </comment>
    <comment ref="G21" authorId="0" shapeId="0">
      <text>
        <t>Question 1 (page 2)
Question 2 (page 3)
Question 3 (page 4)
Question 4 (b) (page 5)
Question 6 (b) (page 7)
Question 7 (a,c) (page 8)
Question 10 (page 11)
Question 12 (page 13)
Source: Exam Booklet</t>
      </text>
    </comment>
    <comment ref="J21" authorId="0" shapeId="0">
      <text>
        <t>Page 1: the question starting there (c)
Page 3: the question starting there (c)
Source: Kinematics - Problems in Calculus</t>
      </text>
    </comment>
    <comment ref="N21" authorId="0" shapeId="0">
      <text>
        <t>Page 5: the question starting there (a,b)
Page 7: the question starting there
Page 8: the question starting there (b)
Page 9: the question starting there (b)
Page 10: the question starting there
Source: Ch8 Further Kinematics Exam Questions 1</t>
      </text>
    </comment>
    <comment ref="J22" authorId="0" shapeId="0">
      <text>
        <t>Page 1: the question starting there
Source: Kinematics - by Graphical Methods</t>
      </text>
    </comment>
    <comment ref="N22" authorId="0" shapeId="0">
      <text>
        <t>Page 1: the question starting there
Source: Ch9 Constant Acceleration Exam Questions 1</t>
      </text>
    </comment>
    <comment ref="G23" authorId="0" shapeId="0">
      <text>
        <t>Question 1 (page 1)
Question 2 (page 2)
Question 6 (a) (page 6)
Question 16 (page 20)
Question 18 (page 22)
Question 19 (page 23)
Source: Question Set 5: Further Kinematics exam questions</t>
      </text>
    </comment>
    <comment ref="J23" authorId="0" shapeId="0">
      <text>
        <t>Page 1: the question starting there
Page 3: the question starting there
Source: Kinematics - Uniform Acceleration Formulae</t>
      </text>
    </comment>
    <comment ref="N23" authorId="0" shapeId="0">
      <text>
        <t>Page 1: the question starting there
Page 3: the question starting there
Page 4: the question starting there
Page 6: the question starting there (b)
Page 8: the question starting there
Page 10: the question starting there
Page 12: the question starting there (b)
Page 13: the question starting there (b,c)
Source: Ch8 Further Kinematics Exam Questions 2</t>
      </text>
    </comment>
    <comment ref="G24" authorId="0" shapeId="0">
      <text>
        <t>Question 11 (page 15)
Question 12 (page 16)
Question 13 (page 17)
Question 14 (page 18)
Question 15 (page 19)
Question 17 (page 21)
Question 20 (page 25)
Question 21 (page 26)
Source: Question Set 5: Further Kinematics exam questions</t>
      </text>
    </comment>
    <comment ref="J24" authorId="0" shapeId="0">
      <text>
        <t>Page 1: the question starting there
Page 2: the question starting there
Page 3: the question starting there
Page 4: the question starting there
Source: Kinematics - Problems in Calculus</t>
      </text>
    </comment>
    <comment ref="N24" authorId="0" shapeId="0">
      <text>
        <t>Page 1: the question starting there
Page 3: the question starting there
Page 4: the question starting there
Page 6: the question starting there
Page 11: the question starting there
Source: Ch8 Further Kinematics Exam Questions 1</t>
      </text>
    </comment>
    <comment ref="J25" authorId="0" shapeId="0">
      <text>
        <t>Page 9: the question starting there (a)
Source: Kinematics - Projectiles 2</t>
      </text>
    </comment>
    <comment ref="N25" authorId="0" shapeId="0">
      <text>
        <t>Page 6: the question starting there (b,c)
Source: Ch6 Projectiles Exam Questions</t>
      </text>
    </comment>
    <comment ref="G26" authorId="0" shapeId="0">
      <text>
        <t>Question 1 (page 1)
Question 2 (page 2)
Question 3 (page 4)
Question 4 (page 5)
Question 5 (page 7)
Question 7 (a,b) (page 10)
Question 8 (a,b) (page 12)
Question 9 (a,b) (page 14)
Source: Question Set 3: Projectiles exam questions</t>
      </text>
    </comment>
    <comment ref="J26" authorId="0" shapeId="0">
      <text>
        <t>Page 1: the question starting there (a,b)
Page 2: the question starting there (a,b)
Page 3: the question starting there (a,b,c)
Source: Kinematics - Projectiles</t>
      </text>
    </comment>
    <comment ref="N26" authorId="0" shapeId="0">
      <text>
        <t>Page 1: the question starting there (b,d)
Page 3: the question starting there (a,b)
Page 4: the question starting there (a,b)
Page 7: the question starting there
Page 10: the question starting there
Page 11: the question starting there (b)
Page 12: the question starting there
Page 14: the question starting there
Source: Ch6 Projectiles Exam Questions</t>
      </text>
    </comment>
    <comment ref="G27" authorId="0" shapeId="0">
      <text>
        <t>Question 1 (page 1)
Question 3 (a) (page 4)
Question 5 (a) (page 7)
Question 6 (a) (page 8)
Source: Question Set 3: Projectiles exam questions</t>
      </text>
    </comment>
    <comment ref="J27" authorId="0" shapeId="0">
      <text>
        <t>Page 1: the question starting there (a)
Page 2: the question starting there (a,b)
Page 3: the question starting there (b,c)
Source: Kinematics - Projectiles</t>
      </text>
    </comment>
    <comment ref="N27" authorId="0" shapeId="0">
      <text>
        <t>Page 1: the question starting there (a)
Page 3: the question starting there (b)
Page 6: the question starting there (a,c)
Page 10: the question starting there (a,b)
Page 13: the question starting there (a)
Source: Ch6 Projectiles Exam Questions</t>
      </text>
    </comment>
    <comment ref="G30" authorId="0" shapeId="0">
      <text>
        <t>Question 6 (page 12)
Source: Question Set 2: Forces and Motion exam questions</t>
      </text>
    </comment>
    <comment ref="G31" authorId="0" shapeId="0">
      <text>
        <t>Question 6 (page 12)
Question 9 (page 15)
Question 12 (page 17)
Source: Question Set 2: Forces and Motion exam questions</t>
      </text>
    </comment>
    <comment ref="J31" authorId="0" shapeId="0">
      <text>
        <t>Page 4: the question starting there (a)
Source: Forces and Newton's Laws of Motion</t>
      </text>
    </comment>
    <comment ref="N31" authorId="0" shapeId="0">
      <text>
        <t>Page 6: the question starting there (a)
Page 9: the question starting there (a)
Page 12: the question starting there (a)
Page 13: the question starting there (a)
Source: Ch8 Further Kinematics Exam Questions 2</t>
      </text>
    </comment>
    <comment ref="G32" authorId="0" shapeId="0">
      <text>
        <t>Question 3 (a) (page 6)
Question 4 (a,d) (page 8)
Question 5 (a,d) (page 10)
Source: Question Set 2: Forces and Motion exam questions</t>
      </text>
    </comment>
    <comment ref="J32" authorId="0" shapeId="0">
      <text>
        <t>Page 1: the question starting there
Page 2: the question starting there (a)
Page 5: the question starting there (b)
Source: Forces and Newton's Laws of Motion</t>
      </text>
    </comment>
    <comment ref="N32" authorId="0" shapeId="0">
      <text>
        <t>Page 10: the question starting there (a,b)
Page 11: the question starting there (a,b)
Source: Ch10 Forces and Motion Exam Questions Excluding Question 1 and 7</t>
      </text>
    </comment>
    <comment ref="G33" authorId="0" shapeId="0">
      <text>
        <t>Question 7 (page 13)
Question 8 (page 14)
Source: Question Set 2: Forces and Motion exam questions</t>
      </text>
    </comment>
    <comment ref="J33" authorId="0" shapeId="0">
      <text>
        <t>Page 4: the question starting there
Source: Forces and Newton's Laws of Motion</t>
      </text>
    </comment>
    <comment ref="N33" authorId="0" shapeId="0">
      <text>
        <t>Page 6: the question starting there
Page 9: the question starting there (b)
Page 12: the question starting there
Page 13: the question starting there
Source: Ch8 Further Kinematics Exam Questions 2</t>
      </text>
    </comment>
    <comment ref="G34" authorId="0" shapeId="0">
      <text>
        <t>Question 3 (page 6)
Question 4 (a,b,c) (page 8)
Question 5 (page 10)
Source: Question Set 2: Forces and Motion exam questions</t>
      </text>
    </comment>
    <comment ref="J34" authorId="0" shapeId="0">
      <text>
        <t>Page 1: the question starting there (a,b)
Page 2: the question starting there (a)
Source: Forces and Newton's Laws of Motion</t>
      </text>
    </comment>
    <comment ref="N34" authorId="0" shapeId="0">
      <text>
        <t>Page 11: the question starting there
Source: Ch10 Forces and Motion Exam Questions Excluding Question 1 and 7</t>
      </text>
    </comment>
    <comment ref="G35" authorId="0" shapeId="0">
      <text>
        <t>Question 1 (page 2)
Question 2 (page 4)
Question 13 (page 18)
Question 14 (page 20)
Question 15 (page 22)
Source: Question Set 2: Forces and Motion exam questions</t>
      </text>
    </comment>
    <comment ref="J35" authorId="0" shapeId="0">
      <text>
        <t>Page 1: the question starting there (a,b)
Source: Dynamics - Connected Particles</t>
      </text>
    </comment>
    <comment ref="N35" authorId="0" shapeId="0">
      <text>
        <t>Page 1: the question starting there
Page 2: the question starting there
Page 3: the question starting there
Page 4: the question starting there
Page 10: the question starting there
Source: Ch10 Forces and Motion Exam Questions Excluding Question 1 and 7</t>
      </text>
    </comment>
    <comment ref="G36" authorId="0" shapeId="0">
      <text>
        <t>Question 1 (page 2)
Question 2 (page 4)
Question 3 (page 6)
Question 8 (a) (page 13)
Source: Question Set 2: Forces and Friction exam questions</t>
      </text>
    </comment>
    <comment ref="J36" authorId="0" shapeId="0">
      <text>
        <t>Page 3: the question starting there (a)
Page 6: the question starting there (d)
Source: Forces and Newton's Laws of Motion</t>
      </text>
    </comment>
    <comment ref="N36" authorId="0" shapeId="0">
      <text>
        <t>Page 1: the question starting there (a)
Page 5: the question starting there
Page 7: the question starting there
Page 16: the question starting there (b)
Source: Ch5 Forces and Friction + Ch7 Application of Forces Exam Questions 1</t>
      </text>
    </comment>
    <comment ref="G37" authorId="0" shapeId="0">
      <text>
        <t>Question 4 (page 7)
Question 5 (page 8)
Question 6 (page 9)
Question 7 (page 11)
Question 9 (page 15)
Question 10 (page 16)
Source: Question Set 2: Forces and Friction exam questions</t>
      </text>
    </comment>
    <comment ref="J37" authorId="0" shapeId="0">
      <text>
        <t>Page 1: the question starting there (a,b)
Page 2: the question starting there
Source: Dynamics - F = ma on a slope</t>
      </text>
    </comment>
    <comment ref="N37" authorId="0" shapeId="0">
      <text>
        <t>Page 3: the question starting there
Page 4: the question starting there
Page 7: the question starting there
Page 11: the question starting there
Page 16: the question starting there
Source: Ch5 Forces and Friction + Ch7 Application of Forces Exam Questions 1</t>
      </text>
    </comment>
    <comment ref="G38" authorId="0" shapeId="0">
      <text>
        <t>Question 3 (page 6)
Question 4 (page 7)
Question 5 (page 8)
Question 6 (page 9)
Question 7 (page 11)
Question 8 (page 13)
Question 9 (page 15)
Question 10 (page 16)
Source: Question Set 2: Forces and Friction exam questions</t>
      </text>
    </comment>
    <comment ref="J38" authorId="0" shapeId="0">
      <text>
        <t>Page 3: the question starting there (b)
Page 5: the question starting there (b,c)
Source: Forces and Newton's Laws of Motion</t>
      </text>
    </comment>
    <comment ref="N38" authorId="0" shapeId="0">
      <text>
        <t>Page 1: the question starting there (a)
Page 3: the question starting there (b,c,d)
Page 4: the question starting there
Page 5: the question starting there
Page 7: the question starting there
Page 11: the question starting there (b)
Page 16: the question starting there
Source: Ch5 Forces and Friction + Ch7 Application of Forces Exam Questions 1</t>
      </text>
    </comment>
    <comment ref="G39" authorId="0" shapeId="0">
      <text>
        <t>Question 1 (page 2)
Question 2 (page 4)
Source: Question Set 2: Forces and Friction exam questions</t>
      </text>
    </comment>
    <comment ref="J39" authorId="0" shapeId="0">
      <text>
        <t>Page 3: the question starting there (a)
Source: Forces and Newton's Laws of Motion</t>
      </text>
    </comment>
    <comment ref="N39" authorId="0" shapeId="0">
      <text>
        <t>Page 3: the question starting there (a,b)
Page 7: the question starting there
Page 10: the question starting there (a,b)
Page 16: the question starting there (b)
Source: Ch5 Forces and Friction + Ch7 Application of Forces Exam Questions 1</t>
      </text>
    </comment>
    <comment ref="G40" authorId="0" shapeId="0">
      <text>
        <t>Question 3 (page 6)
Question 4 (page 7)
Question 6 (a,b) (page 9)
Question 7 (a,b) (page 11)
Question 10 (a) (page 16)
Source: Question Set 2: Forces and Friction exam questions</t>
      </text>
    </comment>
    <comment ref="J40" authorId="0" shapeId="0">
      <text>
        <t>Page 3: the question starting there (a)
Source: Forces and Newton's Laws of Motion</t>
      </text>
    </comment>
    <comment ref="N40" authorId="0" shapeId="0">
      <text>
        <t>Page 3: the question starting there (a,b,c)
Page 4: the question starting there (b)
Page 7: the question starting there
Page 9: the question starting there (b)
Page 10: the question starting there (a)
Page 16: the question starting there (b)
Source: Ch5 Forces and Friction + Ch7 Application of Forces Exam Questions 1</t>
      </text>
    </comment>
    <comment ref="G41" authorId="0" shapeId="0">
      <text>
        <t>Question 5 (page 8)
Question 9 (page 15)
Question 10 (b) (page 16)
Source: Question Set 2: Forces and Friction exam questions</t>
      </text>
    </comment>
    <comment ref="J41" authorId="0" shapeId="0">
      <text>
        <t>Page 1: the question starting there (a,b)
Page 2: the question starting there (b)
Source: Dynamics - F = ma on a slope</t>
      </text>
    </comment>
    <comment ref="N41" authorId="0" shapeId="0">
      <text>
        <t>Page 4: the question starting there (a)
Page 6: the question starting there (a,b)
Page 11: the question starting there
Page 16: the question starting there (a)
Source: Ch5 Forces and Friction + Ch7 Application of Forces Exam Questions 1</t>
      </text>
    </comment>
    <comment ref="G42" authorId="0" shapeId="0">
      <text>
        <t>Question 6 (page 11)
Question 7 (page 13)
Question 8 (page 15)
Question 10 (page 19)
Source: Question Set 4: Applications of Forces exam questions</t>
      </text>
    </comment>
    <comment ref="J42" authorId="0" shapeId="0">
      <text>
        <t>Page 2: the question starting there (a,b)
Source: Dynamics - Connected Particles</t>
      </text>
    </comment>
    <comment ref="N42" authorId="0" shapeId="0">
      <text>
        <t>Page 6: the question starting there
Page 8: the question starting there
Page 9: the question starting there
Page 10: the question starting there
Page 12: the question starting there
Page 15: the question starting there
Page 17: the question starting there
Source: Ch5 Forces and Friction + Ch7 Application of Forces Exam Questions 1</t>
      </text>
    </comment>
    <comment ref="G45" authorId="0" shapeId="0">
      <text>
        <t>Question 1 (page 1)
Question 2 (page 1)
Source: A Level Maths: Moments — Medium</t>
      </text>
    </comment>
    <comment ref="J45" authorId="0" shapeId="0">
      <text>
        <t>Page 3: the question starting there (b)
Source: Moments</t>
      </text>
    </comment>
    <comment ref="N45" authorId="0" shapeId="0">
      <text>
        <t>Page 1: the question starting there
Page 2: the question starting there
Page 11: the question starting there
Source: Ch4 Moments Exam Questions</t>
      </text>
    </comment>
    <comment ref="G47" authorId="0" shapeId="0">
      <text>
        <t>Question 1 (page 1)
Question 2 (page 1)
Question 3 (page 2)
Question 4 (page 3)
Question 5 (a) (page 4)
Question 6 (page 5)
Source: A Level Maths: Moments — Medium</t>
      </text>
    </comment>
    <comment ref="J47" authorId="0" shapeId="0">
      <text>
        <t>Page 2: the question starting there (b,c,d)
Source: Moments</t>
      </text>
    </comment>
    <comment ref="N47" authorId="0" shapeId="0">
      <text>
        <t>Page 1: the question starting there
Page 2: the question starting there
Page 3: the question starting there
Page 4: the question starting there
Page 5: the question starting there (a,b)
Page 8: the question starting there
Page 9: the question starting there
Page 10: the question starting there
Source: Ch4 Moments Exam Questions</t>
      </text>
    </comment>
    <comment ref="G48" authorId="0" shapeId="0">
      <text>
        <t>Question 3 (b) (page 2)
Question 4 (b) (page 3)
Question 6 (page 5)
Source: A Level Maths: Moments — Medium</t>
      </text>
    </comment>
    <comment ref="J48" authorId="0" shapeId="0">
      <text>
        <t>Page 5: the question starting there (c)
Page 9: the question starting there
Source: Moments - Moments about a point 1</t>
      </text>
    </comment>
    <comment ref="N48" authorId="0" shapeId="0">
      <text>
        <t>Page 7: the question starting there
Page 9: the question starting there (a,b)
Page 11: the question starting there
Source: Ch4 Moments Exam Questions</t>
      </text>
    </comment>
    <comment ref="G49" authorId="0" shapeId="0">
      <text>
        <t>Question 5 (b,c) (page 4)
Source: A Level Maths: Moments — Medium</t>
      </text>
    </comment>
    <comment ref="J49" authorId="0" shapeId="0">
      <text>
        <t>Page 3: the question starting there (b,c)
Page 6: the question starting there (b)
Page 7: the question starting there (c)
Page 10: the question starting there (a,b)
Source: Moments - Moments about a point 1</t>
      </text>
    </comment>
    <comment ref="N49" authorId="0" shapeId="0">
      <text>
        <t>Page 5: the question starting there (c)
Page 10: the question starting there (a)
Source: Ch4 Moments Exam Questions</t>
      </text>
    </comment>
    <comment ref="G50" authorId="0" shapeId="0">
      <text>
        <t>Question 1 (page 2)
Question 2 (page 4)
Question 3 (page 6)
Question 4 (page 7)
Question 5 (page 9)
Question 9 (page 17)
Source: Question Set 4: Applications of Forces exam questions</t>
      </text>
    </comment>
    <comment ref="J50" authorId="0" shapeId="0">
      <text>
        <t>Page 1: the question starting there
Page 3: the question starting there
Source: Moments</t>
      </text>
    </comment>
    <comment ref="N50" authorId="0" shapeId="0">
      <text>
        <t>Page 1: the question starting there
Page 3: the question starting there
Page 4: the question starting there
Page 5: the question starting there
Page 6: the question starting there
Page 7: the question starting there
Page 9: the question starting there
Source: Ch5 Forces and Friction + Ch7 Application of Forces Exam Questions 2</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29</row>
      <rowOff>0</rowOff>
    </from>
    <ext cx="5760000" cy="56808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athsgenie.co.uk/a-level/maths/edexcel/as-pure-mathematics-7-4-mathematical-proof" TargetMode="External" Id="rId1" /><Relationship Type="http://schemas.openxmlformats.org/officeDocument/2006/relationships/hyperlink" Target="https://assets.mathsgenie.co.uk/content/worksheets/a_level_maths/algebraic-methods-a3de4bc8.pdf#page=9" TargetMode="External" Id="rId2" /><Relationship Type="http://schemas.openxmlformats.org/officeDocument/2006/relationships/hyperlink" Target="https://assets.mathsgenie.co.uk/content/worksheets/a_level_maths/algebraic-methods-ans-9324f91d.pdf" TargetMode="External" Id="rId3" /><Relationship Type="http://schemas.openxmlformats.org/officeDocument/2006/relationships/hyperlink" Target="https://pmt.physicsandmathstutor.com/download/Maths/A-level/Pure/Proof-1/Edexcel-Set-C/QP/Proof%20QP.pdf#page=1" TargetMode="External" Id="rId4" /><Relationship Type="http://schemas.openxmlformats.org/officeDocument/2006/relationships/hyperlink" Target="https://pmt.physicsandmathstutor.com/download/Maths/A-level/Pure/Proof-1/Edexcel-Set-C/MS/Proof%20MS.pdf" TargetMode="External" Id="rId5" /><Relationship Type="http://schemas.openxmlformats.org/officeDocument/2006/relationships/hyperlink" Target="https://pmt.physicsandmathstutor.com/download/Maths/A-level/Pure/Proof-1/Edexcel-Set-C/MA/Proof%20MA.pdf" TargetMode="External" Id="rId6" /><Relationship Type="http://schemas.openxmlformats.org/officeDocument/2006/relationships/hyperlink" Target="https://www.yesterdaysmathsexam.com/_files/ugd/1ba96f_ae7d646be5fb43adb23666d6e5a4bb68.pdf#page=1" TargetMode="External" Id="rId7" /><Relationship Type="http://schemas.openxmlformats.org/officeDocument/2006/relationships/hyperlink" Target="https://www.yesterdaysmathsexam.com/_files/ugd/1ba96f_35c823c6efcc4f4398d172fc162f3a9b.pdf" TargetMode="External" Id="rId8" /><Relationship Type="http://schemas.openxmlformats.org/officeDocument/2006/relationships/hyperlink" Target="https://mathsgenie.co.uk/a-level/maths/edexcel/as-pure-mathematics-7-5-methods-of-proof" TargetMode="External" Id="rId9" /><Relationship Type="http://schemas.openxmlformats.org/officeDocument/2006/relationships/hyperlink" Target="https://assets.mathsgenie.co.uk/content/worksheets/a_level_maths/algebraic-methods-a3de4bc8.pdf#page=7" TargetMode="External" Id="rId10" /><Relationship Type="http://schemas.openxmlformats.org/officeDocument/2006/relationships/hyperlink" Target="https://assets.mathsgenie.co.uk/content/worksheets/a_level_maths/algebraic-methods-ans-9324f91d.pdf" TargetMode="External" Id="rId11" /><Relationship Type="http://schemas.openxmlformats.org/officeDocument/2006/relationships/hyperlink" Target="https://pmt.physicsandmathstutor.com/download/Maths/A-level/Pure/Proof-1/Solomon/2a.%20Mixed%20exam-style%20questions%20on%20proof.pdf#page=1" TargetMode="External" Id="rId12" /><Relationship Type="http://schemas.openxmlformats.org/officeDocument/2006/relationships/hyperlink" Target="https://pmt.physicsandmathstutor.com/download/Maths/A-level/Pure/Proof-1/Solomon/2b.%20Mixed%20exam-style%20questions%20on%20proof%20-%20Answers.pdf" TargetMode="External" Id="rId13" /><Relationship Type="http://schemas.openxmlformats.org/officeDocument/2006/relationships/hyperlink" Target="https://www.yesterdaysmathsexam.com/_files/ugd/1ba96f_202f299f34b448afb234a795116475aa.pdf#page=1" TargetMode="External" Id="rId14" /><Relationship Type="http://schemas.openxmlformats.org/officeDocument/2006/relationships/hyperlink" Target="https://www.yesterdaysmathsexam.com/_files/ugd/1ba96f_34dfb5236a424b94be30b9f91a3a8571.pdf" TargetMode="External" Id="rId15" /><Relationship Type="http://schemas.openxmlformats.org/officeDocument/2006/relationships/hyperlink" Target="https://mathsgenie.co.uk/a-level/maths/edexcel/a-level-pure-mathematics-1-1-proof-by-contradiction" TargetMode="External" Id="rId16" /><Relationship Type="http://schemas.openxmlformats.org/officeDocument/2006/relationships/hyperlink" Target="https://assets.mathsgenie.co.uk/content/worksheets/a_level_maths/a-level-algebraic-methods-67104351.pdf#page=7" TargetMode="External" Id="rId17" /><Relationship Type="http://schemas.openxmlformats.org/officeDocument/2006/relationships/hyperlink" Target="https://assets.mathsgenie.co.uk/content/worksheets/a_level_maths/a-level-algebraic-methods-ans-75eb77a6.pdf" TargetMode="External" Id="rId18" /><Relationship Type="http://schemas.openxmlformats.org/officeDocument/2006/relationships/hyperlink" Target="https://pmt.physicsandmathstutor.com/download/Maths/A-level/Pure/Proof-1/Edexcel-Set-C/QP/Proof%20QP.pdf#page=4" TargetMode="External" Id="rId19" /><Relationship Type="http://schemas.openxmlformats.org/officeDocument/2006/relationships/hyperlink" Target="https://pmt.physicsandmathstutor.com/download/Maths/A-level/Pure/Proof-1/Edexcel-Set-C/MS/Proof%20MS.pdf" TargetMode="External" Id="rId20" /><Relationship Type="http://schemas.openxmlformats.org/officeDocument/2006/relationships/hyperlink" Target="https://pmt.physicsandmathstutor.com/download/Maths/A-level/Pure/Proof-1/Edexcel-Set-C/MA/Proof%20MA.pdf" TargetMode="External" Id="rId21" /><Relationship Type="http://schemas.openxmlformats.org/officeDocument/2006/relationships/hyperlink" Target="https://www.yesterdaysmathsexam.com/_files/ugd/1ba96f_202f299f34b448afb234a795116475aa.pdf#page=4" TargetMode="External" Id="rId22" /><Relationship Type="http://schemas.openxmlformats.org/officeDocument/2006/relationships/hyperlink" Target="https://www.yesterdaysmathsexam.com/_files/ugd/1ba96f_34dfb5236a424b94be30b9f91a3a8571.pdf" TargetMode="External" Id="rId23" /><Relationship Type="http://schemas.openxmlformats.org/officeDocument/2006/relationships/hyperlink" Target="https://mathsgenie.co.uk/a-level/maths/edexcel/as-pure-mathematics-1-1-index-laws" TargetMode="External" Id="rId24" /><Relationship Type="http://schemas.openxmlformats.org/officeDocument/2006/relationships/hyperlink" Target="https://assets.mathsgenie.co.uk/content/worksheets/as_level_maths/as-pure-algebraic-expressions-1f02c4c4.pdf#page=1" TargetMode="External" Id="rId25" /><Relationship Type="http://schemas.openxmlformats.org/officeDocument/2006/relationships/hyperlink" Target="https://assets.mathsgenie.co.uk/content/worksheets/a_level_maths/algebraic-expressions-ans-8768133f.pdf" TargetMode="External" Id="rId26" /><Relationship Type="http://schemas.openxmlformats.org/officeDocument/2006/relationships/hyperlink" Target="https://pmt.physicsandmathstutor.com/download/Maths/A-level/Pure/Exponentials-and-Logarithms-1/Edexcel-Set-C/QP/Exponential%20Equations%20QP.pdf#page=1" TargetMode="External" Id="rId27" /><Relationship Type="http://schemas.openxmlformats.org/officeDocument/2006/relationships/hyperlink" Target="https://pmt.physicsandmathstutor.com/download/Maths/A-level/Pure/Exponentials-and-Logarithms-1/Edexcel-Set-C/MS/Exponential%20Equations%20MS.pdf" TargetMode="External" Id="rId28" /><Relationship Type="http://schemas.openxmlformats.org/officeDocument/2006/relationships/hyperlink" Target="https://pmt.physicsandmathstutor.com/download/Maths/A-level/Pure/Exponentials-and-Logarithms-1/Edexcel-Set-C/MA/Exponential%20Equations%20MA.pdf" TargetMode="External" Id="rId29" /><Relationship Type="http://schemas.openxmlformats.org/officeDocument/2006/relationships/hyperlink" Target="https://www.yesterdaysmathsexam.com/_files/ugd/1ba96f_fa2129a09ecb4379a002f552e895091f.pdf#page=1" TargetMode="External" Id="rId30" /><Relationship Type="http://schemas.openxmlformats.org/officeDocument/2006/relationships/hyperlink" Target="https://www.yesterdaysmathsexam.com/_files/ugd/1ba96f_0aa87b014cec40aabcda0003f6f868c6.pdf" TargetMode="External" Id="rId31" /><Relationship Type="http://schemas.openxmlformats.org/officeDocument/2006/relationships/hyperlink" Target="https://mathsgenie.co.uk/a-level/maths/edexcel/as-pure-mathematics-1-4-negative-and-fractional-indices" TargetMode="External" Id="rId32" /><Relationship Type="http://schemas.openxmlformats.org/officeDocument/2006/relationships/hyperlink" Target="https://assets.mathsgenie.co.uk/content/worksheets/as_level_maths/as-pure-algebraic-expressions-1f02c4c4.pdf#page=1" TargetMode="External" Id="rId33" /><Relationship Type="http://schemas.openxmlformats.org/officeDocument/2006/relationships/hyperlink" Target="https://assets.mathsgenie.co.uk/content/worksheets/a_level_maths/algebraic-expressions-ans-8768133f.pdf" TargetMode="External" Id="rId34" /><Relationship Type="http://schemas.openxmlformats.org/officeDocument/2006/relationships/hyperlink" Target="https://pmt.physicsandmathstutor.com/download/Maths/A-level/Pure/Algebra-and-Functions-1/Solomon/01a.%20Indices.pdf#page=1" TargetMode="External" Id="rId35" /><Relationship Type="http://schemas.openxmlformats.org/officeDocument/2006/relationships/hyperlink" Target="https://pmt.physicsandmathstutor.com/download/Maths/A-level/Pure/Algebra-and-Functions-1/Solomon/01b.%20Indices%20-%20Answers.pdf" TargetMode="External" Id="rId36" /><Relationship Type="http://schemas.openxmlformats.org/officeDocument/2006/relationships/hyperlink" Target="https://www.yesterdaysmathsexam.com/_files/ugd/1ba96f_fa2129a09ecb4379a002f552e895091f.pdf#page=4" TargetMode="External" Id="rId37" /><Relationship Type="http://schemas.openxmlformats.org/officeDocument/2006/relationships/hyperlink" Target="https://www.yesterdaysmathsexam.com/_files/ugd/1ba96f_0aa87b014cec40aabcda0003f6f868c6.pdf" TargetMode="External" Id="rId38" /><Relationship Type="http://schemas.openxmlformats.org/officeDocument/2006/relationships/hyperlink" Target="https://mathsgenie.co.uk/a-level/maths/edexcel/as-pure-mathematics-1-5-surds" TargetMode="External" Id="rId39" /><Relationship Type="http://schemas.openxmlformats.org/officeDocument/2006/relationships/hyperlink" Target="https://assets.mathsgenie.co.uk/content/worksheets/a_level_maths/as-pure-mathematics-1-algebraic-expressions-medium-fe59d1c7.pdf#page=1" TargetMode="External" Id="rId40" /><Relationship Type="http://schemas.openxmlformats.org/officeDocument/2006/relationships/hyperlink" Target="https://assets.mathsgenie.co.uk/content/worksheets/a_level_maths/as-pure-mathematics-1-algebraic-expressions-medium-ans-caa289b8.pdf" TargetMode="External" Id="rId41" /><Relationship Type="http://schemas.openxmlformats.org/officeDocument/2006/relationships/hyperlink" Target="https://pmt.physicsandmathstutor.com/download/Maths/A-level/Pure/Algebra-and-Functions-1/Solomon/02a.%20Surds.pdf#page=1" TargetMode="External" Id="rId42" /><Relationship Type="http://schemas.openxmlformats.org/officeDocument/2006/relationships/hyperlink" Target="https://pmt.physicsandmathstutor.com/download/Maths/A-level/Pure/Algebra-and-Functions-1/Solomon/02b.%20Surds%20-%20Answers.pdf" TargetMode="External" Id="rId43" /><Relationship Type="http://schemas.openxmlformats.org/officeDocument/2006/relationships/hyperlink" Target="https://www.yesterdaysmathsexam.com/_files/ugd/1ba96f_fa2129a09ecb4379a002f552e895091f.pdf#page=2" TargetMode="External" Id="rId44" /><Relationship Type="http://schemas.openxmlformats.org/officeDocument/2006/relationships/hyperlink" Target="https://www.yesterdaysmathsexam.com/_files/ugd/1ba96f_0aa87b014cec40aabcda0003f6f868c6.pdf" TargetMode="External" Id="rId45" /><Relationship Type="http://schemas.openxmlformats.org/officeDocument/2006/relationships/hyperlink" Target="https://mathsgenie.co.uk/a-level/maths/edexcel/as-pure-mathematics-2-1-solving-quadratics" TargetMode="External" Id="rId46" /><Relationship Type="http://schemas.openxmlformats.org/officeDocument/2006/relationships/hyperlink" Target="https://assets.mathsgenie.co.uk/content/worksheets/a_level_maths/quadratics-368699de.pdf#page=6" TargetMode="External" Id="rId47" /><Relationship Type="http://schemas.openxmlformats.org/officeDocument/2006/relationships/hyperlink" Target="https://assets.mathsgenie.co.uk/content/worksheets/a_level_maths/quadratics-ans-cb70f353.pdf" TargetMode="External" Id="rId48" /><Relationship Type="http://schemas.openxmlformats.org/officeDocument/2006/relationships/hyperlink" Target="https://pmt.physicsandmathstutor.com/download/Maths/A-level/Pure/Algebra-and-Functions-1/Edexcel-Set-C/QP/Quadratics%20QP.pdf#page=1" TargetMode="External" Id="rId49" /><Relationship Type="http://schemas.openxmlformats.org/officeDocument/2006/relationships/hyperlink" Target="https://pmt.physicsandmathstutor.com/download/Maths/A-level/Pure/Algebra-and-Functions-1/Edexcel-Set-C/MS/Quadratics%20MS.pdf" TargetMode="External" Id="rId50" /><Relationship Type="http://schemas.openxmlformats.org/officeDocument/2006/relationships/hyperlink" Target="https://pmt.physicsandmathstutor.com/download/Maths/A-level/Pure/Algebra-and-Functions-1/Edexcel-Set-C/MA/Quadratics%20MA.pdf" TargetMode="External" Id="rId51" /><Relationship Type="http://schemas.openxmlformats.org/officeDocument/2006/relationships/hyperlink" Target="https://mathsgenie.co.uk/a-level/maths/edexcel/as-pure-mathematics-2-2-completing-the-square" TargetMode="External" Id="rId52" /><Relationship Type="http://schemas.openxmlformats.org/officeDocument/2006/relationships/hyperlink" Target="https://assets.mathsgenie.co.uk/content/worksheets/a_level_maths/as-pure-completing-the-square-580b2d03.pdf#page=1" TargetMode="External" Id="rId53" /><Relationship Type="http://schemas.openxmlformats.org/officeDocument/2006/relationships/hyperlink" Target="https://assets.mathsgenie.co.uk/content/worksheets/a_level_maths/as-pure-completing-the-square-ans-8296f3e9.pdf" TargetMode="External" Id="rId54" /><Relationship Type="http://schemas.openxmlformats.org/officeDocument/2006/relationships/hyperlink" Target="https://pmt.physicsandmathstutor.com/download/Maths/A-level/Pure/Algebra-and-Functions-1/Edexcel-Set-C/QP/Quadratics%20QP.pdf#page=6" TargetMode="External" Id="rId55" /><Relationship Type="http://schemas.openxmlformats.org/officeDocument/2006/relationships/hyperlink" Target="https://pmt.physicsandmathstutor.com/download/Maths/A-level/Pure/Algebra-and-Functions-1/Edexcel-Set-C/MS/Quadratics%20MS.pdf" TargetMode="External" Id="rId56" /><Relationship Type="http://schemas.openxmlformats.org/officeDocument/2006/relationships/hyperlink" Target="https://pmt.physicsandmathstutor.com/download/Maths/A-level/Pure/Algebra-and-Functions-1/Edexcel-Set-C/MA/Quadratics%20MA.pdf" TargetMode="External" Id="rId57" /><Relationship Type="http://schemas.openxmlformats.org/officeDocument/2006/relationships/hyperlink" Target="https://www.yesterdaysmathsexam.com/_files/ugd/1ba96f_e22773086352449e8757f2f4f6601256.pdf#page=11" TargetMode="External" Id="rId58" /><Relationship Type="http://schemas.openxmlformats.org/officeDocument/2006/relationships/hyperlink" Target="https://www.yesterdaysmathsexam.com/_files/ugd/1ba96f_5d26dee8e05a4d68aeb30e40b3a3c9c1.pdf" TargetMode="External" Id="rId59" /><Relationship Type="http://schemas.openxmlformats.org/officeDocument/2006/relationships/hyperlink" Target="https://mathsgenie.co.uk/a-level/maths/edexcel/as-pure-mathematics-2-3-sketching-quadratic-graphs" TargetMode="External" Id="rId60" /><Relationship Type="http://schemas.openxmlformats.org/officeDocument/2006/relationships/hyperlink" Target="https://assets.mathsgenie.co.uk/content/worksheets/a_level_maths/quadratics-368699de.pdf#page=7" TargetMode="External" Id="rId61" /><Relationship Type="http://schemas.openxmlformats.org/officeDocument/2006/relationships/hyperlink" Target="https://assets.mathsgenie.co.uk/content/worksheets/a_level_maths/quadratics-ans-cb70f353.pdf" TargetMode="External" Id="rId62" /><Relationship Type="http://schemas.openxmlformats.org/officeDocument/2006/relationships/hyperlink" Target="https://pmt.physicsandmathstutor.com/download/Maths/A-level/Pure/Algebra-and-Functions-1/Edexcel-Set-C/QP/Quadratics%20QP.pdf#page=6" TargetMode="External" Id="rId63" /><Relationship Type="http://schemas.openxmlformats.org/officeDocument/2006/relationships/hyperlink" Target="https://pmt.physicsandmathstutor.com/download/Maths/A-level/Pure/Algebra-and-Functions-1/Edexcel-Set-C/MS/Quadratics%20MS.pdf" TargetMode="External" Id="rId64" /><Relationship Type="http://schemas.openxmlformats.org/officeDocument/2006/relationships/hyperlink" Target="https://pmt.physicsandmathstutor.com/download/Maths/A-level/Pure/Algebra-and-Functions-1/Edexcel-Set-C/MA/Quadratics%20MA.pdf" TargetMode="External" Id="rId65" /><Relationship Type="http://schemas.openxmlformats.org/officeDocument/2006/relationships/hyperlink" Target="https://www.yesterdaysmathsexam.com/_files/ugd/1ba96f_e22773086352449e8757f2f4f6601256.pdf#page=11" TargetMode="External" Id="rId66" /><Relationship Type="http://schemas.openxmlformats.org/officeDocument/2006/relationships/hyperlink" Target="https://www.yesterdaysmathsexam.com/_files/ugd/1ba96f_5d26dee8e05a4d68aeb30e40b3a3c9c1.pdf" TargetMode="External" Id="rId67" /><Relationship Type="http://schemas.openxmlformats.org/officeDocument/2006/relationships/hyperlink" Target="https://mathsgenie.co.uk/a-level/maths/edexcel/as-pure-mathematics-2-4-the-discriminant" TargetMode="External" Id="rId68" /><Relationship Type="http://schemas.openxmlformats.org/officeDocument/2006/relationships/hyperlink" Target="https://assets.mathsgenie.co.uk/content/worksheets/a_level_maths/as-pure-the-discriminant-cdb34299.pdf#page=1" TargetMode="External" Id="rId69" /><Relationship Type="http://schemas.openxmlformats.org/officeDocument/2006/relationships/hyperlink" Target="https://assets.mathsgenie.co.uk/content/worksheets/a_level_maths/as-pure-the-discriminant-ans-ecb9abd5.pdf" TargetMode="External" Id="rId70" /><Relationship Type="http://schemas.openxmlformats.org/officeDocument/2006/relationships/hyperlink" Target="https://pmt.physicsandmathstutor.com/download/Maths/A-level/Pure/Coordinate-Geometry-1/Edexcel-Set-C/QP/Circles%20QP.pdf#page=3" TargetMode="External" Id="rId71" /><Relationship Type="http://schemas.openxmlformats.org/officeDocument/2006/relationships/hyperlink" Target="https://pmt.physicsandmathstutor.com/download/Maths/A-level/Pure/Coordinate-Geometry-1/Edexcel-Set-C/MS/Circles%20MS.pdf" TargetMode="External" Id="rId72" /><Relationship Type="http://schemas.openxmlformats.org/officeDocument/2006/relationships/hyperlink" Target="https://pmt.physicsandmathstutor.com/download/Maths/A-level/Pure/Coordinate-Geometry-1/Edexcel-Set-C/MA/Circles%20MA.pdf" TargetMode="External" Id="rId73" /><Relationship Type="http://schemas.openxmlformats.org/officeDocument/2006/relationships/hyperlink" Target="https://www.yesterdaysmathsexam.com/_files/ugd/1ba96f_e22773086352449e8757f2f4f6601256.pdf#page=3" TargetMode="External" Id="rId74" /><Relationship Type="http://schemas.openxmlformats.org/officeDocument/2006/relationships/hyperlink" Target="https://www.yesterdaysmathsexam.com/_files/ugd/1ba96f_5d26dee8e05a4d68aeb30e40b3a3c9c1.pdf" TargetMode="External" Id="rId75" /><Relationship Type="http://schemas.openxmlformats.org/officeDocument/2006/relationships/hyperlink" Target="https://mathsgenie.co.uk/a-level/maths/edexcel/as-pure-mathematics-2-1-solving-quadratics" TargetMode="External" Id="rId76" /><Relationship Type="http://schemas.openxmlformats.org/officeDocument/2006/relationships/hyperlink" Target="https://assets.mathsgenie.co.uk/content/worksheets/as_level_maths/as-pure-algebraic-expressions-1f02c4c4.pdf#page=3" TargetMode="External" Id="rId77" /><Relationship Type="http://schemas.openxmlformats.org/officeDocument/2006/relationships/hyperlink" Target="https://assets.mathsgenie.co.uk/content/worksheets/a_level_maths/algebraic-expressions-ans-8768133f.pdf" TargetMode="External" Id="rId78" /><Relationship Type="http://schemas.openxmlformats.org/officeDocument/2006/relationships/hyperlink" Target="https://pmt.physicsandmathstutor.com/download/Maths/A-level/Pure/Algebra-and-Functions-1/Edexcel-Set-C/QP/Quadratics%20QP.pdf#page=1" TargetMode="External" Id="rId79" /><Relationship Type="http://schemas.openxmlformats.org/officeDocument/2006/relationships/hyperlink" Target="https://pmt.physicsandmathstutor.com/download/Maths/A-level/Pure/Algebra-and-Functions-1/Edexcel-Set-C/MS/Quadratics%20MS.pdf" TargetMode="External" Id="rId80" /><Relationship Type="http://schemas.openxmlformats.org/officeDocument/2006/relationships/hyperlink" Target="https://pmt.physicsandmathstutor.com/download/Maths/A-level/Pure/Algebra-and-Functions-1/Edexcel-Set-C/MA/Quadratics%20MA.pdf" TargetMode="External" Id="rId81" /><Relationship Type="http://schemas.openxmlformats.org/officeDocument/2006/relationships/hyperlink" Target="https://www.yesterdaysmathsexam.com/_files/ugd/1ba96f_fa2129a09ecb4379a002f552e895091f.pdf#page=1" TargetMode="External" Id="rId82" /><Relationship Type="http://schemas.openxmlformats.org/officeDocument/2006/relationships/hyperlink" Target="https://www.yesterdaysmathsexam.com/_files/ugd/1ba96f_0aa87b014cec40aabcda0003f6f868c6.pdf" TargetMode="External" Id="rId83" /><Relationship Type="http://schemas.openxmlformats.org/officeDocument/2006/relationships/hyperlink" Target="https://mathsgenie.co.uk/a-level/maths/edexcel/as-pure-mathematics-3-1-linear-simultaneous-equations" TargetMode="External" Id="rId84" /><Relationship Type="http://schemas.openxmlformats.org/officeDocument/2006/relationships/hyperlink" Target="https://pmt.physicsandmathstutor.com/download/Maths/A-level/Pure/Algebra-and-Functions-1/Solomon/08a.%20Simultaneous%20equations.pdf#page=1" TargetMode="External" Id="rId85" /><Relationship Type="http://schemas.openxmlformats.org/officeDocument/2006/relationships/hyperlink" Target="https://pmt.physicsandmathstutor.com/download/Maths/A-level/Pure/Algebra-and-Functions-1/Solomon/08b.%20Simultaneous%20equations%20-%20Answers.pdf" TargetMode="External" Id="rId86" /><Relationship Type="http://schemas.openxmlformats.org/officeDocument/2006/relationships/hyperlink" Target="https://mathsgenie.co.uk/a-level/maths/edexcel/as-pure-mathematics-3-2-quadratic-simultaneous-equations" TargetMode="External" Id="rId87" /><Relationship Type="http://schemas.openxmlformats.org/officeDocument/2006/relationships/hyperlink" Target="https://assets.mathsgenie.co.uk/content/worksheets/as_level_maths/equations-and-inequalities-dcb945d3.pdf#page=2" TargetMode="External" Id="rId88" /><Relationship Type="http://schemas.openxmlformats.org/officeDocument/2006/relationships/hyperlink" Target="https://assets.mathsgenie.co.uk/content/worksheets/as_level_maths/equations-and-inequalities-ans-0265cfa5.pdf" TargetMode="External" Id="rId89" /><Relationship Type="http://schemas.openxmlformats.org/officeDocument/2006/relationships/hyperlink" Target="https://pmt.physicsandmathstutor.com/download/Maths/A-level/Pure/Algebra-and-Functions-1/Solomon/08a.%20Simultaneous%20equations.pdf#page=1" TargetMode="External" Id="rId90" /><Relationship Type="http://schemas.openxmlformats.org/officeDocument/2006/relationships/hyperlink" Target="https://pmt.physicsandmathstutor.com/download/Maths/A-level/Pure/Algebra-and-Functions-1/Solomon/08b.%20Simultaneous%20equations%20-%20Answers.pdf" TargetMode="External" Id="rId91" /><Relationship Type="http://schemas.openxmlformats.org/officeDocument/2006/relationships/hyperlink" Target="https://www.yesterdaysmathsexam.com/_files/ugd/1ba96f_e22773086352449e8757f2f4f6601256.pdf#page=8" TargetMode="External" Id="rId92" /><Relationship Type="http://schemas.openxmlformats.org/officeDocument/2006/relationships/hyperlink" Target="https://www.yesterdaysmathsexam.com/_files/ugd/1ba96f_5d26dee8e05a4d68aeb30e40b3a3c9c1.pdf" TargetMode="External" Id="rId93" /><Relationship Type="http://schemas.openxmlformats.org/officeDocument/2006/relationships/hyperlink" Target="https://mathsgenie.co.uk/a-level/maths/edexcel/as-pure-mathematics-3-4-linear-inequalities" TargetMode="External" Id="rId94" /><Relationship Type="http://schemas.openxmlformats.org/officeDocument/2006/relationships/hyperlink" Target="https://assets.mathsgenie.co.uk/content/worksheets/as_level_maths/equations-and-inequalities-dcb945d3.pdf#page=6" TargetMode="External" Id="rId95" /><Relationship Type="http://schemas.openxmlformats.org/officeDocument/2006/relationships/hyperlink" Target="https://assets.mathsgenie.co.uk/content/worksheets/as_level_maths/equations-and-inequalities-ans-0265cfa5.pdf" TargetMode="External" Id="rId96" /><Relationship Type="http://schemas.openxmlformats.org/officeDocument/2006/relationships/hyperlink" Target="https://pmt.physicsandmathstutor.com/download/Maths/A-level/Pure/Algebra-and-Functions-1/Solomon/09a.%20Inequalities.pdf#page=1" TargetMode="External" Id="rId97" /><Relationship Type="http://schemas.openxmlformats.org/officeDocument/2006/relationships/hyperlink" Target="https://pmt.physicsandmathstutor.com/download/Maths/A-level/Pure/Algebra-and-Functions-1/Solomon/09b.%20Inequalities%20-%20Answers.pdf" TargetMode="External" Id="rId98" /><Relationship Type="http://schemas.openxmlformats.org/officeDocument/2006/relationships/hyperlink" Target="https://www.yesterdaysmathsexam.com/_files/ugd/1ba96f_e22773086352449e8757f2f4f6601256.pdf#page=5" TargetMode="External" Id="rId99" /><Relationship Type="http://schemas.openxmlformats.org/officeDocument/2006/relationships/hyperlink" Target="https://www.yesterdaysmathsexam.com/_files/ugd/1ba96f_5d26dee8e05a4d68aeb30e40b3a3c9c1.pdf" TargetMode="External" Id="rId100" /><Relationship Type="http://schemas.openxmlformats.org/officeDocument/2006/relationships/hyperlink" Target="https://mathsgenie.co.uk/a-level/maths/edexcel/as-pure-mathematics-3-5-quadratic-inequalities" TargetMode="External" Id="rId101" /><Relationship Type="http://schemas.openxmlformats.org/officeDocument/2006/relationships/hyperlink" Target="https://assets.mathsgenie.co.uk/content/worksheets/as_level_maths/equations-and-inequalities-dcb945d3.pdf#page=1" TargetMode="External" Id="rId102" /><Relationship Type="http://schemas.openxmlformats.org/officeDocument/2006/relationships/hyperlink" Target="https://assets.mathsgenie.co.uk/content/worksheets/as_level_maths/equations-and-inequalities-ans-0265cfa5.pdf" TargetMode="External" Id="rId103" /><Relationship Type="http://schemas.openxmlformats.org/officeDocument/2006/relationships/hyperlink" Target="https://pmt.physicsandmathstutor.com/download/Maths/A-level/Pure/Algebra-and-Functions-1/Edexcel-Set-C/QP/Inequalities%20QP.pdf#page=1" TargetMode="External" Id="rId104" /><Relationship Type="http://schemas.openxmlformats.org/officeDocument/2006/relationships/hyperlink" Target="https://pmt.physicsandmathstutor.com/download/Maths/A-level/Pure/Algebra-and-Functions-1/Edexcel-Set-C/MS/Inequalities%20MS.pdf" TargetMode="External" Id="rId105" /><Relationship Type="http://schemas.openxmlformats.org/officeDocument/2006/relationships/hyperlink" Target="https://pmt.physicsandmathstutor.com/download/Maths/A-level/Pure/Algebra-and-Functions-1/Edexcel-Set-C/MA/Inequalities%20MA.pdf" TargetMode="External" Id="rId106" /><Relationship Type="http://schemas.openxmlformats.org/officeDocument/2006/relationships/hyperlink" Target="https://www.yesterdaysmathsexam.com/_files/ugd/1ba96f_e22773086352449e8757f2f4f6601256.pdf#page=4" TargetMode="External" Id="rId107" /><Relationship Type="http://schemas.openxmlformats.org/officeDocument/2006/relationships/hyperlink" Target="https://www.yesterdaysmathsexam.com/_files/ugd/1ba96f_5d26dee8e05a4d68aeb30e40b3a3c9c1.pdf" TargetMode="External" Id="rId108" /><Relationship Type="http://schemas.openxmlformats.org/officeDocument/2006/relationships/hyperlink" Target="https://mathsgenie.co.uk/a-level/maths/edexcel/as-pure-mathematics-3-6-inequalities-on-graphs" TargetMode="External" Id="rId109" /><Relationship Type="http://schemas.openxmlformats.org/officeDocument/2006/relationships/hyperlink" Target="https://pmt.physicsandmathstutor.com/download/Maths/A-level/Pure/Algebra-and-Functions-1/Edexcel-Set-C/QP/Inequalities%20QP.pdf#page=2" TargetMode="External" Id="rId110" /><Relationship Type="http://schemas.openxmlformats.org/officeDocument/2006/relationships/hyperlink" Target="https://pmt.physicsandmathstutor.com/download/Maths/A-level/Pure/Algebra-and-Functions-1/Edexcel-Set-C/MS/Inequalities%20MS.pdf" TargetMode="External" Id="rId111" /><Relationship Type="http://schemas.openxmlformats.org/officeDocument/2006/relationships/hyperlink" Target="https://pmt.physicsandmathstutor.com/download/Maths/A-level/Pure/Algebra-and-Functions-1/Edexcel-Set-C/MA/Inequalities%20MA.pdf" TargetMode="External" Id="rId112" /><Relationship Type="http://schemas.openxmlformats.org/officeDocument/2006/relationships/hyperlink" Target="https://www.yesterdaysmathsexam.com/_files/ugd/1ba96f_aabff9387fa64b2bb34c007c086f1967.pdf#page=6" TargetMode="External" Id="rId113" /><Relationship Type="http://schemas.openxmlformats.org/officeDocument/2006/relationships/hyperlink" Target="https://www.yesterdaysmathsexam.com/_files/ugd/1ba96f_32378d56df784deaabe0fa8114e895ca.pdf" TargetMode="External" Id="rId114" /><Relationship Type="http://schemas.openxmlformats.org/officeDocument/2006/relationships/hyperlink" Target="https://mathsgenie.co.uk/a-level/maths/edexcel/as-pure-mathematics-1-2-expanding-brackets" TargetMode="External" Id="rId115" /><Relationship Type="http://schemas.openxmlformats.org/officeDocument/2006/relationships/hyperlink" Target="https://assets.mathsgenie.co.uk/content/worksheets/as_level_maths/as-pure-algebraic-expressions-1f02c4c4.pdf#page=6" TargetMode="External" Id="rId116" /><Relationship Type="http://schemas.openxmlformats.org/officeDocument/2006/relationships/hyperlink" Target="https://assets.mathsgenie.co.uk/content/worksheets/a_level_maths/algebraic-expressions-ans-8768133f.pdf" TargetMode="External" Id="rId117" /><Relationship Type="http://schemas.openxmlformats.org/officeDocument/2006/relationships/hyperlink" Target="https://pmt.physicsandmathstutor.com/download/Maths/A-level/Pure/Algebra-and-Functions-1/Solomon/11a.%20Polynomials.pdf#page=1" TargetMode="External" Id="rId118" /><Relationship Type="http://schemas.openxmlformats.org/officeDocument/2006/relationships/hyperlink" Target="https://pmt.physicsandmathstutor.com/download/Maths/A-level/Pure/Algebra-and-Functions-1/Solomon/11b.%20Polynomials%20-%20Answers.pdf" TargetMode="External" Id="rId119" /><Relationship Type="http://schemas.openxmlformats.org/officeDocument/2006/relationships/hyperlink" Target="https://mathsgenie.co.uk/a-level/maths/edexcel/as-pure-mathematics-1-3-factorising" TargetMode="External" Id="rId120" /><Relationship Type="http://schemas.openxmlformats.org/officeDocument/2006/relationships/hyperlink" Target="https://assets.mathsgenie.co.uk/content/worksheets/as_level_maths/as-pure-algebraic-expressions-1f02c4c4.pdf#page=6" TargetMode="External" Id="rId121" /><Relationship Type="http://schemas.openxmlformats.org/officeDocument/2006/relationships/hyperlink" Target="https://assets.mathsgenie.co.uk/content/worksheets/a_level_maths/algebraic-expressions-ans-8768133f.pdf" TargetMode="External" Id="rId122" /><Relationship Type="http://schemas.openxmlformats.org/officeDocument/2006/relationships/hyperlink" Target="https://pmt.physicsandmathstutor.com/download/Maths/A-level/Pure/Differentiation-1/Edexcel-Set-C/QP/Stationary%20Points%20QP.pdf#page=2" TargetMode="External" Id="rId123" /><Relationship Type="http://schemas.openxmlformats.org/officeDocument/2006/relationships/hyperlink" Target="https://pmt.physicsandmathstutor.com/download/Maths/A-level/Pure/Differentiation-1/Edexcel-Set-C/MS/Stationary%20Points%20MS.pdf" TargetMode="External" Id="rId124" /><Relationship Type="http://schemas.openxmlformats.org/officeDocument/2006/relationships/hyperlink" Target="https://pmt.physicsandmathstutor.com/download/Maths/A-level/Pure/Differentiation-1/Edexcel-Set-C/MA/Stationary%20Points%20MA.pdf" TargetMode="External" Id="rId125" /><Relationship Type="http://schemas.openxmlformats.org/officeDocument/2006/relationships/hyperlink" Target="https://www.yesterdaysmathsexam.com/_files/ugd/1ba96f_91854f91ca9c48c9b4a14ae5451ccf7c.pdf#page=5" TargetMode="External" Id="rId126" /><Relationship Type="http://schemas.openxmlformats.org/officeDocument/2006/relationships/hyperlink" Target="https://www.yesterdaysmathsexam.com/_files/ugd/1ba96f_91d88e11265c464f93c3640439b79bdd.pdf" TargetMode="External" Id="rId127" /><Relationship Type="http://schemas.openxmlformats.org/officeDocument/2006/relationships/hyperlink" Target="https://mathsgenie.co.uk/a-level/maths/edexcel/as-pure-mathematics-7-1-algebraic-fractions" TargetMode="External" Id="rId128" /><Relationship Type="http://schemas.openxmlformats.org/officeDocument/2006/relationships/hyperlink" Target="https://pmt.physicsandmathstutor.com/download/Maths/A-level/Pure/Algebra-and-Functions-2/Solomon/02a.%20Rational%20expressions.pdf#page=1" TargetMode="External" Id="rId129" /><Relationship Type="http://schemas.openxmlformats.org/officeDocument/2006/relationships/hyperlink" Target="https://pmt.physicsandmathstutor.com/download/Maths/A-level/Pure/Algebra-and-Functions-2/Solomon/02b.%20Rational%20expressions%20-%20Answers.pdf" TargetMode="External" Id="rId130" /><Relationship Type="http://schemas.openxmlformats.org/officeDocument/2006/relationships/hyperlink" Target="https://mathsgenie.co.uk/a-level/maths/edexcel/as-pure-mathematics-7-2-dividing-polynomials" TargetMode="External" Id="rId131" /><Relationship Type="http://schemas.openxmlformats.org/officeDocument/2006/relationships/hyperlink" Target="https://assets.mathsgenie.co.uk/content/worksheets/a_level_maths/algebraic-methods-a3de4bc8.pdf#page=1" TargetMode="External" Id="rId132" /><Relationship Type="http://schemas.openxmlformats.org/officeDocument/2006/relationships/hyperlink" Target="https://assets.mathsgenie.co.uk/content/worksheets/a_level_maths/algebraic-methods-ans-9324f91d.pdf" TargetMode="External" Id="rId133" /><Relationship Type="http://schemas.openxmlformats.org/officeDocument/2006/relationships/hyperlink" Target="https://pmt.physicsandmathstutor.com/download/Maths/A-level/Pure/Algebra-and-Functions-1/Edexcel-Set-C/QP/Factor%20Theorem%20QP.pdf#page=1" TargetMode="External" Id="rId134" /><Relationship Type="http://schemas.openxmlformats.org/officeDocument/2006/relationships/hyperlink" Target="https://pmt.physicsandmathstutor.com/download/Maths/A-level/Pure/Algebra-and-Functions-1/Edexcel-Set-C/MS/Factor%20Theorem%20MS.pdf" TargetMode="External" Id="rId135" /><Relationship Type="http://schemas.openxmlformats.org/officeDocument/2006/relationships/hyperlink" Target="https://pmt.physicsandmathstutor.com/download/Maths/A-level/Pure/Algebra-and-Functions-1/Edexcel-Set-C/MA/Factor%20Theorem%20MA.pdf" TargetMode="External" Id="rId136" /><Relationship Type="http://schemas.openxmlformats.org/officeDocument/2006/relationships/hyperlink" Target="https://www.yesterdaysmathsexam.com/_files/ugd/1ba96f_91854f91ca9c48c9b4a14ae5451ccf7c.pdf#page=1" TargetMode="External" Id="rId137" /><Relationship Type="http://schemas.openxmlformats.org/officeDocument/2006/relationships/hyperlink" Target="https://www.yesterdaysmathsexam.com/_files/ugd/1ba96f_91d88e11265c464f93c3640439b79bdd.pdf" TargetMode="External" Id="rId138" /><Relationship Type="http://schemas.openxmlformats.org/officeDocument/2006/relationships/hyperlink" Target="https://mathsgenie.co.uk/a-level/maths/edexcel/as-pure-mathematics-7-3-the-factor-theorem" TargetMode="External" Id="rId139" /><Relationship Type="http://schemas.openxmlformats.org/officeDocument/2006/relationships/hyperlink" Target="https://assets.mathsgenie.co.uk/content/worksheets/a_level_maths/algebraic-methods-a3de4bc8.pdf#page=1" TargetMode="External" Id="rId140" /><Relationship Type="http://schemas.openxmlformats.org/officeDocument/2006/relationships/hyperlink" Target="https://assets.mathsgenie.co.uk/content/worksheets/a_level_maths/algebraic-methods-ans-9324f91d.pdf" TargetMode="External" Id="rId141" /><Relationship Type="http://schemas.openxmlformats.org/officeDocument/2006/relationships/hyperlink" Target="https://pmt.physicsandmathstutor.com/download/Maths/A-level/Pure/Algebra-and-Functions-1/Edexcel-Set-C/QP/Factor%20Theorem%20QP.pdf#page=1" TargetMode="External" Id="rId142" /><Relationship Type="http://schemas.openxmlformats.org/officeDocument/2006/relationships/hyperlink" Target="https://pmt.physicsandmathstutor.com/download/Maths/A-level/Pure/Algebra-and-Functions-1/Edexcel-Set-C/MS/Factor%20Theorem%20MS.pdf" TargetMode="External" Id="rId143" /><Relationship Type="http://schemas.openxmlformats.org/officeDocument/2006/relationships/hyperlink" Target="https://pmt.physicsandmathstutor.com/download/Maths/A-level/Pure/Algebra-and-Functions-1/Edexcel-Set-C/MA/Factor%20Theorem%20MA.pdf" TargetMode="External" Id="rId144" /><Relationship Type="http://schemas.openxmlformats.org/officeDocument/2006/relationships/hyperlink" Target="https://www.yesterdaysmathsexam.com/_files/ugd/1ba96f_91854f91ca9c48c9b4a14ae5451ccf7c.pdf#page=1" TargetMode="External" Id="rId145" /><Relationship Type="http://schemas.openxmlformats.org/officeDocument/2006/relationships/hyperlink" Target="https://www.yesterdaysmathsexam.com/_files/ugd/1ba96f_91d88e11265c464f93c3640439b79bdd.pdf" TargetMode="External" Id="rId146" /><Relationship Type="http://schemas.openxmlformats.org/officeDocument/2006/relationships/hyperlink" Target="https://mathsgenie.co.uk/a-level/maths/edexcel/a-level-pure-mathematics-1-2-algebraic-fractions" TargetMode="External" Id="rId147" /><Relationship Type="http://schemas.openxmlformats.org/officeDocument/2006/relationships/hyperlink" Target="https://assets.mathsgenie.co.uk/content/worksheets/a_level_maths/year-2-differentiation-5cb3a7d8.pdf#page=17" TargetMode="External" Id="rId148" /><Relationship Type="http://schemas.openxmlformats.org/officeDocument/2006/relationships/hyperlink" Target="https://assets.mathsgenie.co.uk/content/worksheets/a_level_maths/year-2-differentiation-ans-fe9163b5.pdf" TargetMode="External" Id="rId149" /><Relationship Type="http://schemas.openxmlformats.org/officeDocument/2006/relationships/hyperlink" Target="https://pmt.physicsandmathstutor.com/download/Maths/A-level/Pure/Algebra-and-Functions-2/Solomon/02a.%20Rational%20expressions.pdf#page=1" TargetMode="External" Id="rId150" /><Relationship Type="http://schemas.openxmlformats.org/officeDocument/2006/relationships/hyperlink" Target="https://pmt.physicsandmathstutor.com/download/Maths/A-level/Pure/Algebra-and-Functions-2/Solomon/02b.%20Rational%20expressions%20-%20Answers.pdf" TargetMode="External" Id="rId151" /><Relationship Type="http://schemas.openxmlformats.org/officeDocument/2006/relationships/hyperlink" Target="https://www.yesterdaysmathsexam.com/_files/ugd/1ba96f_aabff9387fa64b2bb34c007c086f1967.pdf#page=15" TargetMode="External" Id="rId152" /><Relationship Type="http://schemas.openxmlformats.org/officeDocument/2006/relationships/hyperlink" Target="https://www.yesterdaysmathsexam.com/_files/ugd/1ba96f_32378d56df784deaabe0fa8114e895ca.pdf" TargetMode="External" Id="rId153" /><Relationship Type="http://schemas.openxmlformats.org/officeDocument/2006/relationships/hyperlink" Target="https://mathsgenie.co.uk/a-level/maths/edexcel/a-level-pure-mathematics-1-5-algebraic-division" TargetMode="External" Id="rId154" /><Relationship Type="http://schemas.openxmlformats.org/officeDocument/2006/relationships/hyperlink" Target="https://assets.mathsgenie.co.uk/content/worksheets/a_level_maths/a-level-algebraic-methods-67104351.pdf#page=3" TargetMode="External" Id="rId155" /><Relationship Type="http://schemas.openxmlformats.org/officeDocument/2006/relationships/hyperlink" Target="https://assets.mathsgenie.co.uk/content/worksheets/a_level_maths/a-level-algebraic-methods-ans-75eb77a6.pdf" TargetMode="External" Id="rId156" /><Relationship Type="http://schemas.openxmlformats.org/officeDocument/2006/relationships/hyperlink" Target="https://pmt.physicsandmathstutor.com/download/Maths/A-level/Pure/Algebra-and-Functions-2/Edexcel-Set-C/QP/Composite%20and%20Inverse%20Functions%20QP.pdf#page=2" TargetMode="External" Id="rId157" /><Relationship Type="http://schemas.openxmlformats.org/officeDocument/2006/relationships/hyperlink" Target="https://pmt.physicsandmathstutor.com/download/Maths/A-level/Pure/Algebra-and-Functions-2/Edexcel-Set-C/MS/Composite%20and%20Inverse%20Functions%20MS.pdf" TargetMode="External" Id="rId158" /><Relationship Type="http://schemas.openxmlformats.org/officeDocument/2006/relationships/hyperlink" Target="https://pmt.physicsandmathstutor.com/download/Maths/A-level/Pure/Algebra-and-Functions-2/Edexcel-Set-C/MA/Composite%20and%20Inverse%20Functions%20MA.pdf" TargetMode="External" Id="rId159" /><Relationship Type="http://schemas.openxmlformats.org/officeDocument/2006/relationships/hyperlink" Target="https://www.yesterdaysmathsexam.com/_files/ugd/1ba96f_3778726d26a74080a3d371b325ddf02f.pdf#page=10" TargetMode="External" Id="rId160" /><Relationship Type="http://schemas.openxmlformats.org/officeDocument/2006/relationships/hyperlink" Target="https://www.yesterdaysmathsexam.com/_files/ugd/1ba96f_721ef4ec342744798afc38eee8ba0d3b.pdf" TargetMode="External" Id="rId161" /><Relationship Type="http://schemas.openxmlformats.org/officeDocument/2006/relationships/hyperlink" Target="https://mathsgenie.co.uk/a-level/maths/edexcel/as-pure-mathematics-4-1-cubic-graphs" TargetMode="External" Id="rId162" /><Relationship Type="http://schemas.openxmlformats.org/officeDocument/2006/relationships/hyperlink" Target="https://assets.mathsgenie.co.uk/content/worksheets/as_level_maths/graphs-and-transformations-2ff373eb.pdf#page=2" TargetMode="External" Id="rId163" /><Relationship Type="http://schemas.openxmlformats.org/officeDocument/2006/relationships/hyperlink" Target="https://assets.mathsgenie.co.uk/content/worksheets/as_level_maths/graphs-and-transformations-ans-ad2c0ad7.pdf" TargetMode="External" Id="rId164" /><Relationship Type="http://schemas.openxmlformats.org/officeDocument/2006/relationships/hyperlink" Target="https://pmt.physicsandmathstutor.com/download/Maths/A-level/Pure/Algebra-and-Functions-1/Edexcel-Set-C/QP/Transformations%20and%20Graphs%20QP.pdf#page=3" TargetMode="External" Id="rId165" /><Relationship Type="http://schemas.openxmlformats.org/officeDocument/2006/relationships/hyperlink" Target="https://pmt.physicsandmathstutor.com/download/Maths/A-level/Pure/Algebra-and-Functions-1/Edexcel-Set-C/MS/Transformations%20and%20Graphs%20MS.pdf" TargetMode="External" Id="rId166" /><Relationship Type="http://schemas.openxmlformats.org/officeDocument/2006/relationships/hyperlink" Target="https://pmt.physicsandmathstutor.com/download/Maths/A-level/Pure/Algebra-and-Functions-1/Edexcel-Set-C/MA/Transformations%20and%20Graphs%20MA.pdf" TargetMode="External" Id="rId167" /><Relationship Type="http://schemas.openxmlformats.org/officeDocument/2006/relationships/hyperlink" Target="https://www.yesterdaysmathsexam.com/_files/ugd/1ba96f_91854f91ca9c48c9b4a14ae5451ccf7c.pdf#page=5" TargetMode="External" Id="rId168" /><Relationship Type="http://schemas.openxmlformats.org/officeDocument/2006/relationships/hyperlink" Target="https://www.yesterdaysmathsexam.com/_files/ugd/1ba96f_91d88e11265c464f93c3640439b79bdd.pdf" TargetMode="External" Id="rId169" /><Relationship Type="http://schemas.openxmlformats.org/officeDocument/2006/relationships/hyperlink" Target="https://mathsgenie.co.uk/a-level/maths/edexcel/as-pure-mathematics-4-2-quartic-graphs" TargetMode="External" Id="rId170" /><Relationship Type="http://schemas.openxmlformats.org/officeDocument/2006/relationships/hyperlink" Target="https://pmt.physicsandmathstutor.com/download/Maths/A-level/Pure/Algebra-and-Functions-1/Solomon/14a.%20Graphs%20of%20functions.pdf#page=1" TargetMode="External" Id="rId171" /><Relationship Type="http://schemas.openxmlformats.org/officeDocument/2006/relationships/hyperlink" Target="https://pmt.physicsandmathstutor.com/download/Maths/A-level/Pure/Algebra-and-Functions-1/Solomon/14b.%20Graphs%20of%20functions%20-%20Answers.pdf" TargetMode="External" Id="rId172" /><Relationship Type="http://schemas.openxmlformats.org/officeDocument/2006/relationships/hyperlink" Target="https://mathsgenie.co.uk/a-level/maths/edexcel/as-pure-mathematics-4-3-reciprocal-graphs" TargetMode="External" Id="rId173" /><Relationship Type="http://schemas.openxmlformats.org/officeDocument/2006/relationships/hyperlink" Target="https://assets.mathsgenie.co.uk/content/worksheets/as_level_maths/graphs-and-transformations-2ff373eb.pdf#page=3" TargetMode="External" Id="rId174" /><Relationship Type="http://schemas.openxmlformats.org/officeDocument/2006/relationships/hyperlink" Target="https://assets.mathsgenie.co.uk/content/worksheets/as_level_maths/graphs-and-transformations-ans-ad2c0ad7.pdf" TargetMode="External" Id="rId175" /><Relationship Type="http://schemas.openxmlformats.org/officeDocument/2006/relationships/hyperlink" Target="https://pmt.physicsandmathstutor.com/download/Maths/A-level/Pure/Algebra-and-Functions-1/Edexcel-Set-C/QP/Transformations%20and%20Graphs%20QP.pdf#page=1" TargetMode="External" Id="rId176" /><Relationship Type="http://schemas.openxmlformats.org/officeDocument/2006/relationships/hyperlink" Target="https://pmt.physicsandmathstutor.com/download/Maths/A-level/Pure/Algebra-and-Functions-1/Edexcel-Set-C/MS/Transformations%20and%20Graphs%20MS.pdf" TargetMode="External" Id="rId177" /><Relationship Type="http://schemas.openxmlformats.org/officeDocument/2006/relationships/hyperlink" Target="https://pmt.physicsandmathstutor.com/download/Maths/A-level/Pure/Algebra-and-Functions-1/Edexcel-Set-C/MA/Transformations%20and%20Graphs%20MA.pdf" TargetMode="External" Id="rId178" /><Relationship Type="http://schemas.openxmlformats.org/officeDocument/2006/relationships/hyperlink" Target="https://www.yesterdaysmathsexam.com/_files/ugd/1ba96f_91854f91ca9c48c9b4a14ae5451ccf7c.pdf#page=2" TargetMode="External" Id="rId179" /><Relationship Type="http://schemas.openxmlformats.org/officeDocument/2006/relationships/hyperlink" Target="https://www.yesterdaysmathsexam.com/_files/ugd/1ba96f_91d88e11265c464f93c3640439b79bdd.pdf" TargetMode="External" Id="rId180" /><Relationship Type="http://schemas.openxmlformats.org/officeDocument/2006/relationships/hyperlink" Target="https://mathsgenie.co.uk/a-level/maths/edexcel/as-pure-mathematics-4-4-points-of-intersection" TargetMode="External" Id="rId181" /><Relationship Type="http://schemas.openxmlformats.org/officeDocument/2006/relationships/hyperlink" Target="https://assets.mathsgenie.co.uk/content/worksheets/as_level_maths/graphs-and-transformations-2ff373eb.pdf#page=3" TargetMode="External" Id="rId182" /><Relationship Type="http://schemas.openxmlformats.org/officeDocument/2006/relationships/hyperlink" Target="https://assets.mathsgenie.co.uk/content/worksheets/as_level_maths/graphs-and-transformations-ans-ad2c0ad7.pdf" TargetMode="External" Id="rId183" /><Relationship Type="http://schemas.openxmlformats.org/officeDocument/2006/relationships/hyperlink" Target="https://pmt.physicsandmathstutor.com/download/Maths/A-level/Pure/Algebra-and-Functions-1/Edexcel-Set-C/QP/Transformations%20and%20Graphs%20QP.pdf#page=3" TargetMode="External" Id="rId184" /><Relationship Type="http://schemas.openxmlformats.org/officeDocument/2006/relationships/hyperlink" Target="https://pmt.physicsandmathstutor.com/download/Maths/A-level/Pure/Algebra-and-Functions-1/Edexcel-Set-C/MS/Transformations%20and%20Graphs%20MS.pdf" TargetMode="External" Id="rId185" /><Relationship Type="http://schemas.openxmlformats.org/officeDocument/2006/relationships/hyperlink" Target="https://pmt.physicsandmathstutor.com/download/Maths/A-level/Pure/Algebra-and-Functions-1/Edexcel-Set-C/MA/Transformations%20and%20Graphs%20MA.pdf" TargetMode="External" Id="rId186" /><Relationship Type="http://schemas.openxmlformats.org/officeDocument/2006/relationships/hyperlink" Target="https://www.yesterdaysmathsexam.com/_files/ugd/1ba96f_91854f91ca9c48c9b4a14ae5451ccf7c.pdf#page=2" TargetMode="External" Id="rId187" /><Relationship Type="http://schemas.openxmlformats.org/officeDocument/2006/relationships/hyperlink" Target="https://www.yesterdaysmathsexam.com/_files/ugd/1ba96f_91d88e11265c464f93c3640439b79bdd.pdf" TargetMode="External" Id="rId188" /><Relationship Type="http://schemas.openxmlformats.org/officeDocument/2006/relationships/hyperlink" Target="https://mathsgenie.co.uk/a-level/maths/edexcel/as-pure-mathematics-4-graphs-and-transformations" TargetMode="External" Id="rId189" /><Relationship Type="http://schemas.openxmlformats.org/officeDocument/2006/relationships/hyperlink" Target="https://mathsgenie.co.uk/a-level/maths/edexcel/a-level-pure-mathematics-2-1-the-modulus-function" TargetMode="External" Id="rId190" /><Relationship Type="http://schemas.openxmlformats.org/officeDocument/2006/relationships/hyperlink" Target="https://assets.mathsgenie.co.uk/content/worksheets/a_level_maths/functions-and-graphs-e0302bb2.pdf#page=9" TargetMode="External" Id="rId191" /><Relationship Type="http://schemas.openxmlformats.org/officeDocument/2006/relationships/hyperlink" Target="https://assets.mathsgenie.co.uk/content/worksheets/a_level_maths/functions-and-graphs-ans-f4112813.pdf" TargetMode="External" Id="rId192" /><Relationship Type="http://schemas.openxmlformats.org/officeDocument/2006/relationships/hyperlink" Target="https://pmt.physicsandmathstutor.com/download/Maths/A-level/Pure/Algebra-and-Functions-2/Edexcel-Set-C/QP/Modulus%20of%20Functions%20QP.pdf#page=1" TargetMode="External" Id="rId193" /><Relationship Type="http://schemas.openxmlformats.org/officeDocument/2006/relationships/hyperlink" Target="https://pmt.physicsandmathstutor.com/download/Maths/A-level/Pure/Algebra-and-Functions-2/Edexcel-Set-C/MS/Modulus%20of%20Functions%20MS.pdf" TargetMode="External" Id="rId194" /><Relationship Type="http://schemas.openxmlformats.org/officeDocument/2006/relationships/hyperlink" Target="https://pmt.physicsandmathstutor.com/download/Maths/A-level/Pure/Algebra-and-Functions-2/Edexcel-Set-C/MA/Modulus%20of%20Functions%20MA.pdf" TargetMode="External" Id="rId195" /><Relationship Type="http://schemas.openxmlformats.org/officeDocument/2006/relationships/hyperlink" Target="https://www.yesterdaysmathsexam.com/_files/ugd/1ba96f_a9f3634701054587ae7be34b00180611.pdf#page=1" TargetMode="External" Id="rId196" /><Relationship Type="http://schemas.openxmlformats.org/officeDocument/2006/relationships/hyperlink" Target="https://www.yesterdaysmathsexam.com/_files/ugd/1ba96f_81d9c2a1da7e40f5a21e201f93946696.pdf" TargetMode="External" Id="rId197" /><Relationship Type="http://schemas.openxmlformats.org/officeDocument/2006/relationships/hyperlink" Target="https://mathsgenie.co.uk/a-level/maths/edexcel/a-level-pure-mathematics-2-7-solving-modulus-problems" TargetMode="External" Id="rId198" /><Relationship Type="http://schemas.openxmlformats.org/officeDocument/2006/relationships/hyperlink" Target="https://assets.mathsgenie.co.uk/content/worksheets/a_level_maths/functions-and-graphs-e0302bb2.pdf#page=9" TargetMode="External" Id="rId199" /><Relationship Type="http://schemas.openxmlformats.org/officeDocument/2006/relationships/hyperlink" Target="https://assets.mathsgenie.co.uk/content/worksheets/a_level_maths/functions-and-graphs-ans-f4112813.pdf" TargetMode="External" Id="rId200" /><Relationship Type="http://schemas.openxmlformats.org/officeDocument/2006/relationships/hyperlink" Target="https://pmt.physicsandmathstutor.com/download/Maths/A-level/Pure/Algebra-and-Functions-2/Edexcel-Set-C/QP/Modulus%20of%20Functions%20QP.pdf#page=1" TargetMode="External" Id="rId201" /><Relationship Type="http://schemas.openxmlformats.org/officeDocument/2006/relationships/hyperlink" Target="https://pmt.physicsandmathstutor.com/download/Maths/A-level/Pure/Algebra-and-Functions-2/Edexcel-Set-C/MS/Modulus%20of%20Functions%20MS.pdf" TargetMode="External" Id="rId202" /><Relationship Type="http://schemas.openxmlformats.org/officeDocument/2006/relationships/hyperlink" Target="https://pmt.physicsandmathstutor.com/download/Maths/A-level/Pure/Algebra-and-Functions-2/Edexcel-Set-C/MA/Modulus%20of%20Functions%20MA.pdf" TargetMode="External" Id="rId203" /><Relationship Type="http://schemas.openxmlformats.org/officeDocument/2006/relationships/hyperlink" Target="https://www.yesterdaysmathsexam.com/_files/ugd/1ba96f_a9f3634701054587ae7be34b00180611.pdf#page=1" TargetMode="External" Id="rId204" /><Relationship Type="http://schemas.openxmlformats.org/officeDocument/2006/relationships/hyperlink" Target="https://www.yesterdaysmathsexam.com/_files/ugd/1ba96f_81d9c2a1da7e40f5a21e201f93946696.pdf" TargetMode="External" Id="rId205" /><Relationship Type="http://schemas.openxmlformats.org/officeDocument/2006/relationships/hyperlink" Target="https://mathsgenie.co.uk/a-level/maths/edexcel/a-level-pure-mathematics-2-2-functions-and-mappings" TargetMode="External" Id="rId206" /><Relationship Type="http://schemas.openxmlformats.org/officeDocument/2006/relationships/hyperlink" Target="https://assets.mathsgenie.co.uk/content/worksheets/a_level_maths/functions-and-graphs-e0302bb2.pdf#page=8" TargetMode="External" Id="rId207" /><Relationship Type="http://schemas.openxmlformats.org/officeDocument/2006/relationships/hyperlink" Target="https://assets.mathsgenie.co.uk/content/worksheets/a_level_maths/functions-and-graphs-ans-f4112813.pdf" TargetMode="External" Id="rId208" /><Relationship Type="http://schemas.openxmlformats.org/officeDocument/2006/relationships/hyperlink" Target="https://pmt.physicsandmathstutor.com/download/Maths/A-level/Pure/Algebra-and-Functions-2/Edexcel-Set-C/QP/Composite%20and%20Inverse%20Functions%20QP.pdf#page=2" TargetMode="External" Id="rId209" /><Relationship Type="http://schemas.openxmlformats.org/officeDocument/2006/relationships/hyperlink" Target="https://pmt.physicsandmathstutor.com/download/Maths/A-level/Pure/Algebra-and-Functions-2/Edexcel-Set-C/MS/Composite%20and%20Inverse%20Functions%20MS.pdf" TargetMode="External" Id="rId210" /><Relationship Type="http://schemas.openxmlformats.org/officeDocument/2006/relationships/hyperlink" Target="https://pmt.physicsandmathstutor.com/download/Maths/A-level/Pure/Algebra-and-Functions-2/Edexcel-Set-C/MA/Composite%20and%20Inverse%20Functions%20MA.pdf" TargetMode="External" Id="rId211" /><Relationship Type="http://schemas.openxmlformats.org/officeDocument/2006/relationships/hyperlink" Target="https://www.yesterdaysmathsexam.com/_files/ugd/1ba96f_aabff9387fa64b2bb34c007c086f1967.pdf#page=3" TargetMode="External" Id="rId212" /><Relationship Type="http://schemas.openxmlformats.org/officeDocument/2006/relationships/hyperlink" Target="https://www.yesterdaysmathsexam.com/_files/ugd/1ba96f_32378d56df784deaabe0fa8114e895ca.pdf" TargetMode="External" Id="rId213" /><Relationship Type="http://schemas.openxmlformats.org/officeDocument/2006/relationships/hyperlink" Target="https://mathsgenie.co.uk/a-level/maths/edexcel/a-level-pure-mathematics-2-3-composite-functions" TargetMode="External" Id="rId214" /><Relationship Type="http://schemas.openxmlformats.org/officeDocument/2006/relationships/hyperlink" Target="https://assets.mathsgenie.co.uk/content/worksheets/a_level_maths/functions-and-graphs-e0302bb2.pdf#page=1" TargetMode="External" Id="rId215" /><Relationship Type="http://schemas.openxmlformats.org/officeDocument/2006/relationships/hyperlink" Target="https://assets.mathsgenie.co.uk/content/worksheets/a_level_maths/functions-and-graphs-ans-f4112813.pdf" TargetMode="External" Id="rId216" /><Relationship Type="http://schemas.openxmlformats.org/officeDocument/2006/relationships/hyperlink" Target="https://pmt.physicsandmathstutor.com/download/Maths/A-level/Pure/Algebra-and-Functions-2/Edexcel-Set-C/QP/Composite%20and%20Inverse%20Functions%20QP.pdf#page=1" TargetMode="External" Id="rId217" /><Relationship Type="http://schemas.openxmlformats.org/officeDocument/2006/relationships/hyperlink" Target="https://pmt.physicsandmathstutor.com/download/Maths/A-level/Pure/Algebra-and-Functions-2/Edexcel-Set-C/MS/Composite%20and%20Inverse%20Functions%20MS.pdf" TargetMode="External" Id="rId218" /><Relationship Type="http://schemas.openxmlformats.org/officeDocument/2006/relationships/hyperlink" Target="https://pmt.physicsandmathstutor.com/download/Maths/A-level/Pure/Algebra-and-Functions-2/Edexcel-Set-C/MA/Composite%20and%20Inverse%20Functions%20MA.pdf" TargetMode="External" Id="rId219" /><Relationship Type="http://schemas.openxmlformats.org/officeDocument/2006/relationships/hyperlink" Target="https://www.yesterdaysmathsexam.com/_files/ugd/1ba96f_aabff9387fa64b2bb34c007c086f1967.pdf#page=1" TargetMode="External" Id="rId220" /><Relationship Type="http://schemas.openxmlformats.org/officeDocument/2006/relationships/hyperlink" Target="https://www.yesterdaysmathsexam.com/_files/ugd/1ba96f_32378d56df784deaabe0fa8114e895ca.pdf" TargetMode="External" Id="rId221" /><Relationship Type="http://schemas.openxmlformats.org/officeDocument/2006/relationships/hyperlink" Target="https://mathsgenie.co.uk/a-level/maths/edexcel/a-level-pure-mathematics-2-4-inverse-functions" TargetMode="External" Id="rId222" /><Relationship Type="http://schemas.openxmlformats.org/officeDocument/2006/relationships/hyperlink" Target="https://assets.mathsgenie.co.uk/content/worksheets/a_level_maths/functions-and-graphs-e0302bb2.pdf#page=2" TargetMode="External" Id="rId223" /><Relationship Type="http://schemas.openxmlformats.org/officeDocument/2006/relationships/hyperlink" Target="https://assets.mathsgenie.co.uk/content/worksheets/a_level_maths/functions-and-graphs-ans-f4112813.pdf" TargetMode="External" Id="rId224" /><Relationship Type="http://schemas.openxmlformats.org/officeDocument/2006/relationships/hyperlink" Target="https://pmt.physicsandmathstutor.com/download/Maths/A-level/Pure/Algebra-and-Functions-2/Edexcel-Set-C/QP/Composite%20and%20Inverse%20Functions%20QP.pdf#page=1" TargetMode="External" Id="rId225" /><Relationship Type="http://schemas.openxmlformats.org/officeDocument/2006/relationships/hyperlink" Target="https://pmt.physicsandmathstutor.com/download/Maths/A-level/Pure/Algebra-and-Functions-2/Edexcel-Set-C/MS/Composite%20and%20Inverse%20Functions%20MS.pdf" TargetMode="External" Id="rId226" /><Relationship Type="http://schemas.openxmlformats.org/officeDocument/2006/relationships/hyperlink" Target="https://pmt.physicsandmathstutor.com/download/Maths/A-level/Pure/Algebra-and-Functions-2/Edexcel-Set-C/MA/Composite%20and%20Inverse%20Functions%20MA.pdf" TargetMode="External" Id="rId227" /><Relationship Type="http://schemas.openxmlformats.org/officeDocument/2006/relationships/hyperlink" Target="https://www.yesterdaysmathsexam.com/_files/ugd/1ba96f_aabff9387fa64b2bb34c007c086f1967.pdf#page=1" TargetMode="External" Id="rId228" /><Relationship Type="http://schemas.openxmlformats.org/officeDocument/2006/relationships/hyperlink" Target="https://www.yesterdaysmathsexam.com/_files/ugd/1ba96f_32378d56df784deaabe0fa8114e895ca.pdf" TargetMode="External" Id="rId229" /><Relationship Type="http://schemas.openxmlformats.org/officeDocument/2006/relationships/hyperlink" Target="https://mathsgenie.co.uk/a-level/maths/edexcel/as-pure-mathematics-4-5-translating-graphs" TargetMode="External" Id="rId230" /><Relationship Type="http://schemas.openxmlformats.org/officeDocument/2006/relationships/hyperlink" Target="https://assets.mathsgenie.co.uk/content/worksheets/as_level_maths/graphs-and-transformations-2ff373eb.pdf#page=2" TargetMode="External" Id="rId231" /><Relationship Type="http://schemas.openxmlformats.org/officeDocument/2006/relationships/hyperlink" Target="https://assets.mathsgenie.co.uk/content/worksheets/as_level_maths/graphs-and-transformations-ans-ad2c0ad7.pdf" TargetMode="External" Id="rId232" /><Relationship Type="http://schemas.openxmlformats.org/officeDocument/2006/relationships/hyperlink" Target="https://pmt.physicsandmathstutor.com/download/Maths/A-level/Pure/Algebra-and-Functions-1/Solomon/15a.%20Transformations%20of%20graphs.pdf#page=1" TargetMode="External" Id="rId233" /><Relationship Type="http://schemas.openxmlformats.org/officeDocument/2006/relationships/hyperlink" Target="https://pmt.physicsandmathstutor.com/download/Maths/A-level/Pure/Algebra-and-Functions-1/Solomon/15b.%20Transformations%20of%20graphs%20-%20Answers.pdf" TargetMode="External" Id="rId234" /><Relationship Type="http://schemas.openxmlformats.org/officeDocument/2006/relationships/hyperlink" Target="https://www.yesterdaysmathsexam.com/_files/ugd/1ba96f_91854f91ca9c48c9b4a14ae5451ccf7c.pdf#page=3" TargetMode="External" Id="rId235" /><Relationship Type="http://schemas.openxmlformats.org/officeDocument/2006/relationships/hyperlink" Target="https://www.yesterdaysmathsexam.com/_files/ugd/1ba96f_91d88e11265c464f93c3640439b79bdd.pdf" TargetMode="External" Id="rId236" /><Relationship Type="http://schemas.openxmlformats.org/officeDocument/2006/relationships/hyperlink" Target="https://mathsgenie.co.uk/a-level/maths/edexcel/as-pure-mathematics-4-6-stretching-graphs" TargetMode="External" Id="rId237" /><Relationship Type="http://schemas.openxmlformats.org/officeDocument/2006/relationships/hyperlink" Target="https://assets.mathsgenie.co.uk/content/worksheets/as_level_maths/graphs-and-transformations-2ff373eb.pdf#page=5" TargetMode="External" Id="rId238" /><Relationship Type="http://schemas.openxmlformats.org/officeDocument/2006/relationships/hyperlink" Target="https://assets.mathsgenie.co.uk/content/worksheets/as_level_maths/graphs-and-transformations-ans-ad2c0ad7.pdf" TargetMode="External" Id="rId239" /><Relationship Type="http://schemas.openxmlformats.org/officeDocument/2006/relationships/hyperlink" Target="https://pmt.physicsandmathstutor.com/download/Maths/A-level/Pure/Differentiation-1/Edexcel-Set-C/QP/Stationary%20Points%20QP.pdf#page=1" TargetMode="External" Id="rId240" /><Relationship Type="http://schemas.openxmlformats.org/officeDocument/2006/relationships/hyperlink" Target="https://pmt.physicsandmathstutor.com/download/Maths/A-level/Pure/Differentiation-1/Edexcel-Set-C/MS/Stationary%20Points%20MS.pdf" TargetMode="External" Id="rId241" /><Relationship Type="http://schemas.openxmlformats.org/officeDocument/2006/relationships/hyperlink" Target="https://pmt.physicsandmathstutor.com/download/Maths/A-level/Pure/Differentiation-1/Edexcel-Set-C/MA/Stationary%20Points%20MA.pdf" TargetMode="External" Id="rId242" /><Relationship Type="http://schemas.openxmlformats.org/officeDocument/2006/relationships/hyperlink" Target="https://www.yesterdaysmathsexam.com/_files/ugd/1ba96f_91854f91ca9c48c9b4a14ae5451ccf7c.pdf#page=10" TargetMode="External" Id="rId243" /><Relationship Type="http://schemas.openxmlformats.org/officeDocument/2006/relationships/hyperlink" Target="https://www.yesterdaysmathsexam.com/_files/ugd/1ba96f_91d88e11265c464f93c3640439b79bdd.pdf" TargetMode="External" Id="rId244" /><Relationship Type="http://schemas.openxmlformats.org/officeDocument/2006/relationships/hyperlink" Target="https://mathsgenie.co.uk/a-level/maths/edexcel/as-pure-mathematics-4-7-transforming-functions" TargetMode="External" Id="rId245" /><Relationship Type="http://schemas.openxmlformats.org/officeDocument/2006/relationships/hyperlink" Target="https://assets.mathsgenie.co.uk/content/worksheets/as_level_maths/graphs-and-transformations-2ff373eb.pdf#page=2" TargetMode="External" Id="rId246" /><Relationship Type="http://schemas.openxmlformats.org/officeDocument/2006/relationships/hyperlink" Target="https://assets.mathsgenie.co.uk/content/worksheets/as_level_maths/graphs-and-transformations-ans-ad2c0ad7.pdf" TargetMode="External" Id="rId247" /><Relationship Type="http://schemas.openxmlformats.org/officeDocument/2006/relationships/hyperlink" Target="https://pmt.physicsandmathstutor.com/download/Maths/A-level/Pure/Algebra-and-Functions-1/Solomon/15a.%20Transformations%20of%20graphs.pdf#page=1" TargetMode="External" Id="rId248" /><Relationship Type="http://schemas.openxmlformats.org/officeDocument/2006/relationships/hyperlink" Target="https://pmt.physicsandmathstutor.com/download/Maths/A-level/Pure/Algebra-and-Functions-1/Solomon/15b.%20Transformations%20of%20graphs%20-%20Answers.pdf" TargetMode="External" Id="rId249" /><Relationship Type="http://schemas.openxmlformats.org/officeDocument/2006/relationships/hyperlink" Target="https://www.yesterdaysmathsexam.com/_files/ugd/1ba96f_91854f91ca9c48c9b4a14ae5451ccf7c.pdf#page=9" TargetMode="External" Id="rId250" /><Relationship Type="http://schemas.openxmlformats.org/officeDocument/2006/relationships/hyperlink" Target="https://www.yesterdaysmathsexam.com/_files/ugd/1ba96f_91d88e11265c464f93c3640439b79bdd.pdf" TargetMode="External" Id="rId251" /><Relationship Type="http://schemas.openxmlformats.org/officeDocument/2006/relationships/hyperlink" Target="https://mathsgenie.co.uk/a-level/maths/edexcel/a-level-pure-mathematics-2-5-y-f-x-and-y-f-x" TargetMode="External" Id="rId252" /><Relationship Type="http://schemas.openxmlformats.org/officeDocument/2006/relationships/hyperlink" Target="https://assets.mathsgenie.co.uk/content/worksheets/a_level_maths/functions-and-graphs-e0302bb2.pdf#page=10" TargetMode="External" Id="rId253" /><Relationship Type="http://schemas.openxmlformats.org/officeDocument/2006/relationships/hyperlink" Target="https://assets.mathsgenie.co.uk/content/worksheets/a_level_maths/functions-and-graphs-ans-f4112813.pdf" TargetMode="External" Id="rId254" /><Relationship Type="http://schemas.openxmlformats.org/officeDocument/2006/relationships/hyperlink" Target="https://pmt.physicsandmathstutor.com/download/Maths/A-level/Pure/Algebra-and-Functions-2/Solomon/04a.%20The%20modulus%20function.pdf#page=1" TargetMode="External" Id="rId255" /><Relationship Type="http://schemas.openxmlformats.org/officeDocument/2006/relationships/hyperlink" Target="https://pmt.physicsandmathstutor.com/download/Maths/A-level/Pure/Algebra-and-Functions-2/Solomon/04b.%20The%20modulus%20function%20-%20Answers.pdf" TargetMode="External" Id="rId256" /><Relationship Type="http://schemas.openxmlformats.org/officeDocument/2006/relationships/hyperlink" Target="https://www.yesterdaysmathsexam.com/_files/ugd/1ba96f_a9f3634701054587ae7be34b00180611.pdf#page=4" TargetMode="External" Id="rId257" /><Relationship Type="http://schemas.openxmlformats.org/officeDocument/2006/relationships/hyperlink" Target="https://www.yesterdaysmathsexam.com/_files/ugd/1ba96f_81d9c2a1da7e40f5a21e201f93946696.pdf" TargetMode="External" Id="rId258" /><Relationship Type="http://schemas.openxmlformats.org/officeDocument/2006/relationships/hyperlink" Target="https://mathsgenie.co.uk/a-level/maths/edexcel/a-level-pure-mathematics-2-6-combining-transformations" TargetMode="External" Id="rId259" /><Relationship Type="http://schemas.openxmlformats.org/officeDocument/2006/relationships/hyperlink" Target="https://assets.mathsgenie.co.uk/content/worksheets/a_level_maths/functions-and-graphs-e0302bb2.pdf#page=15" TargetMode="External" Id="rId260" /><Relationship Type="http://schemas.openxmlformats.org/officeDocument/2006/relationships/hyperlink" Target="https://assets.mathsgenie.co.uk/content/worksheets/a_level_maths/functions-and-graphs-ans-f4112813.pdf" TargetMode="External" Id="rId261" /><Relationship Type="http://schemas.openxmlformats.org/officeDocument/2006/relationships/hyperlink" Target="https://pmt.physicsandmathstutor.com/download/Maths/A-level/Pure/Algebra-and-Functions-2/Edexcel-Set-C/QP/Modulus%20of%20Functions%20QP.pdf#page=1" TargetMode="External" Id="rId262" /><Relationship Type="http://schemas.openxmlformats.org/officeDocument/2006/relationships/hyperlink" Target="https://pmt.physicsandmathstutor.com/download/Maths/A-level/Pure/Algebra-and-Functions-2/Edexcel-Set-C/MS/Modulus%20of%20Functions%20MS.pdf" TargetMode="External" Id="rId263" /><Relationship Type="http://schemas.openxmlformats.org/officeDocument/2006/relationships/hyperlink" Target="https://pmt.physicsandmathstutor.com/download/Maths/A-level/Pure/Algebra-and-Functions-2/Edexcel-Set-C/MA/Modulus%20of%20Functions%20MA.pdf" TargetMode="External" Id="rId264" /><Relationship Type="http://schemas.openxmlformats.org/officeDocument/2006/relationships/hyperlink" Target="https://www.yesterdaysmathsexam.com/_files/ugd/1ba96f_a9f3634701054587ae7be34b00180611.pdf#page=4" TargetMode="External" Id="rId265" /><Relationship Type="http://schemas.openxmlformats.org/officeDocument/2006/relationships/hyperlink" Target="https://www.yesterdaysmathsexam.com/_files/ugd/1ba96f_81d9c2a1da7e40f5a21e201f93946696.pdf" TargetMode="External" Id="rId266" /><Relationship Type="http://schemas.openxmlformats.org/officeDocument/2006/relationships/hyperlink" Target="https://mathsgenie.co.uk/a-level/maths/edexcel/a-level-pure-mathematics-1-3-partial-fractions" TargetMode="External" Id="rId267" /><Relationship Type="http://schemas.openxmlformats.org/officeDocument/2006/relationships/hyperlink" Target="https://assets.mathsgenie.co.uk/content/worksheets/a_level_maths/a-level-algebraic-methods-67104351.pdf#page=1" TargetMode="External" Id="rId268" /><Relationship Type="http://schemas.openxmlformats.org/officeDocument/2006/relationships/hyperlink" Target="https://assets.mathsgenie.co.uk/content/worksheets/a_level_maths/a-level-algebraic-methods-ans-75eb77a6.pdf" TargetMode="External" Id="rId269" /><Relationship Type="http://schemas.openxmlformats.org/officeDocument/2006/relationships/hyperlink" Target="https://pmt.physicsandmathstutor.com/download/Maths/A-level/Pure/Algebra-and-Functions-2/Edexcel-Set-C/QP/Partial%20Fractions%20QP.pdf#page=2" TargetMode="External" Id="rId270" /><Relationship Type="http://schemas.openxmlformats.org/officeDocument/2006/relationships/hyperlink" Target="https://pmt.physicsandmathstutor.com/download/Maths/A-level/Pure/Algebra-and-Functions-2/Edexcel-Set-C/MS/Partial%20Fractions%20MS.pdf" TargetMode="External" Id="rId271" /><Relationship Type="http://schemas.openxmlformats.org/officeDocument/2006/relationships/hyperlink" Target="https://pmt.physicsandmathstutor.com/download/Maths/A-level/Pure/Algebra-and-Functions-2/Edexcel-Set-C/MA/Partial%20Fractions%20MA.pdf" TargetMode="External" Id="rId272" /><Relationship Type="http://schemas.openxmlformats.org/officeDocument/2006/relationships/hyperlink" Target="https://www.yesterdaysmathsexam.com/_files/ugd/1ba96f_3c940af8cffa4cad940bbd3375c6337d.pdf#page=8" TargetMode="External" Id="rId273" /><Relationship Type="http://schemas.openxmlformats.org/officeDocument/2006/relationships/hyperlink" Target="https://www.yesterdaysmathsexam.com/_files/ugd/1ba96f_ae20a0be0c6043a18aff99d79c09ba98.pdf" TargetMode="External" Id="rId274" /><Relationship Type="http://schemas.openxmlformats.org/officeDocument/2006/relationships/hyperlink" Target="https://mathsgenie.co.uk/a-level/maths/edexcel/a-level-pure-mathematics-1-4-repeated-factors" TargetMode="External" Id="rId275" /><Relationship Type="http://schemas.openxmlformats.org/officeDocument/2006/relationships/hyperlink" Target="https://assets.mathsgenie.co.uk/content/worksheets/a_level_maths/a-level-algebraic-methods-67104351.pdf#page=2" TargetMode="External" Id="rId276" /><Relationship Type="http://schemas.openxmlformats.org/officeDocument/2006/relationships/hyperlink" Target="https://assets.mathsgenie.co.uk/content/worksheets/a_level_maths/a-level-algebraic-methods-ans-75eb77a6.pdf" TargetMode="External" Id="rId277" /><Relationship Type="http://schemas.openxmlformats.org/officeDocument/2006/relationships/hyperlink" Target="https://pmt.physicsandmathstutor.com/download/Maths/A-level/Pure/Algebra-and-Functions-2/Edexcel-Set-C/QP/Partial%20Fractions%20QP.pdf#page=1" TargetMode="External" Id="rId278" /><Relationship Type="http://schemas.openxmlformats.org/officeDocument/2006/relationships/hyperlink" Target="https://pmt.physicsandmathstutor.com/download/Maths/A-level/Pure/Algebra-and-Functions-2/Edexcel-Set-C/MS/Partial%20Fractions%20MS.pdf" TargetMode="External" Id="rId279" /><Relationship Type="http://schemas.openxmlformats.org/officeDocument/2006/relationships/hyperlink" Target="https://pmt.physicsandmathstutor.com/download/Maths/A-level/Pure/Algebra-and-Functions-2/Edexcel-Set-C/MA/Partial%20Fractions%20MA.pdf" TargetMode="External" Id="rId280" /><Relationship Type="http://schemas.openxmlformats.org/officeDocument/2006/relationships/hyperlink" Target="https://www.yesterdaysmathsexam.com/_files/ugd/1ba96f_3c940af8cffa4cad940bbd3375c6337d.pdf#page=10" TargetMode="External" Id="rId281" /><Relationship Type="http://schemas.openxmlformats.org/officeDocument/2006/relationships/hyperlink" Target="https://www.yesterdaysmathsexam.com/_files/ugd/1ba96f_ae20a0be0c6043a18aff99d79c09ba98.pdf" TargetMode="External" Id="rId282" /><Relationship Type="http://schemas.openxmlformats.org/officeDocument/2006/relationships/hyperlink" Target="https://mathsgenie.co.uk/a-level/maths/edexcel/as-pure-mathematics-2-5-modelling-with-quadratics" TargetMode="External" Id="rId283" /><Relationship Type="http://schemas.openxmlformats.org/officeDocument/2006/relationships/hyperlink" Target="https://assets.mathsgenie.co.uk/content/worksheets/a_level_maths/quadratics-368699de.pdf#page=11" TargetMode="External" Id="rId284" /><Relationship Type="http://schemas.openxmlformats.org/officeDocument/2006/relationships/hyperlink" Target="https://assets.mathsgenie.co.uk/content/worksheets/a_level_maths/quadratics-ans-cb70f353.pdf" TargetMode="External" Id="rId285" /><Relationship Type="http://schemas.openxmlformats.org/officeDocument/2006/relationships/hyperlink" Target="https://pmt.physicsandmathstutor.com/download/Maths/A-level/Pure/Algebra-and-Functions-1/Edexcel-Set-C/QP/Quadratics%20QP.pdf#page=7" TargetMode="External" Id="rId286" /><Relationship Type="http://schemas.openxmlformats.org/officeDocument/2006/relationships/hyperlink" Target="https://pmt.physicsandmathstutor.com/download/Maths/A-level/Pure/Algebra-and-Functions-1/Edexcel-Set-C/MS/Quadratics%20MS.pdf" TargetMode="External" Id="rId287" /><Relationship Type="http://schemas.openxmlformats.org/officeDocument/2006/relationships/hyperlink" Target="https://pmt.physicsandmathstutor.com/download/Maths/A-level/Pure/Algebra-and-Functions-1/Edexcel-Set-C/MA/Quadratics%20MA.pdf" TargetMode="External" Id="rId288" /><Relationship Type="http://schemas.openxmlformats.org/officeDocument/2006/relationships/hyperlink" Target="https://www.yesterdaysmathsexam.com/_files/ugd/1ba96f_e22773086352449e8757f2f4f6601256.pdf#page=1" TargetMode="External" Id="rId289" /><Relationship Type="http://schemas.openxmlformats.org/officeDocument/2006/relationships/hyperlink" Target="https://www.yesterdaysmathsexam.com/_files/ugd/1ba96f_5d26dee8e05a4d68aeb30e40b3a3c9c1.pdf" TargetMode="External" Id="rId290" /><Relationship Type="http://schemas.openxmlformats.org/officeDocument/2006/relationships/hyperlink" Target="https://mathsgenie.co.uk/a-level/maths/edexcel/as-pure-mathematics-5-1-y-mx-c" TargetMode="External" Id="rId291" /><Relationship Type="http://schemas.openxmlformats.org/officeDocument/2006/relationships/hyperlink" Target="https://assets.mathsgenie.co.uk/content/worksheets/a_level_maths/straight-line-graphs-292c4a26.pdf#page=1" TargetMode="External" Id="rId292" /><Relationship Type="http://schemas.openxmlformats.org/officeDocument/2006/relationships/hyperlink" Target="https://assets.mathsgenie.co.uk/content/worksheets/a_level_maths/straight-line-graphs-ans-005ba0f8.pdf" TargetMode="External" Id="rId293" /><Relationship Type="http://schemas.openxmlformats.org/officeDocument/2006/relationships/hyperlink" Target="https://pmt.physicsandmathstutor.com/download/Maths/A-level/Pure/Coordinate-Geometry-1/Solomon/1a.%20Equations%20of%20straight%20lines.pdf#page=1" TargetMode="External" Id="rId294" /><Relationship Type="http://schemas.openxmlformats.org/officeDocument/2006/relationships/hyperlink" Target="https://pmt.physicsandmathstutor.com/download/Maths/A-level/Pure/Coordinate-Geometry-1/Solomon/1b.%20Equations%20of%20straight%20lines%20-%20Answers.pdf" TargetMode="External" Id="rId295" /><Relationship Type="http://schemas.openxmlformats.org/officeDocument/2006/relationships/hyperlink" Target="https://www.yesterdaysmathsexam.com/_files/ugd/1ba96f_0c034f6ab83040e294803ce31407d2a9.pdf#page=5" TargetMode="External" Id="rId296" /><Relationship Type="http://schemas.openxmlformats.org/officeDocument/2006/relationships/hyperlink" Target="https://www.yesterdaysmathsexam.com/_files/ugd/1ba96f_58c2b569086c4f6faecee67913c86a4d.pdf" TargetMode="External" Id="rId297" /><Relationship Type="http://schemas.openxmlformats.org/officeDocument/2006/relationships/hyperlink" Target="https://mathsgenie.co.uk/a-level/maths/edexcel/as-pure-mathematics-5-2-equations-of-straight-lines" TargetMode="External" Id="rId298" /><Relationship Type="http://schemas.openxmlformats.org/officeDocument/2006/relationships/hyperlink" Target="https://assets.mathsgenie.co.uk/content/worksheets/a_level_maths/straight-line-graphs-292c4a26.pdf#page=1" TargetMode="External" Id="rId299" /><Relationship Type="http://schemas.openxmlformats.org/officeDocument/2006/relationships/hyperlink" Target="https://assets.mathsgenie.co.uk/content/worksheets/a_level_maths/straight-line-graphs-ans-005ba0f8.pdf" TargetMode="External" Id="rId300" /><Relationship Type="http://schemas.openxmlformats.org/officeDocument/2006/relationships/hyperlink" Target="https://pmt.physicsandmathstutor.com/download/Maths/A-level/Pure/Coordinate-Geometry-1/Edexcel-Set-C/QP/Straight%20Lines%20QP.pdf#page=1" TargetMode="External" Id="rId301" /><Relationship Type="http://schemas.openxmlformats.org/officeDocument/2006/relationships/hyperlink" Target="https://pmt.physicsandmathstutor.com/download/Maths/A-level/Pure/Coordinate-Geometry-1/Edexcel-Set-C/MS/Straight%20Lines%20MS.pdf" TargetMode="External" Id="rId302" /><Relationship Type="http://schemas.openxmlformats.org/officeDocument/2006/relationships/hyperlink" Target="https://pmt.physicsandmathstutor.com/download/Maths/A-level/Pure/Coordinate-Geometry-1/Edexcel-Set-C/MA/Straight%20Lines%20MA.pdf" TargetMode="External" Id="rId303" /><Relationship Type="http://schemas.openxmlformats.org/officeDocument/2006/relationships/hyperlink" Target="https://www.yesterdaysmathsexam.com/_files/ugd/1ba96f_0c034f6ab83040e294803ce31407d2a9.pdf#page=5" TargetMode="External" Id="rId304" /><Relationship Type="http://schemas.openxmlformats.org/officeDocument/2006/relationships/hyperlink" Target="https://www.yesterdaysmathsexam.com/_files/ugd/1ba96f_58c2b569086c4f6faecee67913c86a4d.pdf" TargetMode="External" Id="rId305" /><Relationship Type="http://schemas.openxmlformats.org/officeDocument/2006/relationships/hyperlink" Target="https://mathsgenie.co.uk/a-level/maths/edexcel/as-pure-mathematics-5-3-parallel-and-perpendicular-lines" TargetMode="External" Id="rId306" /><Relationship Type="http://schemas.openxmlformats.org/officeDocument/2006/relationships/hyperlink" Target="https://assets.mathsgenie.co.uk/content/worksheets/a_level_maths/straight-line-graphs-292c4a26.pdf#page=1" TargetMode="External" Id="rId307" /><Relationship Type="http://schemas.openxmlformats.org/officeDocument/2006/relationships/hyperlink" Target="https://assets.mathsgenie.co.uk/content/worksheets/a_level_maths/straight-line-graphs-ans-005ba0f8.pdf" TargetMode="External" Id="rId308" /><Relationship Type="http://schemas.openxmlformats.org/officeDocument/2006/relationships/hyperlink" Target="https://pmt.physicsandmathstutor.com/download/Maths/A-level/Pure/Coordinate-Geometry-1/Edexcel-Set-C/QP/Straight%20Lines%20QP.pdf#page=1" TargetMode="External" Id="rId309" /><Relationship Type="http://schemas.openxmlformats.org/officeDocument/2006/relationships/hyperlink" Target="https://pmt.physicsandmathstutor.com/download/Maths/A-level/Pure/Coordinate-Geometry-1/Edexcel-Set-C/MS/Straight%20Lines%20MS.pdf" TargetMode="External" Id="rId310" /><Relationship Type="http://schemas.openxmlformats.org/officeDocument/2006/relationships/hyperlink" Target="https://pmt.physicsandmathstutor.com/download/Maths/A-level/Pure/Coordinate-Geometry-1/Edexcel-Set-C/MA/Straight%20Lines%20MA.pdf" TargetMode="External" Id="rId311" /><Relationship Type="http://schemas.openxmlformats.org/officeDocument/2006/relationships/hyperlink" Target="https://www.yesterdaysmathsexam.com/_files/ugd/1ba96f_0c034f6ab83040e294803ce31407d2a9.pdf#page=1" TargetMode="External" Id="rId312" /><Relationship Type="http://schemas.openxmlformats.org/officeDocument/2006/relationships/hyperlink" Target="https://www.yesterdaysmathsexam.com/_files/ugd/1ba96f_58c2b569086c4f6faecee67913c86a4d.pdf" TargetMode="External" Id="rId313" /><Relationship Type="http://schemas.openxmlformats.org/officeDocument/2006/relationships/hyperlink" Target="https://mathsgenie.co.uk/a-level/maths/edexcel/as-pure-mathematics-5-4-length-and-area" TargetMode="External" Id="rId314" /><Relationship Type="http://schemas.openxmlformats.org/officeDocument/2006/relationships/hyperlink" Target="https://assets.mathsgenie.co.uk/content/worksheets/a_level_maths/straight-line-graphs-292c4a26.pdf#page=2" TargetMode="External" Id="rId315" /><Relationship Type="http://schemas.openxmlformats.org/officeDocument/2006/relationships/hyperlink" Target="https://assets.mathsgenie.co.uk/content/worksheets/a_level_maths/straight-line-graphs-ans-005ba0f8.pdf" TargetMode="External" Id="rId316" /><Relationship Type="http://schemas.openxmlformats.org/officeDocument/2006/relationships/hyperlink" Target="https://pmt.physicsandmathstutor.com/download/Maths/A-level/Pure/Coordinate-Geometry-1/Edexcel-Set-C/QP/Straight%20Lines%20QP.pdf#page=1" TargetMode="External" Id="rId317" /><Relationship Type="http://schemas.openxmlformats.org/officeDocument/2006/relationships/hyperlink" Target="https://pmt.physicsandmathstutor.com/download/Maths/A-level/Pure/Coordinate-Geometry-1/Edexcel-Set-C/MS/Straight%20Lines%20MS.pdf" TargetMode="External" Id="rId318" /><Relationship Type="http://schemas.openxmlformats.org/officeDocument/2006/relationships/hyperlink" Target="https://pmt.physicsandmathstutor.com/download/Maths/A-level/Pure/Coordinate-Geometry-1/Edexcel-Set-C/MA/Straight%20Lines%20MA.pdf" TargetMode="External" Id="rId319" /><Relationship Type="http://schemas.openxmlformats.org/officeDocument/2006/relationships/hyperlink" Target="https://www.yesterdaysmathsexam.com/_files/ugd/1ba96f_0c034f6ab83040e294803ce31407d2a9.pdf#page=10" TargetMode="External" Id="rId320" /><Relationship Type="http://schemas.openxmlformats.org/officeDocument/2006/relationships/hyperlink" Target="https://www.yesterdaysmathsexam.com/_files/ugd/1ba96f_58c2b569086c4f6faecee67913c86a4d.pdf" TargetMode="External" Id="rId321" /><Relationship Type="http://schemas.openxmlformats.org/officeDocument/2006/relationships/hyperlink" Target="https://mathsgenie.co.uk/a-level/maths/edexcel/as-pure-mathematics-5-5-modelling-with-straight-lines" TargetMode="External" Id="rId322" /><Relationship Type="http://schemas.openxmlformats.org/officeDocument/2006/relationships/hyperlink" Target="https://assets.mathsgenie.co.uk/content/worksheets/a_level_maths/straight-line-graphs-292c4a26.pdf#page=16" TargetMode="External" Id="rId323" /><Relationship Type="http://schemas.openxmlformats.org/officeDocument/2006/relationships/hyperlink" Target="https://assets.mathsgenie.co.uk/content/worksheets/a_level_maths/straight-line-graphs-ans-005ba0f8.pdf" TargetMode="External" Id="rId324" /><Relationship Type="http://schemas.openxmlformats.org/officeDocument/2006/relationships/hyperlink" Target="https://pmt.physicsandmathstutor.com/download/Maths/A-level/Pure/Coordinate-Geometry-1/Edexcel-Set-C/QP/Linear%20Models%20QP.pdf#page=2" TargetMode="External" Id="rId325" /><Relationship Type="http://schemas.openxmlformats.org/officeDocument/2006/relationships/hyperlink" Target="https://pmt.physicsandmathstutor.com/download/Maths/A-level/Pure/Coordinate-Geometry-1/Edexcel-Set-C/MS/Linear%20Models%20MS.pdf" TargetMode="External" Id="rId326" /><Relationship Type="http://schemas.openxmlformats.org/officeDocument/2006/relationships/hyperlink" Target="https://pmt.physicsandmathstutor.com/download/Maths/A-level/Pure/Coordinate-Geometry-1/Edexcel-Set-C/MA/Linear%20Models%20MA.pdf" TargetMode="External" Id="rId327" /><Relationship Type="http://schemas.openxmlformats.org/officeDocument/2006/relationships/hyperlink" Target="https://www.yesterdaysmathsexam.com/_files/ugd/1ba96f_0c034f6ab83040e294803ce31407d2a9.pdf#page=3" TargetMode="External" Id="rId328" /><Relationship Type="http://schemas.openxmlformats.org/officeDocument/2006/relationships/hyperlink" Target="https://www.yesterdaysmathsexam.com/_files/ugd/1ba96f_58c2b569086c4f6faecee67913c86a4d.pdf" TargetMode="External" Id="rId329" /><Relationship Type="http://schemas.openxmlformats.org/officeDocument/2006/relationships/hyperlink" Target="https://mathsgenie.co.uk/a-level/maths/edexcel/as-pure-mathematics-6-1-midpoints-and-perpendicular-bisectors" TargetMode="External" Id="rId330" /><Relationship Type="http://schemas.openxmlformats.org/officeDocument/2006/relationships/hyperlink" Target="https://assets.mathsgenie.co.uk/content/worksheets/a_level_maths/straight-line-graphs-292c4a26.pdf#page=3" TargetMode="External" Id="rId331" /><Relationship Type="http://schemas.openxmlformats.org/officeDocument/2006/relationships/hyperlink" Target="https://assets.mathsgenie.co.uk/content/worksheets/a_level_maths/straight-line-graphs-ans-005ba0f8.pdf" TargetMode="External" Id="rId332" /><Relationship Type="http://schemas.openxmlformats.org/officeDocument/2006/relationships/hyperlink" Target="https://pmt.physicsandmathstutor.com/download/Maths/A-level/Pure/Coordinate-Geometry-1/Solomon/3a.%20Coordinate%20geometry%20%E2%88%92%20further%20questions.pdf#page=1" TargetMode="External" Id="rId333" /><Relationship Type="http://schemas.openxmlformats.org/officeDocument/2006/relationships/hyperlink" Target="https://pmt.physicsandmathstutor.com/download/Maths/A-level/Pure/Coordinate-Geometry-1/Solomon/3b.%20Coordinate%20geometry%20%E2%88%92%20further%20questions%20%E2%88%92%20Answers.pdf" TargetMode="External" Id="rId334" /><Relationship Type="http://schemas.openxmlformats.org/officeDocument/2006/relationships/hyperlink" Target="https://www.yesterdaysmathsexam.com/_files/ugd/1ba96f_137fddacd6a741eea1c38a996d8b2e17.pdf#page=8" TargetMode="External" Id="rId335" /><Relationship Type="http://schemas.openxmlformats.org/officeDocument/2006/relationships/hyperlink" Target="https://www.yesterdaysmathsexam.com/_files/ugd/1ba96f_28606260e6214f7998dbba87694ffce4.pdf" TargetMode="External" Id="rId336" /><Relationship Type="http://schemas.openxmlformats.org/officeDocument/2006/relationships/hyperlink" Target="https://mathsgenie.co.uk/a-level/maths/edexcel/as-pure-mathematics-6-2-equation-of-a-circle" TargetMode="External" Id="rId337" /><Relationship Type="http://schemas.openxmlformats.org/officeDocument/2006/relationships/hyperlink" Target="https://assets.mathsgenie.co.uk/content/worksheets/a_level_maths/circles-f6b421fc.pdf#page=1" TargetMode="External" Id="rId338" /><Relationship Type="http://schemas.openxmlformats.org/officeDocument/2006/relationships/hyperlink" Target="https://assets.mathsgenie.co.uk/content/worksheets/a_level_maths/circles-ans-e9cff5dc.pdf" TargetMode="External" Id="rId339" /><Relationship Type="http://schemas.openxmlformats.org/officeDocument/2006/relationships/hyperlink" Target="https://pmt.physicsandmathstutor.com/download/Maths/A-level/Pure/Coordinate-Geometry-1/Edexcel-Set-C/QP/Circles%20QP.pdf#page=1" TargetMode="External" Id="rId340" /><Relationship Type="http://schemas.openxmlformats.org/officeDocument/2006/relationships/hyperlink" Target="https://pmt.physicsandmathstutor.com/download/Maths/A-level/Pure/Coordinate-Geometry-1/Edexcel-Set-C/MS/Circles%20MS.pdf" TargetMode="External" Id="rId341" /><Relationship Type="http://schemas.openxmlformats.org/officeDocument/2006/relationships/hyperlink" Target="https://pmt.physicsandmathstutor.com/download/Maths/A-level/Pure/Coordinate-Geometry-1/Edexcel-Set-C/MA/Circles%20MA.pdf" TargetMode="External" Id="rId342" /><Relationship Type="http://schemas.openxmlformats.org/officeDocument/2006/relationships/hyperlink" Target="https://www.yesterdaysmathsexam.com/_files/ugd/1ba96f_137fddacd6a741eea1c38a996d8b2e17.pdf#page=1" TargetMode="External" Id="rId343" /><Relationship Type="http://schemas.openxmlformats.org/officeDocument/2006/relationships/hyperlink" Target="https://www.yesterdaysmathsexam.com/_files/ugd/1ba96f_28606260e6214f7998dbba87694ffce4.pdf" TargetMode="External" Id="rId344" /><Relationship Type="http://schemas.openxmlformats.org/officeDocument/2006/relationships/hyperlink" Target="https://mathsgenie.co.uk/a-level/maths/edexcel/as-pure-mathematics-6-3-intersections-of-straight-lines-and-circles" TargetMode="External" Id="rId345" /><Relationship Type="http://schemas.openxmlformats.org/officeDocument/2006/relationships/hyperlink" Target="https://assets.mathsgenie.co.uk/content/worksheets/a_level_maths/circles-f6b421fc.pdf#page=5" TargetMode="External" Id="rId346" /><Relationship Type="http://schemas.openxmlformats.org/officeDocument/2006/relationships/hyperlink" Target="https://assets.mathsgenie.co.uk/content/worksheets/a_level_maths/circles-ans-e9cff5dc.pdf" TargetMode="External" Id="rId347" /><Relationship Type="http://schemas.openxmlformats.org/officeDocument/2006/relationships/hyperlink" Target="https://pmt.physicsandmathstutor.com/download/Maths/A-level/Pure/Coordinate-Geometry-1/Edexcel-Set-C/QP/Circles%20QP.pdf#page=3" TargetMode="External" Id="rId348" /><Relationship Type="http://schemas.openxmlformats.org/officeDocument/2006/relationships/hyperlink" Target="https://pmt.physicsandmathstutor.com/download/Maths/A-level/Pure/Coordinate-Geometry-1/Edexcel-Set-C/MS/Circles%20MS.pdf" TargetMode="External" Id="rId349" /><Relationship Type="http://schemas.openxmlformats.org/officeDocument/2006/relationships/hyperlink" Target="https://pmt.physicsandmathstutor.com/download/Maths/A-level/Pure/Coordinate-Geometry-1/Edexcel-Set-C/MA/Circles%20MA.pdf" TargetMode="External" Id="rId350" /><Relationship Type="http://schemas.openxmlformats.org/officeDocument/2006/relationships/hyperlink" Target="https://www.yesterdaysmathsexam.com/_files/ugd/1ba96f_137fddacd6a741eea1c38a996d8b2e17.pdf#page=1" TargetMode="External" Id="rId351" /><Relationship Type="http://schemas.openxmlformats.org/officeDocument/2006/relationships/hyperlink" Target="https://www.yesterdaysmathsexam.com/_files/ugd/1ba96f_28606260e6214f7998dbba87694ffce4.pdf" TargetMode="External" Id="rId352" /><Relationship Type="http://schemas.openxmlformats.org/officeDocument/2006/relationships/hyperlink" Target="https://mathsgenie.co.uk/a-level/maths/edexcel/as-pure-mathematics-6-4-use-tangent-and-chord-properties" TargetMode="External" Id="rId353" /><Relationship Type="http://schemas.openxmlformats.org/officeDocument/2006/relationships/hyperlink" Target="https://assets.mathsgenie.co.uk/content/worksheets/a_level_maths/circles-f6b421fc.pdf#page=3" TargetMode="External" Id="rId354" /><Relationship Type="http://schemas.openxmlformats.org/officeDocument/2006/relationships/hyperlink" Target="https://assets.mathsgenie.co.uk/content/worksheets/a_level_maths/circles-ans-e9cff5dc.pdf" TargetMode="External" Id="rId355" /><Relationship Type="http://schemas.openxmlformats.org/officeDocument/2006/relationships/hyperlink" Target="https://pmt.physicsandmathstutor.com/download/Maths/A-level/Pure/Coordinate-Geometry-1/Edexcel-Set-C/QP/Circles%20QP.pdf#page=3" TargetMode="External" Id="rId356" /><Relationship Type="http://schemas.openxmlformats.org/officeDocument/2006/relationships/hyperlink" Target="https://pmt.physicsandmathstutor.com/download/Maths/A-level/Pure/Coordinate-Geometry-1/Edexcel-Set-C/MS/Circles%20MS.pdf" TargetMode="External" Id="rId357" /><Relationship Type="http://schemas.openxmlformats.org/officeDocument/2006/relationships/hyperlink" Target="https://pmt.physicsandmathstutor.com/download/Maths/A-level/Pure/Coordinate-Geometry-1/Edexcel-Set-C/MA/Circles%20MA.pdf" TargetMode="External" Id="rId358" /><Relationship Type="http://schemas.openxmlformats.org/officeDocument/2006/relationships/hyperlink" Target="https://www.yesterdaysmathsexam.com/_files/ugd/1ba96f_137fddacd6a741eea1c38a996d8b2e17.pdf#page=2" TargetMode="External" Id="rId359" /><Relationship Type="http://schemas.openxmlformats.org/officeDocument/2006/relationships/hyperlink" Target="https://www.yesterdaysmathsexam.com/_files/ugd/1ba96f_28606260e6214f7998dbba87694ffce4.pdf" TargetMode="External" Id="rId360" /><Relationship Type="http://schemas.openxmlformats.org/officeDocument/2006/relationships/hyperlink" Target="https://mathsgenie.co.uk/a-level/maths/edexcel/as-pure-mathematics-6-5-circles-and-triangles" TargetMode="External" Id="rId361" /><Relationship Type="http://schemas.openxmlformats.org/officeDocument/2006/relationships/hyperlink" Target="https://assets.mathsgenie.co.uk/content/worksheets/a_level_maths/circles-f6b421fc.pdf#page=8" TargetMode="External" Id="rId362" /><Relationship Type="http://schemas.openxmlformats.org/officeDocument/2006/relationships/hyperlink" Target="https://assets.mathsgenie.co.uk/content/worksheets/a_level_maths/circles-ans-e9cff5dc.pdf" TargetMode="External" Id="rId363" /><Relationship Type="http://schemas.openxmlformats.org/officeDocument/2006/relationships/hyperlink" Target="https://pmt.physicsandmathstutor.com/download/Maths/A-level/Pure/Coordinate-Geometry-1/Solomon/4a.%20Circles.pdf#page=1" TargetMode="External" Id="rId364" /><Relationship Type="http://schemas.openxmlformats.org/officeDocument/2006/relationships/hyperlink" Target="https://pmt.physicsandmathstutor.com/download/Maths/A-level/Pure/Coordinate-Geometry-1/Solomon/4b.%20Circles%20-%20Answers.pdf" TargetMode="External" Id="rId365" /><Relationship Type="http://schemas.openxmlformats.org/officeDocument/2006/relationships/hyperlink" Target="https://mathsgenie.co.uk/a-level/maths/edexcel/a-level-pure-mathematics-8-1-parametric-equations" TargetMode="External" Id="rId366" /><Relationship Type="http://schemas.openxmlformats.org/officeDocument/2006/relationships/hyperlink" Target="https://assets.mathsgenie.co.uk/content/worksheets/a_level_maths/parametric-equations-37ac7b71.pdf#page=1" TargetMode="External" Id="rId367" /><Relationship Type="http://schemas.openxmlformats.org/officeDocument/2006/relationships/hyperlink" Target="https://assets.mathsgenie.co.uk/content/worksheets/a_level_maths/parametric-equations-ans-f9e3d49c.pdf" TargetMode="External" Id="rId368" /><Relationship Type="http://schemas.openxmlformats.org/officeDocument/2006/relationships/hyperlink" Target="https://pmt.physicsandmathstutor.com/download/Maths/A-level/Pure/Coordinate-Geometry-2/Edexcel-Set-C/QP/Parametric%20Equations%20QP.pdf#page=1" TargetMode="External" Id="rId369" /><Relationship Type="http://schemas.openxmlformats.org/officeDocument/2006/relationships/hyperlink" Target="https://pmt.physicsandmathstutor.com/download/Maths/A-level/Pure/Coordinate-Geometry-2/Edexcel-Set-C/MS/Parametric%20Equations%20MS.pdf" TargetMode="External" Id="rId370" /><Relationship Type="http://schemas.openxmlformats.org/officeDocument/2006/relationships/hyperlink" Target="https://pmt.physicsandmathstutor.com/download/Maths/A-level/Pure/Coordinate-Geometry-2/Edexcel-Set-C/MA/Parametric%20Equations%20MA.pdf" TargetMode="External" Id="rId371" /><Relationship Type="http://schemas.openxmlformats.org/officeDocument/2006/relationships/hyperlink" Target="https://www.yesterdaysmathsexam.com/_files/ugd/1ba96f_73cb3a284cb4426e98f4d6371973d180.pdf#page=7" TargetMode="External" Id="rId372" /><Relationship Type="http://schemas.openxmlformats.org/officeDocument/2006/relationships/hyperlink" Target="https://www.yesterdaysmathsexam.com/_files/ugd/1ba96f_814e620dfe4648c684796a46e5dac697.pdf" TargetMode="External" Id="rId373" /><Relationship Type="http://schemas.openxmlformats.org/officeDocument/2006/relationships/hyperlink" Target="https://mathsgenie.co.uk/a-level/maths/edexcel/a-level-pure-mathematics-8-2-using-trigonometric-identities" TargetMode="External" Id="rId374" /><Relationship Type="http://schemas.openxmlformats.org/officeDocument/2006/relationships/hyperlink" Target="https://assets.mathsgenie.co.uk/content/worksheets/a_level_maths/a-level-pure-mathematics-8-parametric-equations-medium-a78560a5.pdf#page=1" TargetMode="External" Id="rId375" /><Relationship Type="http://schemas.openxmlformats.org/officeDocument/2006/relationships/hyperlink" Target="https://assets.mathsgenie.co.uk/content/worksheets/a_level_maths/a-level-pure-mathematics-8-parametric-equations-medium-ans-f3cbf813.pdf" TargetMode="External" Id="rId376" /><Relationship Type="http://schemas.openxmlformats.org/officeDocument/2006/relationships/hyperlink" Target="https://pmt.physicsandmathstutor.com/download/Maths/A-level/Pure/Differentiation-2/Edexcel-Set-C/QP/Parametric%20Differentiation%20QP.pdf#page=2" TargetMode="External" Id="rId377" /><Relationship Type="http://schemas.openxmlformats.org/officeDocument/2006/relationships/hyperlink" Target="https://pmt.physicsandmathstutor.com/download/Maths/A-level/Pure/Differentiation-2/Edexcel-Set-C/MS/Parametric%20Differentiation%20MS.pdf" TargetMode="External" Id="rId378" /><Relationship Type="http://schemas.openxmlformats.org/officeDocument/2006/relationships/hyperlink" Target="https://pmt.physicsandmathstutor.com/download/Maths/A-level/Pure/Differentiation-2/Edexcel-Set-C/MA/Parametric%20Differentiation%20MA.pdf" TargetMode="External" Id="rId379" /><Relationship Type="http://schemas.openxmlformats.org/officeDocument/2006/relationships/hyperlink" Target="https://www.yesterdaysmathsexam.com/_files/ugd/1ba96f_73cb3a284cb4426e98f4d6371973d180.pdf#page=1" TargetMode="External" Id="rId380" /><Relationship Type="http://schemas.openxmlformats.org/officeDocument/2006/relationships/hyperlink" Target="https://www.yesterdaysmathsexam.com/_files/ugd/1ba96f_814e620dfe4648c684796a46e5dac697.pdf" TargetMode="External" Id="rId381" /><Relationship Type="http://schemas.openxmlformats.org/officeDocument/2006/relationships/hyperlink" Target="https://mathsgenie.co.uk/a-level/maths/edexcel/a-level-pure-mathematics-8-3-curve-sketching" TargetMode="External" Id="rId382" /><Relationship Type="http://schemas.openxmlformats.org/officeDocument/2006/relationships/hyperlink" Target="https://assets.mathsgenie.co.uk/content/worksheets/a_level_maths/parametric-equations-37ac7b71.pdf#page=1" TargetMode="External" Id="rId383" /><Relationship Type="http://schemas.openxmlformats.org/officeDocument/2006/relationships/hyperlink" Target="https://assets.mathsgenie.co.uk/content/worksheets/a_level_maths/parametric-equations-ans-f9e3d49c.pdf" TargetMode="External" Id="rId384" /><Relationship Type="http://schemas.openxmlformats.org/officeDocument/2006/relationships/hyperlink" Target="https://pmt.physicsandmathstutor.com/download/Maths/A-level/Pure/Differentiation-2/Solomon/13a.%20Parametric%20equations.pdf#page=1" TargetMode="External" Id="rId385" /><Relationship Type="http://schemas.openxmlformats.org/officeDocument/2006/relationships/hyperlink" Target="https://pmt.physicsandmathstutor.com/download/Maths/A-level/Pure/Differentiation-2/Solomon/13b.%20Parametric%20equations%20-%20Answers.pdf" TargetMode="External" Id="rId386" /><Relationship Type="http://schemas.openxmlformats.org/officeDocument/2006/relationships/hyperlink" Target="https://www.yesterdaysmathsexam.com/_files/ugd/1ba96f_73cb3a284cb4426e98f4d6371973d180.pdf#page=1" TargetMode="External" Id="rId387" /><Relationship Type="http://schemas.openxmlformats.org/officeDocument/2006/relationships/hyperlink" Target="https://www.yesterdaysmathsexam.com/_files/ugd/1ba96f_814e620dfe4648c684796a46e5dac697.pdf" TargetMode="External" Id="rId388" /><Relationship Type="http://schemas.openxmlformats.org/officeDocument/2006/relationships/hyperlink" Target="https://mathsgenie.co.uk/a-level/maths/edexcel/a-level-pure-mathematics-8-4-points-of-intersection" TargetMode="External" Id="rId389" /><Relationship Type="http://schemas.openxmlformats.org/officeDocument/2006/relationships/hyperlink" Target="https://assets.mathsgenie.co.uk/content/worksheets/a_level_maths/parametric-equations-37ac7b71.pdf#page=2" TargetMode="External" Id="rId390" /><Relationship Type="http://schemas.openxmlformats.org/officeDocument/2006/relationships/hyperlink" Target="https://assets.mathsgenie.co.uk/content/worksheets/a_level_maths/parametric-equations-ans-f9e3d49c.pdf" TargetMode="External" Id="rId391" /><Relationship Type="http://schemas.openxmlformats.org/officeDocument/2006/relationships/hyperlink" Target="https://pmt.physicsandmathstutor.com/download/Maths/A-level/Pure/Differentiation-2/Edexcel-Set-C/QP/Parametric%20Differentiation%20QP.pdf#page=2" TargetMode="External" Id="rId392" /><Relationship Type="http://schemas.openxmlformats.org/officeDocument/2006/relationships/hyperlink" Target="https://pmt.physicsandmathstutor.com/download/Maths/A-level/Pure/Differentiation-2/Edexcel-Set-C/MS/Parametric%20Differentiation%20MS.pdf" TargetMode="External" Id="rId393" /><Relationship Type="http://schemas.openxmlformats.org/officeDocument/2006/relationships/hyperlink" Target="https://pmt.physicsandmathstutor.com/download/Maths/A-level/Pure/Differentiation-2/Edexcel-Set-C/MA/Parametric%20Differentiation%20MA.pdf" TargetMode="External" Id="rId394" /><Relationship Type="http://schemas.openxmlformats.org/officeDocument/2006/relationships/hyperlink" Target="https://www.yesterdaysmathsexam.com/_files/ugd/1ba96f_73cb3a284cb4426e98f4d6371973d180.pdf#page=1" TargetMode="External" Id="rId395" /><Relationship Type="http://schemas.openxmlformats.org/officeDocument/2006/relationships/hyperlink" Target="https://www.yesterdaysmathsexam.com/_files/ugd/1ba96f_814e620dfe4648c684796a46e5dac697.pdf" TargetMode="External" Id="rId396" /><Relationship Type="http://schemas.openxmlformats.org/officeDocument/2006/relationships/hyperlink" Target="https://mathsgenie.co.uk/a-level/maths/edexcel/a-level-pure-mathematics-8-5-modelling-with-parametric-equations" TargetMode="External" Id="rId397" /><Relationship Type="http://schemas.openxmlformats.org/officeDocument/2006/relationships/hyperlink" Target="https://www.yesterdaysmathsexam.com/_files/ugd/1ba96f_6f7f4058adcf4c598f6176505e3ee32a.pdf#page=1" TargetMode="External" Id="rId398" /><Relationship Type="http://schemas.openxmlformats.org/officeDocument/2006/relationships/hyperlink" Target="https://www.yesterdaysmathsexam.com/_files/ugd/1ba96f_f2d17d94e5c64a5991b28cffde4d004e.pdf" TargetMode="External" Id="rId399" /><Relationship Type="http://schemas.openxmlformats.org/officeDocument/2006/relationships/hyperlink" Target="https://mathsgenie.co.uk/a-level/maths/edexcel/as-pure-mathematics-8-2-factorial-notation" TargetMode="External" Id="rId400" /><Relationship Type="http://schemas.openxmlformats.org/officeDocument/2006/relationships/hyperlink" Target="https://assets.mathsgenie.co.uk/content/worksheets/as_level_maths/the-binomial-expansion-5c869b97.pdf#page=12" TargetMode="External" Id="rId401" /><Relationship Type="http://schemas.openxmlformats.org/officeDocument/2006/relationships/hyperlink" Target="https://assets.mathsgenie.co.uk/content/worksheets/as_level_maths/the-binomial-expansion-ans-2a6c8fcf.pdf" TargetMode="External" Id="rId402" /><Relationship Type="http://schemas.openxmlformats.org/officeDocument/2006/relationships/hyperlink" Target="https://mathsgenie.co.uk/a-level/maths/edexcel/as-pure-mathematics-8-3-the-binomial-expansion" TargetMode="External" Id="rId403" /><Relationship Type="http://schemas.openxmlformats.org/officeDocument/2006/relationships/hyperlink" Target="https://assets.mathsgenie.co.uk/content/worksheets/as_level_maths/the-binomial-expansion-5c869b97.pdf#page=1" TargetMode="External" Id="rId404" /><Relationship Type="http://schemas.openxmlformats.org/officeDocument/2006/relationships/hyperlink" Target="https://assets.mathsgenie.co.uk/content/worksheets/as_level_maths/the-binomial-expansion-ans-2a6c8fcf.pdf" TargetMode="External" Id="rId405" /><Relationship Type="http://schemas.openxmlformats.org/officeDocument/2006/relationships/hyperlink" Target="https://pmt.physicsandmathstutor.com/download/Maths/A-level/Pure/Sequences-and-Series-1/Edexcel-Set-C/QP/Binomial%20Expansion%20QP.pdf#page=2" TargetMode="External" Id="rId406" /><Relationship Type="http://schemas.openxmlformats.org/officeDocument/2006/relationships/hyperlink" Target="https://pmt.physicsandmathstutor.com/download/Maths/A-level/Pure/Sequences-and-Series-1/Edexcel-Set-C/MS/Binomial%20Expansion%20MS.pdf" TargetMode="External" Id="rId407" /><Relationship Type="http://schemas.openxmlformats.org/officeDocument/2006/relationships/hyperlink" Target="https://pmt.physicsandmathstutor.com/download/Maths/A-level/Pure/Sequences-and-Series-1/Edexcel-Set-C/MA/Binomial%20Expansion%20MA.pdf" TargetMode="External" Id="rId408" /><Relationship Type="http://schemas.openxmlformats.org/officeDocument/2006/relationships/hyperlink" Target="https://www.yesterdaysmathsexam.com/_files/ugd/1ba96f_c8544a0f89ba4828b541a6ab457e337a.pdf#page=1" TargetMode="External" Id="rId409" /><Relationship Type="http://schemas.openxmlformats.org/officeDocument/2006/relationships/hyperlink" Target="https://www.yesterdaysmathsexam.com/_files/ugd/1ba96f_5b057af81a504c6ab4848b1752a0ebae.pdf" TargetMode="External" Id="rId410" /><Relationship Type="http://schemas.openxmlformats.org/officeDocument/2006/relationships/hyperlink" Target="https://mathsgenie.co.uk/a-level/maths/edexcel/as-pure-mathematics-8-4-solving-binomial-problems" TargetMode="External" Id="rId411" /><Relationship Type="http://schemas.openxmlformats.org/officeDocument/2006/relationships/hyperlink" Target="https://assets.mathsgenie.co.uk/content/worksheets/as_level_maths/the-binomial-expansion-5c869b97.pdf#page=2" TargetMode="External" Id="rId412" /><Relationship Type="http://schemas.openxmlformats.org/officeDocument/2006/relationships/hyperlink" Target="https://assets.mathsgenie.co.uk/content/worksheets/as_level_maths/the-binomial-expansion-ans-2a6c8fcf.pdf" TargetMode="External" Id="rId413" /><Relationship Type="http://schemas.openxmlformats.org/officeDocument/2006/relationships/hyperlink" Target="https://pmt.physicsandmathstutor.com/download/Maths/A-level/Pure/Sequences-and-Series-1/Edexcel-Set-C/QP/Binomial%20Expansion%20QP.pdf#page=1" TargetMode="External" Id="rId414" /><Relationship Type="http://schemas.openxmlformats.org/officeDocument/2006/relationships/hyperlink" Target="https://pmt.physicsandmathstutor.com/download/Maths/A-level/Pure/Sequences-and-Series-1/Edexcel-Set-C/MS/Binomial%20Expansion%20MS.pdf" TargetMode="External" Id="rId415" /><Relationship Type="http://schemas.openxmlformats.org/officeDocument/2006/relationships/hyperlink" Target="https://pmt.physicsandmathstutor.com/download/Maths/A-level/Pure/Sequences-and-Series-1/Edexcel-Set-C/MA/Binomial%20Expansion%20MA.pdf" TargetMode="External" Id="rId416" /><Relationship Type="http://schemas.openxmlformats.org/officeDocument/2006/relationships/hyperlink" Target="https://www.yesterdaysmathsexam.com/_files/ugd/1ba96f_c8544a0f89ba4828b541a6ab457e337a.pdf#page=1" TargetMode="External" Id="rId417" /><Relationship Type="http://schemas.openxmlformats.org/officeDocument/2006/relationships/hyperlink" Target="https://www.yesterdaysmathsexam.com/_files/ugd/1ba96f_5b057af81a504c6ab4848b1752a0ebae.pdf" TargetMode="External" Id="rId418" /><Relationship Type="http://schemas.openxmlformats.org/officeDocument/2006/relationships/hyperlink" Target="https://mathsgenie.co.uk/a-level/maths/edexcel/as-pure-mathematics-8-5-binomial-estimation" TargetMode="External" Id="rId419" /><Relationship Type="http://schemas.openxmlformats.org/officeDocument/2006/relationships/hyperlink" Target="https://assets.mathsgenie.co.uk/content/worksheets/as_level_maths/the-binomial-expansion-5c869b97.pdf#page=1" TargetMode="External" Id="rId420" /><Relationship Type="http://schemas.openxmlformats.org/officeDocument/2006/relationships/hyperlink" Target="https://assets.mathsgenie.co.uk/content/worksheets/as_level_maths/the-binomial-expansion-ans-2a6c8fcf.pdf" TargetMode="External" Id="rId421" /><Relationship Type="http://schemas.openxmlformats.org/officeDocument/2006/relationships/hyperlink" Target="https://pmt.physicsandmathstutor.com/download/Maths/A-level/Pure/Sequences-and-Series-1/Solomon/2a.%20Binomial%20expansions%20%E2%88%92%20further%20questions.pdf#page=1" TargetMode="External" Id="rId422" /><Relationship Type="http://schemas.openxmlformats.org/officeDocument/2006/relationships/hyperlink" Target="https://pmt.physicsandmathstutor.com/download/Maths/A-level/Pure/Sequences-and-Series-1/Solomon/2b.%20Binomial%20expansions%20%E2%88%92%20further%20questions%20-%20Answers.pdf" TargetMode="External" Id="rId423" /><Relationship Type="http://schemas.openxmlformats.org/officeDocument/2006/relationships/hyperlink" Target="https://www.yesterdaysmathsexam.com/_files/ugd/1ba96f_48b8d9b94c8b4430af8cd8dfa59dac51.pdf#page=1" TargetMode="External" Id="rId424" /><Relationship Type="http://schemas.openxmlformats.org/officeDocument/2006/relationships/hyperlink" Target="https://mathsgenie.co.uk/a-level/maths/edexcel/a-level-pure-mathematics-4-1-expanding-1-x-n" TargetMode="External" Id="rId425" /><Relationship Type="http://schemas.openxmlformats.org/officeDocument/2006/relationships/hyperlink" Target="https://assets.mathsgenie.co.uk/content/worksheets/a_level_maths/year-2-binomial-expansion-34e0909e.pdf#page=1" TargetMode="External" Id="rId426" /><Relationship Type="http://schemas.openxmlformats.org/officeDocument/2006/relationships/hyperlink" Target="https://assets.mathsgenie.co.uk/content/worksheets/a_level_maths/year-2-binomial-expansion-ans-28b7e3e0.pdf" TargetMode="External" Id="rId427" /><Relationship Type="http://schemas.openxmlformats.org/officeDocument/2006/relationships/hyperlink" Target="https://pmt.physicsandmathstutor.com/download/Maths/A-level/Pure/Sequences-and-Series-2/Solomon/01a.%20Binomial%20expansions.pdf#page=1" TargetMode="External" Id="rId428" /><Relationship Type="http://schemas.openxmlformats.org/officeDocument/2006/relationships/hyperlink" Target="https://pmt.physicsandmathstutor.com/download/Maths/A-level/Pure/Sequences-and-Series-2/Solomon/01b.%20Binomial%20expansions%20-%20Answers.pdf" TargetMode="External" Id="rId429" /><Relationship Type="http://schemas.openxmlformats.org/officeDocument/2006/relationships/hyperlink" Target="https://www.yesterdaysmathsexam.com/_files/ugd/1ba96f_48b8d9b94c8b4430af8cd8dfa59dac51.pdf#page=1" TargetMode="External" Id="rId430" /><Relationship Type="http://schemas.openxmlformats.org/officeDocument/2006/relationships/hyperlink" Target="https://mathsgenie.co.uk/a-level/maths/edexcel/a-level-pure-mathematics-4-2-expanding-a-bx-n" TargetMode="External" Id="rId431" /><Relationship Type="http://schemas.openxmlformats.org/officeDocument/2006/relationships/hyperlink" Target="https://assets.mathsgenie.co.uk/content/worksheets/a_level_maths/year-2-binomial-expansion-34e0909e.pdf#page=2" TargetMode="External" Id="rId432" /><Relationship Type="http://schemas.openxmlformats.org/officeDocument/2006/relationships/hyperlink" Target="https://assets.mathsgenie.co.uk/content/worksheets/a_level_maths/year-2-binomial-expansion-ans-28b7e3e0.pdf" TargetMode="External" Id="rId433" /><Relationship Type="http://schemas.openxmlformats.org/officeDocument/2006/relationships/hyperlink" Target="https://pmt.physicsandmathstutor.com/download/Maths/A-level/Pure/Sequences-and-Series-2/Edexcel-Set-C/QP/Binomial%20Expansion%20QP.pdf#page=2" TargetMode="External" Id="rId434" /><Relationship Type="http://schemas.openxmlformats.org/officeDocument/2006/relationships/hyperlink" Target="https://pmt.physicsandmathstutor.com/download/Maths/A-level/Pure/Sequences-and-Series-2/Edexcel-Set-C/MS/Binomial%20Expansion%20MS.pdf" TargetMode="External" Id="rId435" /><Relationship Type="http://schemas.openxmlformats.org/officeDocument/2006/relationships/hyperlink" Target="https://pmt.physicsandmathstutor.com/download/Maths/A-level/Pure/Sequences-and-Series-2/Edexcel-Set-C/MA/Binomial%20Expansion%20MA.pdf" TargetMode="External" Id="rId436" /><Relationship Type="http://schemas.openxmlformats.org/officeDocument/2006/relationships/hyperlink" Target="https://www.yesterdaysmathsexam.com/_files/ugd/1ba96f_48b8d9b94c8b4430af8cd8dfa59dac51.pdf#page=2" TargetMode="External" Id="rId437" /><Relationship Type="http://schemas.openxmlformats.org/officeDocument/2006/relationships/hyperlink" Target="https://mathsgenie.co.uk/a-level/maths/edexcel/a-level-pure-mathematics-4-3-using-partial-fractions" TargetMode="External" Id="rId438" /><Relationship Type="http://schemas.openxmlformats.org/officeDocument/2006/relationships/hyperlink" Target="https://pmt.physicsandmathstutor.com/download/Maths/A-level/Pure/Sequences-and-Series-2/Edexcel-Set-C/QP/Binomial%20Expansion%20QP.pdf#page=1" TargetMode="External" Id="rId439" /><Relationship Type="http://schemas.openxmlformats.org/officeDocument/2006/relationships/hyperlink" Target="https://pmt.physicsandmathstutor.com/download/Maths/A-level/Pure/Sequences-and-Series-2/Edexcel-Set-C/MS/Binomial%20Expansion%20MS.pdf" TargetMode="External" Id="rId440" /><Relationship Type="http://schemas.openxmlformats.org/officeDocument/2006/relationships/hyperlink" Target="https://pmt.physicsandmathstutor.com/download/Maths/A-level/Pure/Sequences-and-Series-2/Edexcel-Set-C/MA/Binomial%20Expansion%20MA.pdf" TargetMode="External" Id="rId441" /><Relationship Type="http://schemas.openxmlformats.org/officeDocument/2006/relationships/hyperlink" Target="https://www.yesterdaysmathsexam.com/_files/ugd/1ba96f_48b8d9b94c8b4430af8cd8dfa59dac51.pdf#page=8" TargetMode="External" Id="rId442" /><Relationship Type="http://schemas.openxmlformats.org/officeDocument/2006/relationships/hyperlink" Target="https://mathsgenie.co.uk/a-level/maths/edexcel/a-level-pure-mathematics-3-7-recurrence-relations" TargetMode="External" Id="rId443" /><Relationship Type="http://schemas.openxmlformats.org/officeDocument/2006/relationships/hyperlink" Target="https://assets.mathsgenie.co.uk/content/worksheets/a_level_maths/sequences-and-series-91a49f19.pdf#page=17" TargetMode="External" Id="rId444" /><Relationship Type="http://schemas.openxmlformats.org/officeDocument/2006/relationships/hyperlink" Target="https://assets.mathsgenie.co.uk/content/worksheets/a_level_maths/sequences-and-series-ans-1530136d.pdf" TargetMode="External" Id="rId445" /><Relationship Type="http://schemas.openxmlformats.org/officeDocument/2006/relationships/hyperlink" Target="https://pmt.physicsandmathstutor.com/download/Maths/A-level/Pure/Sequences-and-Series-2/Edexcel-Set-C/QP/Sequences%20and%20Series%20QP.pdf#page=1" TargetMode="External" Id="rId446" /><Relationship Type="http://schemas.openxmlformats.org/officeDocument/2006/relationships/hyperlink" Target="https://pmt.physicsandmathstutor.com/download/Maths/A-level/Pure/Sequences-and-Series-2/Edexcel-Set-C/MS/Sequences%20and%20Series%20MS.pdf" TargetMode="External" Id="rId447" /><Relationship Type="http://schemas.openxmlformats.org/officeDocument/2006/relationships/hyperlink" Target="https://pmt.physicsandmathstutor.com/download/Maths/A-level/Pure/Sequences-and-Series-2/Edexcel-Set-C/MA/Sequences%20and%20Series%20MA.pdf" TargetMode="External" Id="rId448" /><Relationship Type="http://schemas.openxmlformats.org/officeDocument/2006/relationships/hyperlink" Target="https://www.yesterdaysmathsexam.com/_files/ugd/1ba96f_c8483dcf58004b1788d3fc2e0b878c56.pdf#page=5" TargetMode="External" Id="rId449" /><Relationship Type="http://schemas.openxmlformats.org/officeDocument/2006/relationships/hyperlink" Target="https://www.yesterdaysmathsexam.com/_files/ugd/1ba96f_fac388da48db4f569812a159a4adbb82.pdf" TargetMode="External" Id="rId450" /><Relationship Type="http://schemas.openxmlformats.org/officeDocument/2006/relationships/hyperlink" Target="https://mathsgenie.co.uk/a-level/maths/edexcel/a-level-pure-mathematics-3-7-recurrence-relations" TargetMode="External" Id="rId451" /><Relationship Type="http://schemas.openxmlformats.org/officeDocument/2006/relationships/hyperlink" Target="https://assets.mathsgenie.co.uk/content/worksheets/a_level_maths/sequences-and-series-91a49f19.pdf#page=24" TargetMode="External" Id="rId452" /><Relationship Type="http://schemas.openxmlformats.org/officeDocument/2006/relationships/hyperlink" Target="https://assets.mathsgenie.co.uk/content/worksheets/a_level_maths/sequences-and-series-ans-1530136d.pdf" TargetMode="External" Id="rId453" /><Relationship Type="http://schemas.openxmlformats.org/officeDocument/2006/relationships/hyperlink" Target="https://pmt.physicsandmathstutor.com/download/Maths/A-level/Pure/Sequences-and-Series-2/Edexcel-Set-C/QP/Sequences%20and%20Series%20QP.pdf#page=4" TargetMode="External" Id="rId454" /><Relationship Type="http://schemas.openxmlformats.org/officeDocument/2006/relationships/hyperlink" Target="https://pmt.physicsandmathstutor.com/download/Maths/A-level/Pure/Sequences-and-Series-2/Edexcel-Set-C/MS/Sequences%20and%20Series%20MS.pdf" TargetMode="External" Id="rId455" /><Relationship Type="http://schemas.openxmlformats.org/officeDocument/2006/relationships/hyperlink" Target="https://pmt.physicsandmathstutor.com/download/Maths/A-level/Pure/Sequences-and-Series-2/Edexcel-Set-C/MA/Sequences%20and%20Series%20MA.pdf" TargetMode="External" Id="rId456" /><Relationship Type="http://schemas.openxmlformats.org/officeDocument/2006/relationships/hyperlink" Target="https://www.yesterdaysmathsexam.com/_files/ugd/1ba96f_c8483dcf58004b1788d3fc2e0b878c56.pdf#page=1" TargetMode="External" Id="rId457" /><Relationship Type="http://schemas.openxmlformats.org/officeDocument/2006/relationships/hyperlink" Target="https://www.yesterdaysmathsexam.com/_files/ugd/1ba96f_fac388da48db4f569812a159a4adbb82.pdf" TargetMode="External" Id="rId458" /><Relationship Type="http://schemas.openxmlformats.org/officeDocument/2006/relationships/hyperlink" Target="https://mathsgenie.co.uk/a-level/maths/edexcel/a-level-pure-mathematics-3-6-sigma-notation" TargetMode="External" Id="rId459" /><Relationship Type="http://schemas.openxmlformats.org/officeDocument/2006/relationships/hyperlink" Target="https://assets.mathsgenie.co.uk/content/worksheets/a_level_maths/sequences-and-series-91a49f19.pdf#page=18" TargetMode="External" Id="rId460" /><Relationship Type="http://schemas.openxmlformats.org/officeDocument/2006/relationships/hyperlink" Target="https://assets.mathsgenie.co.uk/content/worksheets/a_level_maths/sequences-and-series-ans-1530136d.pdf" TargetMode="External" Id="rId461" /><Relationship Type="http://schemas.openxmlformats.org/officeDocument/2006/relationships/hyperlink" Target="https://pmt.physicsandmathstutor.com/download/Maths/A-level/Pure/Sequences-and-Series-2/Edexcel-Set-C/QP/Sequences%20and%20Series%20QP.pdf#page=2" TargetMode="External" Id="rId462" /><Relationship Type="http://schemas.openxmlformats.org/officeDocument/2006/relationships/hyperlink" Target="https://pmt.physicsandmathstutor.com/download/Maths/A-level/Pure/Sequences-and-Series-2/Edexcel-Set-C/MS/Sequences%20and%20Series%20MS.pdf" TargetMode="External" Id="rId463" /><Relationship Type="http://schemas.openxmlformats.org/officeDocument/2006/relationships/hyperlink" Target="https://pmt.physicsandmathstutor.com/download/Maths/A-level/Pure/Sequences-and-Series-2/Edexcel-Set-C/MA/Sequences%20and%20Series%20MA.pdf" TargetMode="External" Id="rId464" /><Relationship Type="http://schemas.openxmlformats.org/officeDocument/2006/relationships/hyperlink" Target="https://www.yesterdaysmathsexam.com/_files/ugd/1ba96f_c8483dcf58004b1788d3fc2e0b878c56.pdf#page=1" TargetMode="External" Id="rId465" /><Relationship Type="http://schemas.openxmlformats.org/officeDocument/2006/relationships/hyperlink" Target="https://www.yesterdaysmathsexam.com/_files/ugd/1ba96f_fac388da48db4f569812a159a4adbb82.pdf" TargetMode="External" Id="rId466" /><Relationship Type="http://schemas.openxmlformats.org/officeDocument/2006/relationships/hyperlink" Target="https://mathsgenie.co.uk/a-level/maths/edexcel/a-level-pure-mathematics-3-1-arithmetic-sequences" TargetMode="External" Id="rId467" /><Relationship Type="http://schemas.openxmlformats.org/officeDocument/2006/relationships/hyperlink" Target="https://assets.mathsgenie.co.uk/content/worksheets/a_level_maths/sequences-and-series-91a49f19.pdf#page=2" TargetMode="External" Id="rId468" /><Relationship Type="http://schemas.openxmlformats.org/officeDocument/2006/relationships/hyperlink" Target="https://assets.mathsgenie.co.uk/content/worksheets/a_level_maths/sequences-and-series-ans-1530136d.pdf" TargetMode="External" Id="rId469" /><Relationship Type="http://schemas.openxmlformats.org/officeDocument/2006/relationships/hyperlink" Target="https://pmt.physicsandmathstutor.com/download/Maths/A-level/Pure/Sequences-and-Series-2/Edexcel-Set-C/QP/Arithmetic%20Sequences%20QP.pdf#page=1" TargetMode="External" Id="rId470" /><Relationship Type="http://schemas.openxmlformats.org/officeDocument/2006/relationships/hyperlink" Target="https://pmt.physicsandmathstutor.com/download/Maths/A-level/Pure/Sequences-and-Series-2/Edexcel-Set-C/MS/Arithmetic%20Sequences%20MS.pdf" TargetMode="External" Id="rId471" /><Relationship Type="http://schemas.openxmlformats.org/officeDocument/2006/relationships/hyperlink" Target="https://pmt.physicsandmathstutor.com/download/Maths/A-level/Pure/Sequences-and-Series-2/Edexcel-Set-C/MA/Arithmetic%20Sequences%20MA.pdf" TargetMode="External" Id="rId472" /><Relationship Type="http://schemas.openxmlformats.org/officeDocument/2006/relationships/hyperlink" Target="https://www.yesterdaysmathsexam.com/_files/ugd/1ba96f_b281254b2034434f8cca0ded8588ed7f.pdf#page=4" TargetMode="External" Id="rId473" /><Relationship Type="http://schemas.openxmlformats.org/officeDocument/2006/relationships/hyperlink" Target="https://www.yesterdaysmathsexam.com/_files/ugd/1ba96f_6bbd83b88c124be599744fc7f0dd0416.pdf" TargetMode="External" Id="rId474" /><Relationship Type="http://schemas.openxmlformats.org/officeDocument/2006/relationships/hyperlink" Target="https://mathsgenie.co.uk/a-level/maths/edexcel/a-level-pure-mathematics-3-2-arithmetic-series" TargetMode="External" Id="rId475" /><Relationship Type="http://schemas.openxmlformats.org/officeDocument/2006/relationships/hyperlink" Target="https://assets.mathsgenie.co.uk/content/worksheets/a_level_maths/sequences-and-series-91a49f19.pdf#page=1" TargetMode="External" Id="rId476" /><Relationship Type="http://schemas.openxmlformats.org/officeDocument/2006/relationships/hyperlink" Target="https://assets.mathsgenie.co.uk/content/worksheets/a_level_maths/sequences-and-series-ans-1530136d.pdf" TargetMode="External" Id="rId477" /><Relationship Type="http://schemas.openxmlformats.org/officeDocument/2006/relationships/hyperlink" Target="https://pmt.physicsandmathstutor.com/download/Maths/A-level/Pure/Sequences-and-Series-2/Edexcel-Set-C/QP/Arithmetic%20Sequences%20QP.pdf#page=1" TargetMode="External" Id="rId478" /><Relationship Type="http://schemas.openxmlformats.org/officeDocument/2006/relationships/hyperlink" Target="https://pmt.physicsandmathstutor.com/download/Maths/A-level/Pure/Sequences-and-Series-2/Edexcel-Set-C/MS/Arithmetic%20Sequences%20MS.pdf" TargetMode="External" Id="rId479" /><Relationship Type="http://schemas.openxmlformats.org/officeDocument/2006/relationships/hyperlink" Target="https://pmt.physicsandmathstutor.com/download/Maths/A-level/Pure/Sequences-and-Series-2/Edexcel-Set-C/MA/Arithmetic%20Sequences%20MA.pdf" TargetMode="External" Id="rId480" /><Relationship Type="http://schemas.openxmlformats.org/officeDocument/2006/relationships/hyperlink" Target="https://www.yesterdaysmathsexam.com/_files/ugd/1ba96f_c8483dcf58004b1788d3fc2e0b878c56.pdf#page=6" TargetMode="External" Id="rId481" /><Relationship Type="http://schemas.openxmlformats.org/officeDocument/2006/relationships/hyperlink" Target="https://www.yesterdaysmathsexam.com/_files/ugd/1ba96f_fac388da48db4f569812a159a4adbb82.pdf" TargetMode="External" Id="rId482" /><Relationship Type="http://schemas.openxmlformats.org/officeDocument/2006/relationships/hyperlink" Target="https://mathsgenie.co.uk/a-level/maths/edexcel/a-level-pure-mathematics-3-3-geometric-sequences" TargetMode="External" Id="rId483" /><Relationship Type="http://schemas.openxmlformats.org/officeDocument/2006/relationships/hyperlink" Target="https://assets.mathsgenie.co.uk/content/worksheets/a_level_maths/sequences-and-series-91a49f19.pdf#page=10" TargetMode="External" Id="rId484" /><Relationship Type="http://schemas.openxmlformats.org/officeDocument/2006/relationships/hyperlink" Target="https://assets.mathsgenie.co.uk/content/worksheets/a_level_maths/sequences-and-series-ans-1530136d.pdf" TargetMode="External" Id="rId485" /><Relationship Type="http://schemas.openxmlformats.org/officeDocument/2006/relationships/hyperlink" Target="https://pmt.physicsandmathstutor.com/download/Maths/A-level/Pure/Sequences-and-Series-2/Edexcel-Set-C/QP/Geometric%20Series%20QP.pdf#page=1" TargetMode="External" Id="rId486" /><Relationship Type="http://schemas.openxmlformats.org/officeDocument/2006/relationships/hyperlink" Target="https://pmt.physicsandmathstutor.com/download/Maths/A-level/Pure/Sequences-and-Series-2/Edexcel-Set-C/MS/Geometric%20Series%20MS.pdf" TargetMode="External" Id="rId487" /><Relationship Type="http://schemas.openxmlformats.org/officeDocument/2006/relationships/hyperlink" Target="https://pmt.physicsandmathstutor.com/download/Maths/A-level/Pure/Sequences-and-Series-2/Edexcel-Set-C/MA/Geometric%20Series%20MA.pdf" TargetMode="External" Id="rId488" /><Relationship Type="http://schemas.openxmlformats.org/officeDocument/2006/relationships/hyperlink" Target="https://www.yesterdaysmathsexam.com/_files/ugd/1ba96f_c8483dcf58004b1788d3fc2e0b878c56.pdf#page=12" TargetMode="External" Id="rId489" /><Relationship Type="http://schemas.openxmlformats.org/officeDocument/2006/relationships/hyperlink" Target="https://www.yesterdaysmathsexam.com/_files/ugd/1ba96f_fac388da48db4f569812a159a4adbb82.pdf" TargetMode="External" Id="rId490" /><Relationship Type="http://schemas.openxmlformats.org/officeDocument/2006/relationships/hyperlink" Target="https://mathsgenie.co.uk/a-level/maths/edexcel/a-level-pure-mathematics-3-4-geometric-series" TargetMode="External" Id="rId491" /><Relationship Type="http://schemas.openxmlformats.org/officeDocument/2006/relationships/hyperlink" Target="https://assets.mathsgenie.co.uk/content/worksheets/a_level_maths/sequences-and-series-91a49f19.pdf#page=9" TargetMode="External" Id="rId492" /><Relationship Type="http://schemas.openxmlformats.org/officeDocument/2006/relationships/hyperlink" Target="https://assets.mathsgenie.co.uk/content/worksheets/a_level_maths/sequences-and-series-ans-1530136d.pdf" TargetMode="External" Id="rId493" /><Relationship Type="http://schemas.openxmlformats.org/officeDocument/2006/relationships/hyperlink" Target="https://pmt.physicsandmathstutor.com/download/Maths/A-level/Pure/Sequences-and-Series-2/Edexcel-Set-C/QP/Geometric%20Series%20QP.pdf#page=1" TargetMode="External" Id="rId494" /><Relationship Type="http://schemas.openxmlformats.org/officeDocument/2006/relationships/hyperlink" Target="https://pmt.physicsandmathstutor.com/download/Maths/A-level/Pure/Sequences-and-Series-2/Edexcel-Set-C/MS/Geometric%20Series%20MS.pdf" TargetMode="External" Id="rId495" /><Relationship Type="http://schemas.openxmlformats.org/officeDocument/2006/relationships/hyperlink" Target="https://pmt.physicsandmathstutor.com/download/Maths/A-level/Pure/Sequences-and-Series-2/Edexcel-Set-C/MA/Geometric%20Series%20MA.pdf" TargetMode="External" Id="rId496" /><Relationship Type="http://schemas.openxmlformats.org/officeDocument/2006/relationships/hyperlink" Target="https://www.yesterdaysmathsexam.com/_files/ugd/1ba96f_c8483dcf58004b1788d3fc2e0b878c56.pdf#page=4" TargetMode="External" Id="rId497" /><Relationship Type="http://schemas.openxmlformats.org/officeDocument/2006/relationships/hyperlink" Target="https://www.yesterdaysmathsexam.com/_files/ugd/1ba96f_fac388da48db4f569812a159a4adbb82.pdf" TargetMode="External" Id="rId498" /><Relationship Type="http://schemas.openxmlformats.org/officeDocument/2006/relationships/hyperlink" Target="https://mathsgenie.co.uk/a-level/maths/edexcel/a-level-pure-mathematics-3-5-sum-to-infinity" TargetMode="External" Id="rId499" /><Relationship Type="http://schemas.openxmlformats.org/officeDocument/2006/relationships/hyperlink" Target="https://assets.mathsgenie.co.uk/content/worksheets/a_level_maths/sequences-and-series-91a49f19.pdf#page=11" TargetMode="External" Id="rId500" /><Relationship Type="http://schemas.openxmlformats.org/officeDocument/2006/relationships/hyperlink" Target="https://assets.mathsgenie.co.uk/content/worksheets/a_level_maths/sequences-and-series-ans-1530136d.pdf" TargetMode="External" Id="rId501" /><Relationship Type="http://schemas.openxmlformats.org/officeDocument/2006/relationships/hyperlink" Target="https://pmt.physicsandmathstutor.com/download/Maths/A-level/Pure/Sequences-and-Series-2/Edexcel-Set-C/QP/Geometric%20Series%20QP.pdf#page=2" TargetMode="External" Id="rId502" /><Relationship Type="http://schemas.openxmlformats.org/officeDocument/2006/relationships/hyperlink" Target="https://pmt.physicsandmathstutor.com/download/Maths/A-level/Pure/Sequences-and-Series-2/Edexcel-Set-C/MS/Geometric%20Series%20MS.pdf" TargetMode="External" Id="rId503" /><Relationship Type="http://schemas.openxmlformats.org/officeDocument/2006/relationships/hyperlink" Target="https://pmt.physicsandmathstutor.com/download/Maths/A-level/Pure/Sequences-and-Series-2/Edexcel-Set-C/MA/Geometric%20Series%20MA.pdf" TargetMode="External" Id="rId504" /><Relationship Type="http://schemas.openxmlformats.org/officeDocument/2006/relationships/hyperlink" Target="https://www.yesterdaysmathsexam.com/_files/ugd/1ba96f_c8483dcf58004b1788d3fc2e0b878c56.pdf#page=2" TargetMode="External" Id="rId505" /><Relationship Type="http://schemas.openxmlformats.org/officeDocument/2006/relationships/hyperlink" Target="https://www.yesterdaysmathsexam.com/_files/ugd/1ba96f_fac388da48db4f569812a159a4adbb82.pdf" TargetMode="External" Id="rId506" /><Relationship Type="http://schemas.openxmlformats.org/officeDocument/2006/relationships/hyperlink" Target="https://mathsgenie.co.uk/a-level/maths/edexcel/a-level-pure-mathematics-3-8-modelling-with-series" TargetMode="External" Id="rId507" /><Relationship Type="http://schemas.openxmlformats.org/officeDocument/2006/relationships/hyperlink" Target="https://assets.mathsgenie.co.uk/content/worksheets/a_level_maths/sequences-and-series-91a49f19.pdf#page=5" TargetMode="External" Id="rId508" /><Relationship Type="http://schemas.openxmlformats.org/officeDocument/2006/relationships/hyperlink" Target="https://assets.mathsgenie.co.uk/content/worksheets/a_level_maths/sequences-and-series-ans-1530136d.pdf" TargetMode="External" Id="rId509" /><Relationship Type="http://schemas.openxmlformats.org/officeDocument/2006/relationships/hyperlink" Target="https://pmt.physicsandmathstutor.com/download/Maths/A-level/Pure/Sequences-and-Series-2/Edexcel-Set-C/QP/Geometric%20Series%20QP.pdf#page=1" TargetMode="External" Id="rId510" /><Relationship Type="http://schemas.openxmlformats.org/officeDocument/2006/relationships/hyperlink" Target="https://pmt.physicsandmathstutor.com/download/Maths/A-level/Pure/Sequences-and-Series-2/Edexcel-Set-C/MS/Geometric%20Series%20MS.pdf" TargetMode="External" Id="rId511" /><Relationship Type="http://schemas.openxmlformats.org/officeDocument/2006/relationships/hyperlink" Target="https://pmt.physicsandmathstutor.com/download/Maths/A-level/Pure/Sequences-and-Series-2/Edexcel-Set-C/MA/Geometric%20Series%20MA.pdf" TargetMode="External" Id="rId512" /><Relationship Type="http://schemas.openxmlformats.org/officeDocument/2006/relationships/hyperlink" Target="https://www.yesterdaysmathsexam.com/_files/ugd/1ba96f_b281254b2034434f8cca0ded8588ed7f.pdf#page=3" TargetMode="External" Id="rId513" /><Relationship Type="http://schemas.openxmlformats.org/officeDocument/2006/relationships/hyperlink" Target="https://www.yesterdaysmathsexam.com/_files/ugd/1ba96f_6bbd83b88c124be599744fc7f0dd0416.pdf" TargetMode="External" Id="rId514" /><Relationship Type="http://schemas.openxmlformats.org/officeDocument/2006/relationships/hyperlink" Target="https://mathsgenie.co.uk/a-level/maths/edexcel/as-pure-mathematics-9-1-the-cosine-rule" TargetMode="External" Id="rId515" /><Relationship Type="http://schemas.openxmlformats.org/officeDocument/2006/relationships/hyperlink" Target="https://assets.mathsgenie.co.uk/content/worksheets/a_level_maths/trigonometric-ratios-eaa8fc86.pdf#page=1" TargetMode="External" Id="rId516" /><Relationship Type="http://schemas.openxmlformats.org/officeDocument/2006/relationships/hyperlink" Target="https://assets.mathsgenie.co.uk/content/worksheets/a_level_maths/trigonometric-ratios-ans-8276d4dd.pdf" TargetMode="External" Id="rId517" /><Relationship Type="http://schemas.openxmlformats.org/officeDocument/2006/relationships/hyperlink" Target="https://pmt.physicsandmathstutor.com/download/Maths/A-level/Pure/Trigonometry-1/Edexcel-Set-C/QP/Sine%20and%20Cosine%20Rule%20QP.pdf#page=1" TargetMode="External" Id="rId518" /><Relationship Type="http://schemas.openxmlformats.org/officeDocument/2006/relationships/hyperlink" Target="https://pmt.physicsandmathstutor.com/download/Maths/A-level/Pure/Trigonometry-1/Edexcel-Set-C/MS/Sine%20and%20Cosine%20Rule%20MS.pdf" TargetMode="External" Id="rId519" /><Relationship Type="http://schemas.openxmlformats.org/officeDocument/2006/relationships/hyperlink" Target="https://pmt.physicsandmathstutor.com/download/Maths/A-level/Pure/Trigonometry-1/Edexcel-Set-C/MA/Sine%20and%20Cosine%20Rule%20MA.pdf" TargetMode="External" Id="rId520" /><Relationship Type="http://schemas.openxmlformats.org/officeDocument/2006/relationships/hyperlink" Target="https://www.yesterdaysmathsexam.com/_files/ugd/1ba96f_5870fbb9c6ae429abe50bd076b5da130.pdf#page=1" TargetMode="External" Id="rId521" /><Relationship Type="http://schemas.openxmlformats.org/officeDocument/2006/relationships/hyperlink" Target="https://www.yesterdaysmathsexam.com/_files/ugd/1ba96f_c1a210161a45417495e5ca00d2b219ce.pdf" TargetMode="External" Id="rId522" /><Relationship Type="http://schemas.openxmlformats.org/officeDocument/2006/relationships/hyperlink" Target="https://mathsgenie.co.uk/a-level/maths/edexcel/as-pure-mathematics-9-2-the-sine-rule" TargetMode="External" Id="rId523" /><Relationship Type="http://schemas.openxmlformats.org/officeDocument/2006/relationships/hyperlink" Target="https://assets.mathsgenie.co.uk/content/worksheets/a_level_maths/trigonometric-ratios-eaa8fc86.pdf#page=3" TargetMode="External" Id="rId524" /><Relationship Type="http://schemas.openxmlformats.org/officeDocument/2006/relationships/hyperlink" Target="https://assets.mathsgenie.co.uk/content/worksheets/a_level_maths/trigonometric-ratios-ans-8276d4dd.pdf" TargetMode="External" Id="rId525" /><Relationship Type="http://schemas.openxmlformats.org/officeDocument/2006/relationships/hyperlink" Target="https://pmt.physicsandmathstutor.com/download/Maths/A-level/Pure/Trigonometry-1/Edexcel-Set-C/QP/Sine%20and%20Cosine%20Rule%20QP.pdf#page=2" TargetMode="External" Id="rId526" /><Relationship Type="http://schemas.openxmlformats.org/officeDocument/2006/relationships/hyperlink" Target="https://pmt.physicsandmathstutor.com/download/Maths/A-level/Pure/Trigonometry-1/Edexcel-Set-C/MS/Sine%20and%20Cosine%20Rule%20MS.pdf" TargetMode="External" Id="rId527" /><Relationship Type="http://schemas.openxmlformats.org/officeDocument/2006/relationships/hyperlink" Target="https://pmt.physicsandmathstutor.com/download/Maths/A-level/Pure/Trigonometry-1/Edexcel-Set-C/MA/Sine%20and%20Cosine%20Rule%20MA.pdf" TargetMode="External" Id="rId528" /><Relationship Type="http://schemas.openxmlformats.org/officeDocument/2006/relationships/hyperlink" Target="https://www.yesterdaysmathsexam.com/_files/ugd/1ba96f_5870fbb9c6ae429abe50bd076b5da130.pdf#page=3" TargetMode="External" Id="rId529" /><Relationship Type="http://schemas.openxmlformats.org/officeDocument/2006/relationships/hyperlink" Target="https://www.yesterdaysmathsexam.com/_files/ugd/1ba96f_c1a210161a45417495e5ca00d2b219ce.pdf" TargetMode="External" Id="rId530" /><Relationship Type="http://schemas.openxmlformats.org/officeDocument/2006/relationships/hyperlink" Target="https://mathsgenie.co.uk/a-level/maths/edexcel/as-pure-mathematics-9-3-areas-of-triangles" TargetMode="External" Id="rId531" /><Relationship Type="http://schemas.openxmlformats.org/officeDocument/2006/relationships/hyperlink" Target="https://assets.mathsgenie.co.uk/content/worksheets/a_level_maths/trigonometric-ratios-eaa8fc86.pdf#page=1" TargetMode="External" Id="rId532" /><Relationship Type="http://schemas.openxmlformats.org/officeDocument/2006/relationships/hyperlink" Target="https://assets.mathsgenie.co.uk/content/worksheets/a_level_maths/trigonometric-ratios-ans-8276d4dd.pdf" TargetMode="External" Id="rId533" /><Relationship Type="http://schemas.openxmlformats.org/officeDocument/2006/relationships/hyperlink" Target="https://pmt.physicsandmathstutor.com/download/Maths/A-level/Pure/Trigonometry-1/Edexcel-Set-C/QP/Sine%20and%20Cosine%20Rule%20QP.pdf#page=1" TargetMode="External" Id="rId534" /><Relationship Type="http://schemas.openxmlformats.org/officeDocument/2006/relationships/hyperlink" Target="https://pmt.physicsandmathstutor.com/download/Maths/A-level/Pure/Trigonometry-1/Edexcel-Set-C/MS/Sine%20and%20Cosine%20Rule%20MS.pdf" TargetMode="External" Id="rId535" /><Relationship Type="http://schemas.openxmlformats.org/officeDocument/2006/relationships/hyperlink" Target="https://pmt.physicsandmathstutor.com/download/Maths/A-level/Pure/Trigonometry-1/Edexcel-Set-C/MA/Sine%20and%20Cosine%20Rule%20MA.pdf" TargetMode="External" Id="rId536" /><Relationship Type="http://schemas.openxmlformats.org/officeDocument/2006/relationships/hyperlink" Target="https://www.yesterdaysmathsexam.com/_files/ugd/1ba96f_5870fbb9c6ae429abe50bd076b5da130.pdf#page=1" TargetMode="External" Id="rId537" /><Relationship Type="http://schemas.openxmlformats.org/officeDocument/2006/relationships/hyperlink" Target="https://www.yesterdaysmathsexam.com/_files/ugd/1ba96f_c1a210161a45417495e5ca00d2b219ce.pdf" TargetMode="External" Id="rId538" /><Relationship Type="http://schemas.openxmlformats.org/officeDocument/2006/relationships/hyperlink" Target="https://mathsgenie.co.uk/a-level/maths/edexcel/as-pure-mathematics-9-4-solving-triangle-problems" TargetMode="External" Id="rId539" /><Relationship Type="http://schemas.openxmlformats.org/officeDocument/2006/relationships/hyperlink" Target="https://assets.mathsgenie.co.uk/content/worksheets/a_level_maths/trigonometric-ratios-eaa8fc86.pdf#page=3" TargetMode="External" Id="rId540" /><Relationship Type="http://schemas.openxmlformats.org/officeDocument/2006/relationships/hyperlink" Target="https://assets.mathsgenie.co.uk/content/worksheets/a_level_maths/trigonometric-ratios-ans-8276d4dd.pdf" TargetMode="External" Id="rId541" /><Relationship Type="http://schemas.openxmlformats.org/officeDocument/2006/relationships/hyperlink" Target="https://pmt.physicsandmathstutor.com/download/Maths/A-level/Pure/Trigonometry-1/Edexcel-Set-C/QP/Sine%20and%20Cosine%20Rule%20QP.pdf#page=1" TargetMode="External" Id="rId542" /><Relationship Type="http://schemas.openxmlformats.org/officeDocument/2006/relationships/hyperlink" Target="https://pmt.physicsandmathstutor.com/download/Maths/A-level/Pure/Trigonometry-1/Edexcel-Set-C/MS/Sine%20and%20Cosine%20Rule%20MS.pdf" TargetMode="External" Id="rId543" /><Relationship Type="http://schemas.openxmlformats.org/officeDocument/2006/relationships/hyperlink" Target="https://pmt.physicsandmathstutor.com/download/Maths/A-level/Pure/Trigonometry-1/Edexcel-Set-C/MA/Sine%20and%20Cosine%20Rule%20MA.pdf" TargetMode="External" Id="rId544" /><Relationship Type="http://schemas.openxmlformats.org/officeDocument/2006/relationships/hyperlink" Target="https://www.yesterdaysmathsexam.com/_files/ugd/1ba96f_5870fbb9c6ae429abe50bd076b5da130.pdf#page=3" TargetMode="External" Id="rId545" /><Relationship Type="http://schemas.openxmlformats.org/officeDocument/2006/relationships/hyperlink" Target="https://www.yesterdaysmathsexam.com/_files/ugd/1ba96f_c1a210161a45417495e5ca00d2b219ce.pdf" TargetMode="External" Id="rId546" /><Relationship Type="http://schemas.openxmlformats.org/officeDocument/2006/relationships/hyperlink" Target="https://mathsgenie.co.uk/a-level/maths/edexcel/as-pure-mathematics-10-1-angles-in-all-four-quadrants" TargetMode="External" Id="rId547" /><Relationship Type="http://schemas.openxmlformats.org/officeDocument/2006/relationships/hyperlink" Target="https://assets.mathsgenie.co.uk/content/worksheets/as_level_maths/trigonometric-identities-and-equations-ffd64a6d.pdf#page=18" TargetMode="External" Id="rId548" /><Relationship Type="http://schemas.openxmlformats.org/officeDocument/2006/relationships/hyperlink" Target="https://assets.mathsgenie.co.uk/content/worksheets/as_level_maths/trigonometric-identities-and-equations-ans-1ae76cee.pdf" TargetMode="External" Id="rId549" /><Relationship Type="http://schemas.openxmlformats.org/officeDocument/2006/relationships/hyperlink" Target="https://pmt.physicsandmathstutor.com/download/Maths/A-level/Pure/Trigonometry-1/Solomon/2a.%20Trigonometric%20ratios%20and%20graphs.pdf#page=1" TargetMode="External" Id="rId550" /><Relationship Type="http://schemas.openxmlformats.org/officeDocument/2006/relationships/hyperlink" Target="https://pmt.physicsandmathstutor.com/download/Maths/A-level/Pure/Trigonometry-1/Solomon/2b.%20Trigonometric%20ratios%20and%20graphs%20-%20Answers.pdf" TargetMode="External" Id="rId551" /><Relationship Type="http://schemas.openxmlformats.org/officeDocument/2006/relationships/hyperlink" Target="https://mathsgenie.co.uk/a-level/maths/edexcel/a-level-pure-mathematics-5-1-radian-measure" TargetMode="External" Id="rId552" /><Relationship Type="http://schemas.openxmlformats.org/officeDocument/2006/relationships/hyperlink" Target="https://assets.mathsgenie.co.uk/content/worksheets/a_level_maths/radians-2a6e7bab.pdf#page=13" TargetMode="External" Id="rId553" /><Relationship Type="http://schemas.openxmlformats.org/officeDocument/2006/relationships/hyperlink" Target="https://assets.mathsgenie.co.uk/content/worksheets/a_level_maths/radians-ans-c0f95f99.pdf" TargetMode="External" Id="rId554" /><Relationship Type="http://schemas.openxmlformats.org/officeDocument/2006/relationships/hyperlink" Target="https://pmt.physicsandmathstutor.com/download/Maths/A-level/Pure/Trigonometry-2/Solomon/01a.%20Radians%2C%20arcs%20and%20sectors.pdf#page=1" TargetMode="External" Id="rId555" /><Relationship Type="http://schemas.openxmlformats.org/officeDocument/2006/relationships/hyperlink" Target="https://pmt.physicsandmathstutor.com/download/Maths/A-level/Pure/Trigonometry-2/Solomon/01b.%20Radians%2C%20arcs%20and%20sectors%20-%20Answers.pdf" TargetMode="External" Id="rId556" /><Relationship Type="http://schemas.openxmlformats.org/officeDocument/2006/relationships/hyperlink" Target="https://www.yesterdaysmathsexam.com/_files/ugd/1ba96f_9fd76f9ea7cf46eb8074280c46213e06.pdf#page=2" TargetMode="External" Id="rId557" /><Relationship Type="http://schemas.openxmlformats.org/officeDocument/2006/relationships/hyperlink" Target="https://www.yesterdaysmathsexam.com/_files/ugd/1ba96f_80a3205f20de4fe989d20572dfcb6f06.pdf" TargetMode="External" Id="rId558" /><Relationship Type="http://schemas.openxmlformats.org/officeDocument/2006/relationships/hyperlink" Target="https://mathsgenie.co.uk/a-level/maths/edexcel/a-level-pure-mathematics-5-2-arc-length" TargetMode="External" Id="rId559" /><Relationship Type="http://schemas.openxmlformats.org/officeDocument/2006/relationships/hyperlink" Target="https://assets.mathsgenie.co.uk/content/worksheets/a_level_maths/radians-2a6e7bab.pdf#page=5" TargetMode="External" Id="rId560" /><Relationship Type="http://schemas.openxmlformats.org/officeDocument/2006/relationships/hyperlink" Target="https://assets.mathsgenie.co.uk/content/worksheets/a_level_maths/radians-ans-c0f95f99.pdf" TargetMode="External" Id="rId561" /><Relationship Type="http://schemas.openxmlformats.org/officeDocument/2006/relationships/hyperlink" Target="https://pmt.physicsandmathstutor.com/download/Maths/A-level/Pure/Coordinate-Geometry-2/Edexcel-Set-C/QP/Arc%20Length%20and%20Sector%20Area%20QP.pdf#page=1" TargetMode="External" Id="rId562" /><Relationship Type="http://schemas.openxmlformats.org/officeDocument/2006/relationships/hyperlink" Target="https://pmt.physicsandmathstutor.com/download/Maths/A-level/Pure/Coordinate-Geometry-2/Edexcel-Set-C/MS/Arc%20Length%20and%20Sector%20Area%20MS.pdf" TargetMode="External" Id="rId563" /><Relationship Type="http://schemas.openxmlformats.org/officeDocument/2006/relationships/hyperlink" Target="https://pmt.physicsandmathstutor.com/download/Maths/A-level/Pure/Coordinate-Geometry-2/Edexcel-Set-C/MA/Arc%20Length%20and%20Sector%20Area%20MA.pdf" TargetMode="External" Id="rId564" /><Relationship Type="http://schemas.openxmlformats.org/officeDocument/2006/relationships/hyperlink" Target="https://www.yesterdaysmathsexam.com/_files/ugd/1ba96f_9fd76f9ea7cf46eb8074280c46213e06.pdf#page=1" TargetMode="External" Id="rId565" /><Relationship Type="http://schemas.openxmlformats.org/officeDocument/2006/relationships/hyperlink" Target="https://www.yesterdaysmathsexam.com/_files/ugd/1ba96f_80a3205f20de4fe989d20572dfcb6f06.pdf" TargetMode="External" Id="rId566" /><Relationship Type="http://schemas.openxmlformats.org/officeDocument/2006/relationships/hyperlink" Target="https://mathsgenie.co.uk/a-level/maths/edexcel/a-level-pure-mathematics-5-3-areas-of-sectors-and-segments" TargetMode="External" Id="rId567" /><Relationship Type="http://schemas.openxmlformats.org/officeDocument/2006/relationships/hyperlink" Target="https://assets.mathsgenie.co.uk/content/worksheets/a_level_maths/radians-2a6e7bab.pdf#page=6" TargetMode="External" Id="rId568" /><Relationship Type="http://schemas.openxmlformats.org/officeDocument/2006/relationships/hyperlink" Target="https://assets.mathsgenie.co.uk/content/worksheets/a_level_maths/radians-ans-c0f95f99.pdf" TargetMode="External" Id="rId569" /><Relationship Type="http://schemas.openxmlformats.org/officeDocument/2006/relationships/hyperlink" Target="https://pmt.physicsandmathstutor.com/download/Maths/A-level/Pure/Trigonometry-2/Edexcel-Set-A/Arc%20length%20and%20Sector%20area.pdf#page=7" TargetMode="External" Id="rId570" /><Relationship Type="http://schemas.openxmlformats.org/officeDocument/2006/relationships/hyperlink" Target="https://www.yesterdaysmathsexam.com/_files/ugd/1ba96f_9fd76f9ea7cf46eb8074280c46213e06.pdf#page=7" TargetMode="External" Id="rId571" /><Relationship Type="http://schemas.openxmlformats.org/officeDocument/2006/relationships/hyperlink" Target="https://www.yesterdaysmathsexam.com/_files/ugd/1ba96f_80a3205f20de4fe989d20572dfcb6f06.pdf" TargetMode="External" Id="rId572" /><Relationship Type="http://schemas.openxmlformats.org/officeDocument/2006/relationships/hyperlink" Target="https://mathsgenie.co.uk/a-level/maths/edexcel/a-level-pure-mathematics-5-5-small-angle-approximations" TargetMode="External" Id="rId573" /><Relationship Type="http://schemas.openxmlformats.org/officeDocument/2006/relationships/hyperlink" Target="https://assets.mathsgenie.co.uk/content/worksheets/a_level_maths/radians-2a6e7bab.pdf#page=1" TargetMode="External" Id="rId574" /><Relationship Type="http://schemas.openxmlformats.org/officeDocument/2006/relationships/hyperlink" Target="https://assets.mathsgenie.co.uk/content/worksheets/a_level_maths/radians-ans-c0f95f99.pdf" TargetMode="External" Id="rId575" /><Relationship Type="http://schemas.openxmlformats.org/officeDocument/2006/relationships/hyperlink" Target="https://pmt.physicsandmathstutor.com/download/Maths/A-level/Pure/Trigonometry-2/Edexcel-Set-C/QP/Small%20Angle%20Approximation%20QP.pdf#page=1" TargetMode="External" Id="rId576" /><Relationship Type="http://schemas.openxmlformats.org/officeDocument/2006/relationships/hyperlink" Target="https://pmt.physicsandmathstutor.com/download/Maths/A-level/Pure/Trigonometry-2/Edexcel-Set-C/MS/Small%20Angle%20Approximation%20MS.pdf" TargetMode="External" Id="rId577" /><Relationship Type="http://schemas.openxmlformats.org/officeDocument/2006/relationships/hyperlink" Target="https://pmt.physicsandmathstutor.com/download/Maths/A-level/Pure/Trigonometry-2/Edexcel-Set-C/MA/Small%20Angle%20Approximation%20MA.pdf" TargetMode="External" Id="rId578" /><Relationship Type="http://schemas.openxmlformats.org/officeDocument/2006/relationships/hyperlink" Target="https://www.yesterdaysmathsexam.com/_files/ugd/1ba96f_813e46e578db4eb2879882398c80e3c4.pdf#page=20" TargetMode="External" Id="rId579" /><Relationship Type="http://schemas.openxmlformats.org/officeDocument/2006/relationships/hyperlink" Target="https://www.yesterdaysmathsexam.com/_files/ugd/1ba96f_cb4a9bc0fd524170be7067e2770f5a77.pdf" TargetMode="External" Id="rId580" /><Relationship Type="http://schemas.openxmlformats.org/officeDocument/2006/relationships/hyperlink" Target="https://mathsgenie.co.uk/a-level/maths/edexcel/as-pure-mathematics-9-5-graphs-of-sine-cosine-and-tangent" TargetMode="External" Id="rId581" /><Relationship Type="http://schemas.openxmlformats.org/officeDocument/2006/relationships/hyperlink" Target="https://assets.mathsgenie.co.uk/content/worksheets/as_level_maths/trigonometric-identities-and-equations-ffd64a6d.pdf#page=25" TargetMode="External" Id="rId582" /><Relationship Type="http://schemas.openxmlformats.org/officeDocument/2006/relationships/hyperlink" Target="https://assets.mathsgenie.co.uk/content/worksheets/as_level_maths/trigonometric-identities-and-equations-ans-1ae76cee.pdf" TargetMode="External" Id="rId583" /><Relationship Type="http://schemas.openxmlformats.org/officeDocument/2006/relationships/hyperlink" Target="https://pmt.physicsandmathstutor.com/download/Maths/A-level/Pure/Trigonometry-1/Edexcel-Set-C/QP/Trigonometric%20Identities%20QP.pdf#page=2" TargetMode="External" Id="rId584" /><Relationship Type="http://schemas.openxmlformats.org/officeDocument/2006/relationships/hyperlink" Target="https://pmt.physicsandmathstutor.com/download/Maths/A-level/Pure/Trigonometry-1/Edexcel-Set-C/MS/Trigonometric%20Identities%20MS.pdf" TargetMode="External" Id="rId585" /><Relationship Type="http://schemas.openxmlformats.org/officeDocument/2006/relationships/hyperlink" Target="https://pmt.physicsandmathstutor.com/download/Maths/A-level/Pure/Trigonometry-1/Edexcel-Set-C/MA/Trigonometric%20Identities%20MA.pdf" TargetMode="External" Id="rId586" /><Relationship Type="http://schemas.openxmlformats.org/officeDocument/2006/relationships/hyperlink" Target="https://mathsgenie.co.uk/a-level/maths/edexcel/as-pure-mathematics-9-6-transforming-trigonometric-graphs" TargetMode="External" Id="rId587" /><Relationship Type="http://schemas.openxmlformats.org/officeDocument/2006/relationships/hyperlink" Target="https://assets.mathsgenie.co.uk/content/worksheets/a_level_maths/trigonometric-ratios-eaa8fc86.pdf#page=14" TargetMode="External" Id="rId588" /><Relationship Type="http://schemas.openxmlformats.org/officeDocument/2006/relationships/hyperlink" Target="https://assets.mathsgenie.co.uk/content/worksheets/a_level_maths/trigonometric-ratios-ans-8276d4dd.pdf" TargetMode="External" Id="rId589" /><Relationship Type="http://schemas.openxmlformats.org/officeDocument/2006/relationships/hyperlink" Target="https://pmt.physicsandmathstutor.com/download/Maths/A-level/Pure/Trigonometry-1/Solomon/2a.%20Trigonometric%20ratios%20and%20graphs.pdf#page=2" TargetMode="External" Id="rId590" /><Relationship Type="http://schemas.openxmlformats.org/officeDocument/2006/relationships/hyperlink" Target="https://pmt.physicsandmathstutor.com/download/Maths/A-level/Pure/Trigonometry-1/Solomon/2b.%20Trigonometric%20ratios%20and%20graphs%20-%20Answers.pdf" TargetMode="External" Id="rId591" /><Relationship Type="http://schemas.openxmlformats.org/officeDocument/2006/relationships/hyperlink" Target="https://www.yesterdaysmathsexam.com/_files/ugd/1ba96f_2c311df40fa8428eb48c8c67a6585999.pdf#page=3" TargetMode="External" Id="rId592" /><Relationship Type="http://schemas.openxmlformats.org/officeDocument/2006/relationships/hyperlink" Target="https://www.yesterdaysmathsexam.com/_files/ugd/1ba96f_67d05bced5e54e638c5a51e9d32efa6c.pdf" TargetMode="External" Id="rId593" /><Relationship Type="http://schemas.openxmlformats.org/officeDocument/2006/relationships/hyperlink" Target="https://mathsgenie.co.uk/a-level/maths/edexcel/as-pure-mathematics-10-2-exact-values-of-trigonometric-ratios" TargetMode="External" Id="rId594" /><Relationship Type="http://schemas.openxmlformats.org/officeDocument/2006/relationships/hyperlink" Target="https://pmt.physicsandmathstutor.com/download/Maths/A-level/Pure/Trigonometry-1/Solomon/2a.%20Trigonometric%20ratios%20and%20graphs.pdf#page=1" TargetMode="External" Id="rId595" /><Relationship Type="http://schemas.openxmlformats.org/officeDocument/2006/relationships/hyperlink" Target="https://pmt.physicsandmathstutor.com/download/Maths/A-level/Pure/Trigonometry-1/Solomon/2b.%20Trigonometric%20ratios%20and%20graphs%20-%20Answers.pdf" TargetMode="External" Id="rId596" /><Relationship Type="http://schemas.openxmlformats.org/officeDocument/2006/relationships/hyperlink" Target="https://mathsgenie.co.uk/a-level/maths/edexcel/a-level-pure-mathematics-6-1-secant-cosecant-and-cotangent" TargetMode="External" Id="rId597" /><Relationship Type="http://schemas.openxmlformats.org/officeDocument/2006/relationships/hyperlink" Target="https://assets.mathsgenie.co.uk/content/worksheets/a_level_maths/trigonometric-functions-8d9efec9.pdf#page=3" TargetMode="External" Id="rId598" /><Relationship Type="http://schemas.openxmlformats.org/officeDocument/2006/relationships/hyperlink" Target="https://assets.mathsgenie.co.uk/content/worksheets/a_level_maths/trigonometric-functions-ans-36daa596.pdf" TargetMode="External" Id="rId599" /><Relationship Type="http://schemas.openxmlformats.org/officeDocument/2006/relationships/hyperlink" Target="https://pmt.physicsandmathstutor.com/download/Maths/A-level/Pure/Trigonometry-2/Solomon/04a.%20Secant%2C%20cosecant%20and%20cotangent.pdf#page=1" TargetMode="External" Id="rId600" /><Relationship Type="http://schemas.openxmlformats.org/officeDocument/2006/relationships/hyperlink" Target="https://pmt.physicsandmathstutor.com/download/Maths/A-level/Pure/Trigonometry-2/Solomon/04b.%20Secant%2C%20cosecant%20and%20cotangent%20-%20Answers.pdf" TargetMode="External" Id="rId601" /><Relationship Type="http://schemas.openxmlformats.org/officeDocument/2006/relationships/hyperlink" Target="https://www.yesterdaysmathsexam.com/_files/ugd/1ba96f_813e46e578db4eb2879882398c80e3c4.pdf#page=6" TargetMode="External" Id="rId602" /><Relationship Type="http://schemas.openxmlformats.org/officeDocument/2006/relationships/hyperlink" Target="https://www.yesterdaysmathsexam.com/_files/ugd/1ba96f_cb4a9bc0fd524170be7067e2770f5a77.pdf" TargetMode="External" Id="rId603" /><Relationship Type="http://schemas.openxmlformats.org/officeDocument/2006/relationships/hyperlink" Target="https://mathsgenie.co.uk/a-level/maths/edexcel/a-level-pure-mathematics-6-2-graphs-of-sec-x-cosec-x-and-cot-x" TargetMode="External" Id="rId604" /><Relationship Type="http://schemas.openxmlformats.org/officeDocument/2006/relationships/hyperlink" Target="https://assets.mathsgenie.co.uk/content/worksheets/a_level_maths/trigonometric-functions-8d9efec9.pdf#page=2" TargetMode="External" Id="rId605" /><Relationship Type="http://schemas.openxmlformats.org/officeDocument/2006/relationships/hyperlink" Target="https://assets.mathsgenie.co.uk/content/worksheets/a_level_maths/trigonometric-functions-ans-36daa596.pdf" TargetMode="External" Id="rId606" /><Relationship Type="http://schemas.openxmlformats.org/officeDocument/2006/relationships/hyperlink" Target="https://pmt.physicsandmathstutor.com/download/Maths/A-level/Pure/Trigonometry-2/Solomon/04a.%20Secant%2C%20cosecant%20and%20cotangent.pdf#page=1" TargetMode="External" Id="rId607" /><Relationship Type="http://schemas.openxmlformats.org/officeDocument/2006/relationships/hyperlink" Target="https://pmt.physicsandmathstutor.com/download/Maths/A-level/Pure/Trigonometry-2/Solomon/04b.%20Secant%2C%20cosecant%20and%20cotangent%20-%20Answers.pdf" TargetMode="External" Id="rId608" /><Relationship Type="http://schemas.openxmlformats.org/officeDocument/2006/relationships/hyperlink" Target="https://mathsgenie.co.uk/a-level/maths/edexcel/a-level-pure-mathematics-6-5-inverse-trigonometric-functions" TargetMode="External" Id="rId609" /><Relationship Type="http://schemas.openxmlformats.org/officeDocument/2006/relationships/hyperlink" Target="https://assets.mathsgenie.co.uk/content/worksheets/a_level_maths/functions-and-graphs-e0302bb2.pdf#page=27" TargetMode="External" Id="rId610" /><Relationship Type="http://schemas.openxmlformats.org/officeDocument/2006/relationships/hyperlink" Target="https://assets.mathsgenie.co.uk/content/worksheets/a_level_maths/functions-and-graphs-ans-f4112813.pdf" TargetMode="External" Id="rId611" /><Relationship Type="http://schemas.openxmlformats.org/officeDocument/2006/relationships/hyperlink" Target="https://pmt.physicsandmathstutor.com/download/Maths/A-level/Pure/Trigonometry-2/Solomon/03a.%20Inverse%20trigonometric%20functions.pdf#page=1" TargetMode="External" Id="rId612" /><Relationship Type="http://schemas.openxmlformats.org/officeDocument/2006/relationships/hyperlink" Target="https://pmt.physicsandmathstutor.com/download/Maths/A-level/Pure/Trigonometry-2/Solomon/03b.%20Inverse%20trigonometric%20functions%20-%20Answers.pdf" TargetMode="External" Id="rId613" /><Relationship Type="http://schemas.openxmlformats.org/officeDocument/2006/relationships/hyperlink" Target="https://www.yesterdaysmathsexam.com/_files/ugd/1ba96f_813e46e578db4eb2879882398c80e3c4.pdf#page=18" TargetMode="External" Id="rId614" /><Relationship Type="http://schemas.openxmlformats.org/officeDocument/2006/relationships/hyperlink" Target="https://www.yesterdaysmathsexam.com/_files/ugd/1ba96f_cb4a9bc0fd524170be7067e2770f5a77.pdf" TargetMode="External" Id="rId615" /><Relationship Type="http://schemas.openxmlformats.org/officeDocument/2006/relationships/hyperlink" Target="https://mathsgenie.co.uk/a-level/maths/edexcel/as-pure-mathematics-10-3-trigonometric-identities" TargetMode="External" Id="rId616" /><Relationship Type="http://schemas.openxmlformats.org/officeDocument/2006/relationships/hyperlink" Target="https://assets.mathsgenie.co.uk/content/worksheets/as_level_maths/trigonometric-identities-and-equations-ffd64a6d.pdf#page=4" TargetMode="External" Id="rId617" /><Relationship Type="http://schemas.openxmlformats.org/officeDocument/2006/relationships/hyperlink" Target="https://assets.mathsgenie.co.uk/content/worksheets/as_level_maths/trigonometric-identities-and-equations-ans-1ae76cee.pdf" TargetMode="External" Id="rId618" /><Relationship Type="http://schemas.openxmlformats.org/officeDocument/2006/relationships/hyperlink" Target="https://pmt.physicsandmathstutor.com/download/Maths/A-level/Pure/Trigonometry-1/Edexcel-Set-C/QP/Trigonometric%20Identities%20QP.pdf#page=1" TargetMode="External" Id="rId619" /><Relationship Type="http://schemas.openxmlformats.org/officeDocument/2006/relationships/hyperlink" Target="https://pmt.physicsandmathstutor.com/download/Maths/A-level/Pure/Trigonometry-1/Edexcel-Set-C/MS/Trigonometric%20Identities%20MS.pdf" TargetMode="External" Id="rId620" /><Relationship Type="http://schemas.openxmlformats.org/officeDocument/2006/relationships/hyperlink" Target="https://pmt.physicsandmathstutor.com/download/Maths/A-level/Pure/Trigonometry-1/Edexcel-Set-C/MA/Trigonometric%20Identities%20MA.pdf" TargetMode="External" Id="rId621" /><Relationship Type="http://schemas.openxmlformats.org/officeDocument/2006/relationships/hyperlink" Target="https://www.yesterdaysmathsexam.com/_files/ugd/1ba96f_2c311df40fa8428eb48c8c67a6585999.pdf#page=1" TargetMode="External" Id="rId622" /><Relationship Type="http://schemas.openxmlformats.org/officeDocument/2006/relationships/hyperlink" Target="https://www.yesterdaysmathsexam.com/_files/ugd/1ba96f_67d05bced5e54e638c5a51e9d32efa6c.pdf" TargetMode="External" Id="rId623" /><Relationship Type="http://schemas.openxmlformats.org/officeDocument/2006/relationships/hyperlink" Target="https://mathsgenie.co.uk/a-level/maths/edexcel/a-level-pure-mathematics-6-4-trigonometric-identities" TargetMode="External" Id="rId624" /><Relationship Type="http://schemas.openxmlformats.org/officeDocument/2006/relationships/hyperlink" Target="https://assets.mathsgenie.co.uk/content/worksheets/a_level_maths/trigonometric-functions-8d9efec9.pdf#page=8" TargetMode="External" Id="rId625" /><Relationship Type="http://schemas.openxmlformats.org/officeDocument/2006/relationships/hyperlink" Target="https://assets.mathsgenie.co.uk/content/worksheets/a_level_maths/trigonometric-functions-ans-36daa596.pdf" TargetMode="External" Id="rId626" /><Relationship Type="http://schemas.openxmlformats.org/officeDocument/2006/relationships/hyperlink" Target="https://pmt.physicsandmathstutor.com/download/Maths/A-level/Pure/Trigonometry-2/Solomon/05a.%20Pythagorean%20identities.pdf#page=1" TargetMode="External" Id="rId627" /><Relationship Type="http://schemas.openxmlformats.org/officeDocument/2006/relationships/hyperlink" Target="https://pmt.physicsandmathstutor.com/download/Maths/A-level/Pure/Trigonometry-2/Solomon/05b.%20Pythagorean%20identities%20-%20Answers.pdf" TargetMode="External" Id="rId628" /><Relationship Type="http://schemas.openxmlformats.org/officeDocument/2006/relationships/hyperlink" Target="https://www.yesterdaysmathsexam.com/_files/ugd/1ba96f_813e46e578db4eb2879882398c80e3c4.pdf#page=12" TargetMode="External" Id="rId629" /><Relationship Type="http://schemas.openxmlformats.org/officeDocument/2006/relationships/hyperlink" Target="https://www.yesterdaysmathsexam.com/_files/ugd/1ba96f_cb4a9bc0fd524170be7067e2770f5a77.pdf" TargetMode="External" Id="rId630" /><Relationship Type="http://schemas.openxmlformats.org/officeDocument/2006/relationships/hyperlink" Target="https://mathsgenie.co.uk/a-level/maths/edexcel/a-level-pure-mathematics-7-1-addition-formulae" TargetMode="External" Id="rId631" /><Relationship Type="http://schemas.openxmlformats.org/officeDocument/2006/relationships/hyperlink" Target="https://assets.mathsgenie.co.uk/content/worksheets/a_level_maths/trigonometry-and-modelling-b99133d9.pdf#page=2" TargetMode="External" Id="rId632" /><Relationship Type="http://schemas.openxmlformats.org/officeDocument/2006/relationships/hyperlink" Target="https://assets.mathsgenie.co.uk/content/worksheets/a_level_maths/trigonometry-and-modelling-ans-69c51c88.pdf" TargetMode="External" Id="rId633" /><Relationship Type="http://schemas.openxmlformats.org/officeDocument/2006/relationships/hyperlink" Target="https://pmt.physicsandmathstutor.com/download/Maths/A-level/Pure/Trigonometry-2/Edexcel-Set-C/QP/Trigonometric%20Identities%20QP.pdf#page=1" TargetMode="External" Id="rId634" /><Relationship Type="http://schemas.openxmlformats.org/officeDocument/2006/relationships/hyperlink" Target="https://pmt.physicsandmathstutor.com/download/Maths/A-level/Pure/Trigonometry-2/Edexcel-Set-C/MS/Trigonometric%20Identities%20MS.pdf" TargetMode="External" Id="rId635" /><Relationship Type="http://schemas.openxmlformats.org/officeDocument/2006/relationships/hyperlink" Target="https://pmt.physicsandmathstutor.com/download/Maths/A-level/Pure/Trigonometry-2/Edexcel-Set-C/MA/Trigonometric%20Identities%20MA.pdf" TargetMode="External" Id="rId636" /><Relationship Type="http://schemas.openxmlformats.org/officeDocument/2006/relationships/hyperlink" Target="https://www.yesterdaysmathsexam.com/_files/ugd/1ba96f_813e46e578db4eb2879882398c80e3c4.pdf#page=5" TargetMode="External" Id="rId637" /><Relationship Type="http://schemas.openxmlformats.org/officeDocument/2006/relationships/hyperlink" Target="https://www.yesterdaysmathsexam.com/_files/ugd/1ba96f_cb4a9bc0fd524170be7067e2770f5a77.pdf" TargetMode="External" Id="rId638" /><Relationship Type="http://schemas.openxmlformats.org/officeDocument/2006/relationships/hyperlink" Target="https://mathsgenie.co.uk/a-level/maths/edexcel/a-level-pure-mathematics-7-2-double-angle-formulae" TargetMode="External" Id="rId639" /><Relationship Type="http://schemas.openxmlformats.org/officeDocument/2006/relationships/hyperlink" Target="https://assets.mathsgenie.co.uk/content/worksheets/a_level_maths/trigonometry-and-modelling-b99133d9.pdf#page=2" TargetMode="External" Id="rId640" /><Relationship Type="http://schemas.openxmlformats.org/officeDocument/2006/relationships/hyperlink" Target="https://assets.mathsgenie.co.uk/content/worksheets/a_level_maths/trigonometry-and-modelling-ans-69c51c88.pdf" TargetMode="External" Id="rId641" /><Relationship Type="http://schemas.openxmlformats.org/officeDocument/2006/relationships/hyperlink" Target="https://pmt.physicsandmathstutor.com/download/Maths/A-level/Pure/Trigonometry-2/Edexcel-Set-C/QP/Trigonometric%20Equations%20QP.pdf#page=1" TargetMode="External" Id="rId642" /><Relationship Type="http://schemas.openxmlformats.org/officeDocument/2006/relationships/hyperlink" Target="https://pmt.physicsandmathstutor.com/download/Maths/A-level/Pure/Trigonometry-2/Edexcel-Set-C/MS/Trigonometric%20Equations%20MS.pdf" TargetMode="External" Id="rId643" /><Relationship Type="http://schemas.openxmlformats.org/officeDocument/2006/relationships/hyperlink" Target="https://pmt.physicsandmathstutor.com/download/Maths/A-level/Pure/Trigonometry-2/Edexcel-Set-C/MA/Trigonometric%20Equations%20MA.pdf" TargetMode="External" Id="rId644" /><Relationship Type="http://schemas.openxmlformats.org/officeDocument/2006/relationships/hyperlink" Target="https://www.yesterdaysmathsexam.com/_files/ugd/1ba96f_813e46e578db4eb2879882398c80e3c4.pdf#page=2" TargetMode="External" Id="rId645" /><Relationship Type="http://schemas.openxmlformats.org/officeDocument/2006/relationships/hyperlink" Target="https://www.yesterdaysmathsexam.com/_files/ugd/1ba96f_cb4a9bc0fd524170be7067e2770f5a77.pdf" TargetMode="External" Id="rId646" /><Relationship Type="http://schemas.openxmlformats.org/officeDocument/2006/relationships/hyperlink" Target="https://mathsgenie.co.uk/a-level/maths/edexcel/a-level-pure-mathematics-7-4-simplifying-a-cos-x-b-sin-x" TargetMode="External" Id="rId647" /><Relationship Type="http://schemas.openxmlformats.org/officeDocument/2006/relationships/hyperlink" Target="https://assets.mathsgenie.co.uk/content/worksheets/a_level_maths/trigonometry-and-modelling-b99133d9.pdf#page=8" TargetMode="External" Id="rId648" /><Relationship Type="http://schemas.openxmlformats.org/officeDocument/2006/relationships/hyperlink" Target="https://assets.mathsgenie.co.uk/content/worksheets/a_level_maths/trigonometry-and-modelling-ans-69c51c88.pdf" TargetMode="External" Id="rId649" /><Relationship Type="http://schemas.openxmlformats.org/officeDocument/2006/relationships/hyperlink" Target="https://pmt.physicsandmathstutor.com/download/Maths/A-level/Pure/Trigonometry-2/Edexcel-Set-C/QP/Modelling%20with%20Trigonometric%20Functions%20QP.pdf#page=1" TargetMode="External" Id="rId650" /><Relationship Type="http://schemas.openxmlformats.org/officeDocument/2006/relationships/hyperlink" Target="https://pmt.physicsandmathstutor.com/download/Maths/A-level/Pure/Trigonometry-2/Edexcel-Set-C/MS/Modelling%20with%20Trigonometric%20Functions%20MS.pdf" TargetMode="External" Id="rId651" /><Relationship Type="http://schemas.openxmlformats.org/officeDocument/2006/relationships/hyperlink" Target="https://pmt.physicsandmathstutor.com/download/Maths/A-level/Pure/Trigonometry-2/Edexcel-Set-C/MA/Modelling%20with%20Trigonometric%20Functions%20MA.pdf" TargetMode="External" Id="rId652" /><Relationship Type="http://schemas.openxmlformats.org/officeDocument/2006/relationships/hyperlink" Target="https://www.yesterdaysmathsexam.com/_files/ugd/1ba96f_06c6eb8bbc49417cb617ed1a17b0ec31.pdf#page=6" TargetMode="External" Id="rId653" /><Relationship Type="http://schemas.openxmlformats.org/officeDocument/2006/relationships/hyperlink" Target="https://www.yesterdaysmathsexam.com/_files/ugd/1ba96f_4a46a9fa0c07461b97ddf62f897d5464.pdf" TargetMode="External" Id="rId654" /><Relationship Type="http://schemas.openxmlformats.org/officeDocument/2006/relationships/hyperlink" Target="https://mathsgenie.co.uk/a-level/maths/edexcel/as-pure-mathematics-10-4-solving-trigonometric-equations" TargetMode="External" Id="rId655" /><Relationship Type="http://schemas.openxmlformats.org/officeDocument/2006/relationships/hyperlink" Target="https://assets.mathsgenie.co.uk/content/worksheets/as_level_maths/trigonometric-identities-and-equations-ffd64a6d.pdf#page=1" TargetMode="External" Id="rId656" /><Relationship Type="http://schemas.openxmlformats.org/officeDocument/2006/relationships/hyperlink" Target="https://assets.mathsgenie.co.uk/content/worksheets/as_level_maths/trigonometric-identities-and-equations-ans-1ae76cee.pdf" TargetMode="External" Id="rId657" /><Relationship Type="http://schemas.openxmlformats.org/officeDocument/2006/relationships/hyperlink" Target="https://pmt.physicsandmathstutor.com/download/Maths/A-level/Pure/Trigonometry-1/Edexcel-Set-C/QP/Trigonometric%20Equations%20QP.pdf#page=1" TargetMode="External" Id="rId658" /><Relationship Type="http://schemas.openxmlformats.org/officeDocument/2006/relationships/hyperlink" Target="https://pmt.physicsandmathstutor.com/download/Maths/A-level/Pure/Trigonometry-1/Edexcel-Set-C/MS/Trigonometric%20Equations%20MS.pdf" TargetMode="External" Id="rId659" /><Relationship Type="http://schemas.openxmlformats.org/officeDocument/2006/relationships/hyperlink" Target="https://pmt.physicsandmathstutor.com/download/Maths/A-level/Pure/Trigonometry-1/Edexcel-Set-C/MA/Trigonometric%20Equations%20MA.pdf" TargetMode="External" Id="rId660" /><Relationship Type="http://schemas.openxmlformats.org/officeDocument/2006/relationships/hyperlink" Target="https://www.yesterdaysmathsexam.com/_files/ugd/1ba96f_2c311df40fa8428eb48c8c67a6585999.pdf#page=9" TargetMode="External" Id="rId661" /><Relationship Type="http://schemas.openxmlformats.org/officeDocument/2006/relationships/hyperlink" Target="https://www.yesterdaysmathsexam.com/_files/ugd/1ba96f_67d05bced5e54e638c5a51e9d32efa6c.pdf" TargetMode="External" Id="rId662" /><Relationship Type="http://schemas.openxmlformats.org/officeDocument/2006/relationships/hyperlink" Target="https://mathsgenie.co.uk/a-level/maths/edexcel/as-pure-mathematics-10-5-harder-trigonometric-equations" TargetMode="External" Id="rId663" /><Relationship Type="http://schemas.openxmlformats.org/officeDocument/2006/relationships/hyperlink" Target="https://assets.mathsgenie.co.uk/content/worksheets/as_level_maths/trigonometric-identities-and-equations-ffd64a6d.pdf#page=4" TargetMode="External" Id="rId664" /><Relationship Type="http://schemas.openxmlformats.org/officeDocument/2006/relationships/hyperlink" Target="https://assets.mathsgenie.co.uk/content/worksheets/as_level_maths/trigonometric-identities-and-equations-ans-1ae76cee.pdf" TargetMode="External" Id="rId665" /><Relationship Type="http://schemas.openxmlformats.org/officeDocument/2006/relationships/hyperlink" Target="https://pmt.physicsandmathstutor.com/download/Maths/A-level/Pure/Trigonometry-1/Edexcel-Set-C/QP/Trigonometric%20Identities%20QP.pdf#page=1" TargetMode="External" Id="rId666" /><Relationship Type="http://schemas.openxmlformats.org/officeDocument/2006/relationships/hyperlink" Target="https://pmt.physicsandmathstutor.com/download/Maths/A-level/Pure/Trigonometry-1/Edexcel-Set-C/MS/Trigonometric%20Identities%20MS.pdf" TargetMode="External" Id="rId667" /><Relationship Type="http://schemas.openxmlformats.org/officeDocument/2006/relationships/hyperlink" Target="https://pmt.physicsandmathstutor.com/download/Maths/A-level/Pure/Trigonometry-1/Edexcel-Set-C/MA/Trigonometric%20Identities%20MA.pdf" TargetMode="External" Id="rId668" /><Relationship Type="http://schemas.openxmlformats.org/officeDocument/2006/relationships/hyperlink" Target="https://www.yesterdaysmathsexam.com/_files/ugd/1ba96f_2c311df40fa8428eb48c8c67a6585999.pdf#page=1" TargetMode="External" Id="rId669" /><Relationship Type="http://schemas.openxmlformats.org/officeDocument/2006/relationships/hyperlink" Target="https://www.yesterdaysmathsexam.com/_files/ugd/1ba96f_67d05bced5e54e638c5a51e9d32efa6c.pdf" TargetMode="External" Id="rId670" /><Relationship Type="http://schemas.openxmlformats.org/officeDocument/2006/relationships/hyperlink" Target="https://mathsgenie.co.uk/a-level/maths/edexcel/a-level-pure-mathematics-7-3-solving-trigonometric-equations" TargetMode="External" Id="rId671" /><Relationship Type="http://schemas.openxmlformats.org/officeDocument/2006/relationships/hyperlink" Target="https://assets.mathsgenie.co.uk/content/worksheets/a_level_maths/trigonometry-and-modelling-b99133d9.pdf#page=5" TargetMode="External" Id="rId672" /><Relationship Type="http://schemas.openxmlformats.org/officeDocument/2006/relationships/hyperlink" Target="https://assets.mathsgenie.co.uk/content/worksheets/a_level_maths/trigonometry-and-modelling-ans-69c51c88.pdf" TargetMode="External" Id="rId673" /><Relationship Type="http://schemas.openxmlformats.org/officeDocument/2006/relationships/hyperlink" Target="https://pmt.physicsandmathstutor.com/download/Maths/A-level/Pure/Trigonometry-2/Edexcel-Set-C/QP/Trigonometric%20Equations%20QP.pdf#page=2" TargetMode="External" Id="rId674" /><Relationship Type="http://schemas.openxmlformats.org/officeDocument/2006/relationships/hyperlink" Target="https://pmt.physicsandmathstutor.com/download/Maths/A-level/Pure/Trigonometry-2/Edexcel-Set-C/MS/Trigonometric%20Equations%20MS.pdf" TargetMode="External" Id="rId675" /><Relationship Type="http://schemas.openxmlformats.org/officeDocument/2006/relationships/hyperlink" Target="https://pmt.physicsandmathstutor.com/download/Maths/A-level/Pure/Trigonometry-2/Edexcel-Set-C/MA/Trigonometric%20Equations%20MA.pdf" TargetMode="External" Id="rId676" /><Relationship Type="http://schemas.openxmlformats.org/officeDocument/2006/relationships/hyperlink" Target="https://www.yesterdaysmathsexam.com/_files/ugd/1ba96f_813e46e578db4eb2879882398c80e3c4.pdf#page=2" TargetMode="External" Id="rId677" /><Relationship Type="http://schemas.openxmlformats.org/officeDocument/2006/relationships/hyperlink" Target="https://www.yesterdaysmathsexam.com/_files/ugd/1ba96f_cb4a9bc0fd524170be7067e2770f5a77.pdf" TargetMode="External" Id="rId678" /><Relationship Type="http://schemas.openxmlformats.org/officeDocument/2006/relationships/hyperlink" Target="https://mathsgenie.co.uk/a-level/maths/edexcel/a-level-pure-mathematics-7-5-proving-trigonometric-identities" TargetMode="External" Id="rId679" /><Relationship Type="http://schemas.openxmlformats.org/officeDocument/2006/relationships/hyperlink" Target="https://assets.mathsgenie.co.uk/content/worksheets/a_level_maths/trigonometry-and-modelling-b99133d9.pdf#page=4" TargetMode="External" Id="rId680" /><Relationship Type="http://schemas.openxmlformats.org/officeDocument/2006/relationships/hyperlink" Target="https://assets.mathsgenie.co.uk/content/worksheets/a_level_maths/trigonometry-and-modelling-ans-69c51c88.pdf" TargetMode="External" Id="rId681" /><Relationship Type="http://schemas.openxmlformats.org/officeDocument/2006/relationships/hyperlink" Target="https://pmt.physicsandmathstutor.com/download/Maths/A-level/Pure/Trigonometry-2/Edexcel-Set-C/QP/Trigonometric%20Equations%20QP.pdf#page=1" TargetMode="External" Id="rId682" /><Relationship Type="http://schemas.openxmlformats.org/officeDocument/2006/relationships/hyperlink" Target="https://pmt.physicsandmathstutor.com/download/Maths/A-level/Pure/Trigonometry-2/Edexcel-Set-C/MS/Trigonometric%20Equations%20MS.pdf" TargetMode="External" Id="rId683" /><Relationship Type="http://schemas.openxmlformats.org/officeDocument/2006/relationships/hyperlink" Target="https://pmt.physicsandmathstutor.com/download/Maths/A-level/Pure/Trigonometry-2/Edexcel-Set-C/MA/Trigonometric%20Equations%20MA.pdf" TargetMode="External" Id="rId684" /><Relationship Type="http://schemas.openxmlformats.org/officeDocument/2006/relationships/hyperlink" Target="https://www.yesterdaysmathsexam.com/_files/ugd/1ba96f_813e46e578db4eb2879882398c80e3c4.pdf#page=3" TargetMode="External" Id="rId685" /><Relationship Type="http://schemas.openxmlformats.org/officeDocument/2006/relationships/hyperlink" Target="https://www.yesterdaysmathsexam.com/_files/ugd/1ba96f_cb4a9bc0fd524170be7067e2770f5a77.pdf" TargetMode="External" Id="rId686" /><Relationship Type="http://schemas.openxmlformats.org/officeDocument/2006/relationships/hyperlink" Target="https://mathsgenie.co.uk/a-level/maths/edexcel/a-level-pure-mathematics-7-6-modelling-with-trigonometric-functions" TargetMode="External" Id="rId687" /><Relationship Type="http://schemas.openxmlformats.org/officeDocument/2006/relationships/hyperlink" Target="https://assets.mathsgenie.co.uk/content/worksheets/a_level_maths/trigonometry-and-modelling-b99133d9.pdf#page=15" TargetMode="External" Id="rId688" /><Relationship Type="http://schemas.openxmlformats.org/officeDocument/2006/relationships/hyperlink" Target="https://assets.mathsgenie.co.uk/content/worksheets/a_level_maths/trigonometry-and-modelling-ans-69c51c88.pdf" TargetMode="External" Id="rId689" /><Relationship Type="http://schemas.openxmlformats.org/officeDocument/2006/relationships/hyperlink" Target="https://pmt.physicsandmathstutor.com/download/Maths/A-level/Pure/Trigonometry-2/Edexcel-Set-C/QP/Modelling%20with%20Trigonometric%20Functions%20QP.pdf#page=1" TargetMode="External" Id="rId690" /><Relationship Type="http://schemas.openxmlformats.org/officeDocument/2006/relationships/hyperlink" Target="https://pmt.physicsandmathstutor.com/download/Maths/A-level/Pure/Trigonometry-2/Edexcel-Set-C/MS/Modelling%20with%20Trigonometric%20Functions%20MS.pdf" TargetMode="External" Id="rId691" /><Relationship Type="http://schemas.openxmlformats.org/officeDocument/2006/relationships/hyperlink" Target="https://pmt.physicsandmathstutor.com/download/Maths/A-level/Pure/Trigonometry-2/Edexcel-Set-C/MA/Modelling%20with%20Trigonometric%20Functions%20MA.pdf" TargetMode="External" Id="rId692" /><Relationship Type="http://schemas.openxmlformats.org/officeDocument/2006/relationships/hyperlink" Target="https://www.yesterdaysmathsexam.com/_files/ugd/1ba96f_06c6eb8bbc49417cb617ed1a17b0ec31.pdf#page=1" TargetMode="External" Id="rId693" /><Relationship Type="http://schemas.openxmlformats.org/officeDocument/2006/relationships/hyperlink" Target="https://www.yesterdaysmathsexam.com/_files/ugd/1ba96f_4a46a9fa0c07461b97ddf62f897d5464.pdf" TargetMode="External" Id="rId694" /><Relationship Type="http://schemas.openxmlformats.org/officeDocument/2006/relationships/hyperlink" Target="https://mathsgenie.co.uk/a-level/maths/edexcel/as-pure-mathematics-14-1-exponential-functions" TargetMode="External" Id="rId695" /><Relationship Type="http://schemas.openxmlformats.org/officeDocument/2006/relationships/hyperlink" Target="https://pmt.physicsandmathstutor.com/download/Maths/A-level/Pure/Exponentials-and-Logarithms-1/Edexcel-Set-C/QP/Laws%20of%20Logarithms%20QP.pdf#page=7" TargetMode="External" Id="rId696" /><Relationship Type="http://schemas.openxmlformats.org/officeDocument/2006/relationships/hyperlink" Target="https://pmt.physicsandmathstutor.com/download/Maths/A-level/Pure/Exponentials-and-Logarithms-1/Edexcel-Set-C/MS/Laws%20of%20Logarithms%20MS.pdf" TargetMode="External" Id="rId697" /><Relationship Type="http://schemas.openxmlformats.org/officeDocument/2006/relationships/hyperlink" Target="https://pmt.physicsandmathstutor.com/download/Maths/A-level/Pure/Exponentials-and-Logarithms-1/Edexcel-Set-C/MA/Laws%20of%20Logarithms%20MA.pdf" TargetMode="External" Id="rId698" /><Relationship Type="http://schemas.openxmlformats.org/officeDocument/2006/relationships/hyperlink" Target="https://mathsgenie.co.uk/a-level/maths/edexcel/as-pure-mathematics-14-2-y-e-x" TargetMode="External" Id="rId699" /><Relationship Type="http://schemas.openxmlformats.org/officeDocument/2006/relationships/hyperlink" Target="https://assets.mathsgenie.co.uk/content/worksheets/as_level_maths/as-pure-exponentials-and-logs-16179138.pdf#page=8" TargetMode="External" Id="rId700" /><Relationship Type="http://schemas.openxmlformats.org/officeDocument/2006/relationships/hyperlink" Target="https://assets.mathsgenie.co.uk/content/worksheets/as_level_maths/exponentials-and-logs-ans-d72f1b47.pdf" TargetMode="External" Id="rId701" /><Relationship Type="http://schemas.openxmlformats.org/officeDocument/2006/relationships/hyperlink" Target="https://pmt.physicsandmathstutor.com/download/Maths/A-level/Pure/Exponentials-and-Logarithms-1/Edexcel-Set-C/QP/Exponential%20Equations%20QP.pdf#page=3" TargetMode="External" Id="rId702" /><Relationship Type="http://schemas.openxmlformats.org/officeDocument/2006/relationships/hyperlink" Target="https://pmt.physicsandmathstutor.com/download/Maths/A-level/Pure/Exponentials-and-Logarithms-1/Edexcel-Set-C/MS/Exponential%20Equations%20MS.pdf" TargetMode="External" Id="rId703" /><Relationship Type="http://schemas.openxmlformats.org/officeDocument/2006/relationships/hyperlink" Target="https://pmt.physicsandmathstutor.com/download/Maths/A-level/Pure/Exponentials-and-Logarithms-1/Edexcel-Set-C/MA/Exponential%20Equations%20MA.pdf" TargetMode="External" Id="rId704" /><Relationship Type="http://schemas.openxmlformats.org/officeDocument/2006/relationships/hyperlink" Target="https://www.yesterdaysmathsexam.com/_files/ugd/1ba96f_6ff07a7e39ae42b89ec4ef14b04e9423.pdf#page=3" TargetMode="External" Id="rId705" /><Relationship Type="http://schemas.openxmlformats.org/officeDocument/2006/relationships/hyperlink" Target="https://www.yesterdaysmathsexam.com/_files/ugd/1ba96f_c4b9ccdb696e47c7875bb53e0f6ccc1c.pdf" TargetMode="External" Id="rId706" /><Relationship Type="http://schemas.openxmlformats.org/officeDocument/2006/relationships/hyperlink" Target="https://mathsgenie.co.uk/a-level/maths/edexcel/as-pure-mathematics-14-4-logarithms" TargetMode="External" Id="rId707" /><Relationship Type="http://schemas.openxmlformats.org/officeDocument/2006/relationships/hyperlink" Target="https://assets.mathsgenie.co.uk/content/worksheets/a_level_maths/as-pure-mathematics-14-exponentials-and-logarithms-medium-81b51b87.pdf#page=1" TargetMode="External" Id="rId708" /><Relationship Type="http://schemas.openxmlformats.org/officeDocument/2006/relationships/hyperlink" Target="https://assets.mathsgenie.co.uk/content/worksheets/a_level_maths/as-pure-mathematics-14-exponentials-and-logarithms-medium-ans-0498817b.pdf" TargetMode="External" Id="rId709" /><Relationship Type="http://schemas.openxmlformats.org/officeDocument/2006/relationships/hyperlink" Target="https://pmt.physicsandmathstutor.com/download/Maths/A-level/Pure/Exponentials-and-Logarithms-1/Solomon/3a.%20Laws%20of%20logarithms.pdf#page=1" TargetMode="External" Id="rId710" /><Relationship Type="http://schemas.openxmlformats.org/officeDocument/2006/relationships/hyperlink" Target="https://pmt.physicsandmathstutor.com/download/Maths/A-level/Pure/Exponentials-and-Logarithms-1/Solomon/3b.%20Laws%20of%20logarithms%20-%20Answers.pdf" TargetMode="External" Id="rId711" /><Relationship Type="http://schemas.openxmlformats.org/officeDocument/2006/relationships/hyperlink" Target="https://www.yesterdaysmathsexam.com/_files/ugd/1ba96f_6ff07a7e39ae42b89ec4ef14b04e9423.pdf#page=11" TargetMode="External" Id="rId712" /><Relationship Type="http://schemas.openxmlformats.org/officeDocument/2006/relationships/hyperlink" Target="https://www.yesterdaysmathsexam.com/_files/ugd/1ba96f_c4b9ccdb696e47c7875bb53e0f6ccc1c.pdf" TargetMode="External" Id="rId713" /><Relationship Type="http://schemas.openxmlformats.org/officeDocument/2006/relationships/hyperlink" Target="https://mathsgenie.co.uk/a-level/maths/edexcel/as-pure-mathematics-14-5-laws-of-logarithms" TargetMode="External" Id="rId714" /><Relationship Type="http://schemas.openxmlformats.org/officeDocument/2006/relationships/hyperlink" Target="https://assets.mathsgenie.co.uk/content/worksheets/a_level_maths/as-pure-mathematics-14-exponentials-and-logarithms-medium-81b51b87.pdf#page=1" TargetMode="External" Id="rId715" /><Relationship Type="http://schemas.openxmlformats.org/officeDocument/2006/relationships/hyperlink" Target="https://assets.mathsgenie.co.uk/content/worksheets/a_level_maths/as-pure-mathematics-14-exponentials-and-logarithms-medium-ans-0498817b.pdf" TargetMode="External" Id="rId716" /><Relationship Type="http://schemas.openxmlformats.org/officeDocument/2006/relationships/hyperlink" Target="https://pmt.physicsandmathstutor.com/download/Maths/A-level/Pure/Exponentials-and-Logarithms-1/Edexcel-Set-C/QP/Laws%20of%20Logarithms%20QP.pdf#page=3" TargetMode="External" Id="rId717" /><Relationship Type="http://schemas.openxmlformats.org/officeDocument/2006/relationships/hyperlink" Target="https://pmt.physicsandmathstutor.com/download/Maths/A-level/Pure/Exponentials-and-Logarithms-1/Edexcel-Set-C/MS/Laws%20of%20Logarithms%20MS.pdf" TargetMode="External" Id="rId718" /><Relationship Type="http://schemas.openxmlformats.org/officeDocument/2006/relationships/hyperlink" Target="https://pmt.physicsandmathstutor.com/download/Maths/A-level/Pure/Exponentials-and-Logarithms-1/Edexcel-Set-C/MA/Laws%20of%20Logarithms%20MA.pdf" TargetMode="External" Id="rId719" /><Relationship Type="http://schemas.openxmlformats.org/officeDocument/2006/relationships/hyperlink" Target="https://www.yesterdaysmathsexam.com/_files/ugd/1ba96f_6ff07a7e39ae42b89ec4ef14b04e9423.pdf#page=1" TargetMode="External" Id="rId720" /><Relationship Type="http://schemas.openxmlformats.org/officeDocument/2006/relationships/hyperlink" Target="https://www.yesterdaysmathsexam.com/_files/ugd/1ba96f_c4b9ccdb696e47c7875bb53e0f6ccc1c.pdf" TargetMode="External" Id="rId721" /><Relationship Type="http://schemas.openxmlformats.org/officeDocument/2006/relationships/hyperlink" Target="https://mathsgenie.co.uk/a-level/maths/edexcel/as-pure-mathematics-14-6-solving-equations-using-logarithms" TargetMode="External" Id="rId722" /><Relationship Type="http://schemas.openxmlformats.org/officeDocument/2006/relationships/hyperlink" Target="https://assets.mathsgenie.co.uk/content/worksheets/a_level_maths/as-pure-mathematics-14-exponentials-and-logarithms-medium-81b51b87.pdf#page=2" TargetMode="External" Id="rId723" /><Relationship Type="http://schemas.openxmlformats.org/officeDocument/2006/relationships/hyperlink" Target="https://assets.mathsgenie.co.uk/content/worksheets/a_level_maths/as-pure-mathematics-14-exponentials-and-logarithms-medium-ans-0498817b.pdf" TargetMode="External" Id="rId724" /><Relationship Type="http://schemas.openxmlformats.org/officeDocument/2006/relationships/hyperlink" Target="https://pmt.physicsandmathstutor.com/download/Maths/A-level/Pure/Exponentials-and-Logarithms-1/Edexcel-Set-C/QP/Laws%20of%20Logarithms%20QP.pdf#page=7" TargetMode="External" Id="rId725" /><Relationship Type="http://schemas.openxmlformats.org/officeDocument/2006/relationships/hyperlink" Target="https://pmt.physicsandmathstutor.com/download/Maths/A-level/Pure/Exponentials-and-Logarithms-1/Edexcel-Set-C/MS/Laws%20of%20Logarithms%20MS.pdf" TargetMode="External" Id="rId726" /><Relationship Type="http://schemas.openxmlformats.org/officeDocument/2006/relationships/hyperlink" Target="https://pmt.physicsandmathstutor.com/download/Maths/A-level/Pure/Exponentials-and-Logarithms-1/Edexcel-Set-C/MA/Laws%20of%20Logarithms%20MA.pdf" TargetMode="External" Id="rId727" /><Relationship Type="http://schemas.openxmlformats.org/officeDocument/2006/relationships/hyperlink" Target="https://www.yesterdaysmathsexam.com/_files/ugd/1ba96f_88aaa09bb4484011916313ee5242f4a0.pdf#page=4" TargetMode="External" Id="rId728" /><Relationship Type="http://schemas.openxmlformats.org/officeDocument/2006/relationships/hyperlink" Target="https://www.yesterdaysmathsexam.com/_files/ugd/1ba96f_700f3c6395b64fb2afb220b5c2da6267.pdf" TargetMode="External" Id="rId729" /><Relationship Type="http://schemas.openxmlformats.org/officeDocument/2006/relationships/hyperlink" Target="https://mathsgenie.co.uk/a-level/maths/edexcel/as-pure-mathematics-14-7-working-with-natural-logarithms" TargetMode="External" Id="rId730" /><Relationship Type="http://schemas.openxmlformats.org/officeDocument/2006/relationships/hyperlink" Target="https://assets.mathsgenie.co.uk/content/worksheets/as_level_maths/as-pure-exponentials-and-logs-16179138.pdf#page=4" TargetMode="External" Id="rId731" /><Relationship Type="http://schemas.openxmlformats.org/officeDocument/2006/relationships/hyperlink" Target="https://assets.mathsgenie.co.uk/content/worksheets/as_level_maths/exponentials-and-logs-ans-d72f1b47.pdf" TargetMode="External" Id="rId732" /><Relationship Type="http://schemas.openxmlformats.org/officeDocument/2006/relationships/hyperlink" Target="https://pmt.physicsandmathstutor.com/download/Maths/A-level/Pure/Exponentials-and-Logarithms-1/Edexcel-Set-C/QP/Exponential%20Equations%20QP.pdf#page=2" TargetMode="External" Id="rId733" /><Relationship Type="http://schemas.openxmlformats.org/officeDocument/2006/relationships/hyperlink" Target="https://pmt.physicsandmathstutor.com/download/Maths/A-level/Pure/Exponentials-and-Logarithms-1/Edexcel-Set-C/MS/Exponential%20Equations%20MS.pdf" TargetMode="External" Id="rId734" /><Relationship Type="http://schemas.openxmlformats.org/officeDocument/2006/relationships/hyperlink" Target="https://pmt.physicsandmathstutor.com/download/Maths/A-level/Pure/Exponentials-and-Logarithms-1/Edexcel-Set-C/MA/Exponential%20Equations%20MA.pdf" TargetMode="External" Id="rId735" /><Relationship Type="http://schemas.openxmlformats.org/officeDocument/2006/relationships/hyperlink" Target="https://www.yesterdaysmathsexam.com/_files/ugd/1ba96f_88aaa09bb4484011916313ee5242f4a0.pdf#page=13" TargetMode="External" Id="rId736" /><Relationship Type="http://schemas.openxmlformats.org/officeDocument/2006/relationships/hyperlink" Target="https://www.yesterdaysmathsexam.com/_files/ugd/1ba96f_700f3c6395b64fb2afb220b5c2da6267.pdf" TargetMode="External" Id="rId737" /><Relationship Type="http://schemas.openxmlformats.org/officeDocument/2006/relationships/hyperlink" Target="https://mathsgenie.co.uk/a-level/maths/edexcel/as-pure-mathematics-14-8-logarithms-and-non-linear-data" TargetMode="External" Id="rId738" /><Relationship Type="http://schemas.openxmlformats.org/officeDocument/2006/relationships/hyperlink" Target="https://assets.mathsgenie.co.uk/content/worksheets/a_level_maths/regression-correlation-and-hypothesis-testing-955d4f0c.pdf#page=9" TargetMode="External" Id="rId739" /><Relationship Type="http://schemas.openxmlformats.org/officeDocument/2006/relationships/hyperlink" Target="https://assets.mathsgenie.co.uk/content/worksheets/a_level_maths/regression-correlation-and-hypothesis-testing-ans-c55c04e4.pdf" TargetMode="External" Id="rId740" /><Relationship Type="http://schemas.openxmlformats.org/officeDocument/2006/relationships/hyperlink" Target="https://pmt.physicsandmathstutor.com/download/Maths/A-level/Pure/Exponentials-and-Logarithms-1/Edexcel-Set-C/QP/Laws%20of%20Logarithms%20QP.pdf#page=1" TargetMode="External" Id="rId741" /><Relationship Type="http://schemas.openxmlformats.org/officeDocument/2006/relationships/hyperlink" Target="https://pmt.physicsandmathstutor.com/download/Maths/A-level/Pure/Exponentials-and-Logarithms-1/Edexcel-Set-C/MS/Laws%20of%20Logarithms%20MS.pdf" TargetMode="External" Id="rId742" /><Relationship Type="http://schemas.openxmlformats.org/officeDocument/2006/relationships/hyperlink" Target="https://pmt.physicsandmathstutor.com/download/Maths/A-level/Pure/Exponentials-and-Logarithms-1/Edexcel-Set-C/MA/Laws%20of%20Logarithms%20MA.pdf" TargetMode="External" Id="rId743" /><Relationship Type="http://schemas.openxmlformats.org/officeDocument/2006/relationships/hyperlink" Target="https://www.yesterdaysmathsexam.com/_files/ugd/1ba96f_6ff07a7e39ae42b89ec4ef14b04e9423.pdf#page=2" TargetMode="External" Id="rId744" /><Relationship Type="http://schemas.openxmlformats.org/officeDocument/2006/relationships/hyperlink" Target="https://www.yesterdaysmathsexam.com/_files/ugd/1ba96f_c4b9ccdb696e47c7875bb53e0f6ccc1c.pdf" TargetMode="External" Id="rId745" /><Relationship Type="http://schemas.openxmlformats.org/officeDocument/2006/relationships/hyperlink" Target="https://mathsgenie.co.uk/a-level/maths/edexcel/as-pure-mathematics-14-3-exponential-modelling" TargetMode="External" Id="rId746" /><Relationship Type="http://schemas.openxmlformats.org/officeDocument/2006/relationships/hyperlink" Target="https://assets.mathsgenie.co.uk/content/worksheets/as_level_maths/as-pure-exponentials-and-logs-16179138.pdf#page=8" TargetMode="External" Id="rId747" /><Relationship Type="http://schemas.openxmlformats.org/officeDocument/2006/relationships/hyperlink" Target="https://assets.mathsgenie.co.uk/content/worksheets/as_level_maths/exponentials-and-logs-ans-d72f1b47.pdf" TargetMode="External" Id="rId748" /><Relationship Type="http://schemas.openxmlformats.org/officeDocument/2006/relationships/hyperlink" Target="https://pmt.physicsandmathstutor.com/download/Maths/A-level/Pure/Exponentials-and-Logarithms-1/Edexcel-Set-C/QP/Exponential%20Equations%20QP.pdf#page=2" TargetMode="External" Id="rId749" /><Relationship Type="http://schemas.openxmlformats.org/officeDocument/2006/relationships/hyperlink" Target="https://pmt.physicsandmathstutor.com/download/Maths/A-level/Pure/Exponentials-and-Logarithms-1/Edexcel-Set-C/MS/Exponential%20Equations%20MS.pdf" TargetMode="External" Id="rId750" /><Relationship Type="http://schemas.openxmlformats.org/officeDocument/2006/relationships/hyperlink" Target="https://pmt.physicsandmathstutor.com/download/Maths/A-level/Pure/Exponentials-and-Logarithms-1/Edexcel-Set-C/MA/Exponential%20Equations%20MA.pdf" TargetMode="External" Id="rId751" /><Relationship Type="http://schemas.openxmlformats.org/officeDocument/2006/relationships/hyperlink" Target="https://www.yesterdaysmathsexam.com/_files/ugd/1ba96f_6ff07a7e39ae42b89ec4ef14b04e9423.pdf#page=2" TargetMode="External" Id="rId752" /><Relationship Type="http://schemas.openxmlformats.org/officeDocument/2006/relationships/hyperlink" Target="https://www.yesterdaysmathsexam.com/_files/ugd/1ba96f_c4b9ccdb696e47c7875bb53e0f6ccc1c.pdf" TargetMode="External" Id="rId753" /><Relationship Type="http://schemas.openxmlformats.org/officeDocument/2006/relationships/hyperlink" Target="https://mathsgenie.co.uk/a-level/maths/edexcel/as-pure-mathematics-12-1-gradients-of-curves" TargetMode="External" Id="rId754" /><Relationship Type="http://schemas.openxmlformats.org/officeDocument/2006/relationships/hyperlink" Target="https://assets.mathsgenie.co.uk/content/worksheets/as_level_maths/as-pure-differentiation-a2014652.pdf#page=9" TargetMode="External" Id="rId755" /><Relationship Type="http://schemas.openxmlformats.org/officeDocument/2006/relationships/hyperlink" Target="https://assets.mathsgenie.co.uk/content/worksheets/as_level_maths/as-pure-differentiation-ans-ed22b85d.pdf" TargetMode="External" Id="rId756" /><Relationship Type="http://schemas.openxmlformats.org/officeDocument/2006/relationships/hyperlink" Target="https://pmt.physicsandmathstutor.com/download/Maths/A-level/Pure/Differentiation-1/Edexcel-Set-C/QP/Tangents%20and%20Normals%20QP.pdf#page=1" TargetMode="External" Id="rId757" /><Relationship Type="http://schemas.openxmlformats.org/officeDocument/2006/relationships/hyperlink" Target="https://pmt.physicsandmathstutor.com/download/Maths/A-level/Pure/Differentiation-1/Edexcel-Set-C/MS/Tangents%20and%20Normals%20MS.pdf" TargetMode="External" Id="rId758" /><Relationship Type="http://schemas.openxmlformats.org/officeDocument/2006/relationships/hyperlink" Target="https://pmt.physicsandmathstutor.com/download/Maths/A-level/Pure/Differentiation-1/Edexcel-Set-C/MA/Tangents%20and%20Normals%20MA.pdf" TargetMode="External" Id="rId759" /><Relationship Type="http://schemas.openxmlformats.org/officeDocument/2006/relationships/hyperlink" Target="https://www.yesterdaysmathsexam.com/_files/ugd/1ba96f_ffb72e9d0b7845f1a341a2217b83af59.pdf#page=6" TargetMode="External" Id="rId760" /><Relationship Type="http://schemas.openxmlformats.org/officeDocument/2006/relationships/hyperlink" Target="https://www.yesterdaysmathsexam.com/_files/ugd/1ba96f_b935bc166b204d05bb5714796394db5f.pdf" TargetMode="External" Id="rId761" /><Relationship Type="http://schemas.openxmlformats.org/officeDocument/2006/relationships/hyperlink" Target="https://mathsgenie.co.uk/a-level/maths/edexcel/as-pure-mathematics-12-2-differentiation-from-first-principles" TargetMode="External" Id="rId762" /><Relationship Type="http://schemas.openxmlformats.org/officeDocument/2006/relationships/hyperlink" Target="https://assets.mathsgenie.co.uk/content/worksheets/a_level_maths/as-pure-differentiation-first-principles-1d905079.pdf#page=1" TargetMode="External" Id="rId763" /><Relationship Type="http://schemas.openxmlformats.org/officeDocument/2006/relationships/hyperlink" Target="https://assets.mathsgenie.co.uk/content/worksheets/a_level_maths/as-pure-differentiation-first-principles-ans-4c10f9b7.pdf" TargetMode="External" Id="rId764" /><Relationship Type="http://schemas.openxmlformats.org/officeDocument/2006/relationships/hyperlink" Target="https://pmt.physicsandmathstutor.com/download/Maths/A-level/Pure/Differentiation-1/Edexcel-Set-C/QP/Differentiation%20from%20First%20Principles%20QP.pdf#page=3" TargetMode="External" Id="rId765" /><Relationship Type="http://schemas.openxmlformats.org/officeDocument/2006/relationships/hyperlink" Target="https://pmt.physicsandmathstutor.com/download/Maths/A-level/Pure/Differentiation-1/Edexcel-Set-C/MS/Differentiation%20from%20First%20Principles%20MS.pdf" TargetMode="External" Id="rId766" /><Relationship Type="http://schemas.openxmlformats.org/officeDocument/2006/relationships/hyperlink" Target="https://pmt.physicsandmathstutor.com/download/Maths/A-level/Pure/Differentiation-1/Edexcel-Set-C/MA/Differentiation%20from%20First%20Principles%20MA.pdf" TargetMode="External" Id="rId767" /><Relationship Type="http://schemas.openxmlformats.org/officeDocument/2006/relationships/hyperlink" Target="https://www.yesterdaysmathsexam.com/_files/ugd/1ba96f_ffb72e9d0b7845f1a341a2217b83af59.pdf#page=2" TargetMode="External" Id="rId768" /><Relationship Type="http://schemas.openxmlformats.org/officeDocument/2006/relationships/hyperlink" Target="https://www.yesterdaysmathsexam.com/_files/ugd/1ba96f_b935bc166b204d05bb5714796394db5f.pdf" TargetMode="External" Id="rId769" /><Relationship Type="http://schemas.openxmlformats.org/officeDocument/2006/relationships/hyperlink" Target="https://mathsgenie.co.uk/a-level/maths/edexcel/a-level-pure-mathematics-9-1-differentiating-sin-x-and-cos-x" TargetMode="External" Id="rId770" /><Relationship Type="http://schemas.openxmlformats.org/officeDocument/2006/relationships/hyperlink" Target="https://assets.mathsgenie.co.uk/content/worksheets/a_level_maths/year-2-differentiation-5cb3a7d8.pdf#page=31" TargetMode="External" Id="rId771" /><Relationship Type="http://schemas.openxmlformats.org/officeDocument/2006/relationships/hyperlink" Target="https://assets.mathsgenie.co.uk/content/worksheets/a_level_maths/year-2-differentiation-ans-fe9163b5.pdf" TargetMode="External" Id="rId772" /><Relationship Type="http://schemas.openxmlformats.org/officeDocument/2006/relationships/hyperlink" Target="https://pmt.physicsandmathstutor.com/download/Maths/A-level/Pure/Differentiation-1/Edexcel-Set-C/QP/Differentiation%20from%20First%20Principles%20QP.pdf#page=4" TargetMode="External" Id="rId773" /><Relationship Type="http://schemas.openxmlformats.org/officeDocument/2006/relationships/hyperlink" Target="https://pmt.physicsandmathstutor.com/download/Maths/A-level/Pure/Differentiation-1/Edexcel-Set-C/MS/Differentiation%20from%20First%20Principles%20MS.pdf" TargetMode="External" Id="rId774" /><Relationship Type="http://schemas.openxmlformats.org/officeDocument/2006/relationships/hyperlink" Target="https://pmt.physicsandmathstutor.com/download/Maths/A-level/Pure/Differentiation-1/Edexcel-Set-C/MA/Differentiation%20from%20First%20Principles%20MA.pdf" TargetMode="External" Id="rId775" /><Relationship Type="http://schemas.openxmlformats.org/officeDocument/2006/relationships/hyperlink" Target="https://www.yesterdaysmathsexam.com/_files/ugd/1ba96f_202f299f34b448afb234a795116475aa.pdf#page=2" TargetMode="External" Id="rId776" /><Relationship Type="http://schemas.openxmlformats.org/officeDocument/2006/relationships/hyperlink" Target="https://www.yesterdaysmathsexam.com/_files/ugd/1ba96f_34dfb5236a424b94be30b9f91a3a8571.pdf" TargetMode="External" Id="rId777" /><Relationship Type="http://schemas.openxmlformats.org/officeDocument/2006/relationships/hyperlink" Target="https://mathsgenie.co.uk/a-level/maths/edexcel/as-pure-mathematics-12-10-sketching-gradient-functions" TargetMode="External" Id="rId778" /><Relationship Type="http://schemas.openxmlformats.org/officeDocument/2006/relationships/hyperlink" Target="https://mathsgenie.co.uk/a-level/maths/edexcel/as-pure-mathematics-12-8-second-order-derivatives" TargetMode="External" Id="rId779" /><Relationship Type="http://schemas.openxmlformats.org/officeDocument/2006/relationships/hyperlink" Target="https://assets.mathsgenie.co.uk/content/worksheets/as_level_maths/as-pure-differentiation-a2014652.pdf#page=4" TargetMode="External" Id="rId780" /><Relationship Type="http://schemas.openxmlformats.org/officeDocument/2006/relationships/hyperlink" Target="https://assets.mathsgenie.co.uk/content/worksheets/as_level_maths/as-pure-differentiation-ans-ed22b85d.pdf" TargetMode="External" Id="rId781" /><Relationship Type="http://schemas.openxmlformats.org/officeDocument/2006/relationships/hyperlink" Target="https://pmt.physicsandmathstutor.com/download/Maths/A-level/Pure/Differentiation-1/Edexcel-Set-C/QP/Basic%20Differentiation%20QP.pdf#page=1" TargetMode="External" Id="rId782" /><Relationship Type="http://schemas.openxmlformats.org/officeDocument/2006/relationships/hyperlink" Target="https://pmt.physicsandmathstutor.com/download/Maths/A-level/Pure/Differentiation-1/Edexcel-Set-C/MS/Basic%20Differentiation%20MS.pdf" TargetMode="External" Id="rId783" /><Relationship Type="http://schemas.openxmlformats.org/officeDocument/2006/relationships/hyperlink" Target="https://pmt.physicsandmathstutor.com/download/Maths/A-level/Pure/Differentiation-1/Edexcel-Set-C/MA/Basic%20Differentiation%20MA.pdf" TargetMode="External" Id="rId784" /><Relationship Type="http://schemas.openxmlformats.org/officeDocument/2006/relationships/hyperlink" Target="https://www.yesterdaysmathsexam.com/_files/ugd/1ba96f_ffb72e9d0b7845f1a341a2217b83af59.pdf#page=1" TargetMode="External" Id="rId785" /><Relationship Type="http://schemas.openxmlformats.org/officeDocument/2006/relationships/hyperlink" Target="https://www.yesterdaysmathsexam.com/_files/ugd/1ba96f_b935bc166b204d05bb5714796394db5f.pdf" TargetMode="External" Id="rId786" /><Relationship Type="http://schemas.openxmlformats.org/officeDocument/2006/relationships/hyperlink" Target="https://mathsgenie.co.uk/a-level/maths/edexcel/a-level-pure-mathematics-9-9-using-second-derivatives" TargetMode="External" Id="rId787" /><Relationship Type="http://schemas.openxmlformats.org/officeDocument/2006/relationships/hyperlink" Target="https://assets.mathsgenie.co.uk/content/worksheets/a_level_maths/year-2-differentiation-5cb3a7d8.pdf#page=50" TargetMode="External" Id="rId788" /><Relationship Type="http://schemas.openxmlformats.org/officeDocument/2006/relationships/hyperlink" Target="https://assets.mathsgenie.co.uk/content/worksheets/a_level_maths/year-2-differentiation-ans-fe9163b5.pdf" TargetMode="External" Id="rId789" /><Relationship Type="http://schemas.openxmlformats.org/officeDocument/2006/relationships/hyperlink" Target="https://pmt.physicsandmathstutor.com/download/Maths/A-level/Pure/Differentiation-1/Edexcel-Set-C/QP/Basic%20Differentiation%20QP.pdf#page=4" TargetMode="External" Id="rId790" /><Relationship Type="http://schemas.openxmlformats.org/officeDocument/2006/relationships/hyperlink" Target="https://pmt.physicsandmathstutor.com/download/Maths/A-level/Pure/Differentiation-1/Edexcel-Set-C/MS/Basic%20Differentiation%20MS.pdf" TargetMode="External" Id="rId791" /><Relationship Type="http://schemas.openxmlformats.org/officeDocument/2006/relationships/hyperlink" Target="https://pmt.physicsandmathstutor.com/download/Maths/A-level/Pure/Differentiation-1/Edexcel-Set-C/MA/Basic%20Differentiation%20MA.pdf" TargetMode="External" Id="rId792" /><Relationship Type="http://schemas.openxmlformats.org/officeDocument/2006/relationships/hyperlink" Target="https://www.yesterdaysmathsexam.com/_files/ugd/1ba96f_52583e3d2e264e018ee395d9ae3f992e.pdf#page=3" TargetMode="External" Id="rId793" /><Relationship Type="http://schemas.openxmlformats.org/officeDocument/2006/relationships/hyperlink" Target="https://www.yesterdaysmathsexam.com/_files/ugd/1ba96f_7c748a76bde946f58a74d25ddf9a185a.pdf" TargetMode="External" Id="rId794" /><Relationship Type="http://schemas.openxmlformats.org/officeDocument/2006/relationships/hyperlink" Target="https://mathsgenie.co.uk/a-level/maths/edexcel/as-pure-mathematics-12-5-differentiating-functions-with-two-or-more-terms" TargetMode="External" Id="rId795" /><Relationship Type="http://schemas.openxmlformats.org/officeDocument/2006/relationships/hyperlink" Target="https://assets.mathsgenie.co.uk/content/worksheets/as_level_maths/as-pure-differentiation-a2014652.pdf#page=1" TargetMode="External" Id="rId796" /><Relationship Type="http://schemas.openxmlformats.org/officeDocument/2006/relationships/hyperlink" Target="https://assets.mathsgenie.co.uk/content/worksheets/as_level_maths/as-pure-differentiation-ans-ed22b85d.pdf" TargetMode="External" Id="rId797" /><Relationship Type="http://schemas.openxmlformats.org/officeDocument/2006/relationships/hyperlink" Target="https://pmt.physicsandmathstutor.com/download/Maths/A-level/Pure/Differentiation-1/Edexcel-Set-C/QP/Basic%20Differentiation%20QP.pdf#page=2" TargetMode="External" Id="rId798" /><Relationship Type="http://schemas.openxmlformats.org/officeDocument/2006/relationships/hyperlink" Target="https://pmt.physicsandmathstutor.com/download/Maths/A-level/Pure/Differentiation-1/Edexcel-Set-C/MS/Basic%20Differentiation%20MS.pdf" TargetMode="External" Id="rId799" /><Relationship Type="http://schemas.openxmlformats.org/officeDocument/2006/relationships/hyperlink" Target="https://pmt.physicsandmathstutor.com/download/Maths/A-level/Pure/Differentiation-1/Edexcel-Set-C/MA/Basic%20Differentiation%20MA.pdf" TargetMode="External" Id="rId800" /><Relationship Type="http://schemas.openxmlformats.org/officeDocument/2006/relationships/hyperlink" Target="https://www.yesterdaysmathsexam.com/_files/ugd/1ba96f_ffb72e9d0b7845f1a341a2217b83af59.pdf#page=3" TargetMode="External" Id="rId801" /><Relationship Type="http://schemas.openxmlformats.org/officeDocument/2006/relationships/hyperlink" Target="https://www.yesterdaysmathsexam.com/_files/ugd/1ba96f_b935bc166b204d05bb5714796394db5f.pdf" TargetMode="External" Id="rId802" /><Relationship Type="http://schemas.openxmlformats.org/officeDocument/2006/relationships/hyperlink" Target="https://mathsgenie.co.uk/a-level/maths/edexcel/a-level-pure-mathematics-9-6-differentiating-trigonometric-functions" TargetMode="External" Id="rId803" /><Relationship Type="http://schemas.openxmlformats.org/officeDocument/2006/relationships/hyperlink" Target="https://assets.mathsgenie.co.uk/content/worksheets/a_level_maths/year-2-differentiation-5cb3a7d8.pdf#page=26" TargetMode="External" Id="rId804" /><Relationship Type="http://schemas.openxmlformats.org/officeDocument/2006/relationships/hyperlink" Target="https://assets.mathsgenie.co.uk/content/worksheets/a_level_maths/year-2-differentiation-ans-fe9163b5.pdf" TargetMode="External" Id="rId805" /><Relationship Type="http://schemas.openxmlformats.org/officeDocument/2006/relationships/hyperlink" Target="https://pmt.physicsandmathstutor.com/download/Maths/A-level/Pure/Numerical-Methods-2/Edexcel-Set-C/QP/Newton%20Raphson%20QP.pdf#page=1" TargetMode="External" Id="rId806" /><Relationship Type="http://schemas.openxmlformats.org/officeDocument/2006/relationships/hyperlink" Target="https://pmt.physicsandmathstutor.com/download/Maths/A-level/Pure/Numerical-Methods-2/Edexcel-Set-C/MS/Newton%20Raphson%20MS.pdf" TargetMode="External" Id="rId807" /><Relationship Type="http://schemas.openxmlformats.org/officeDocument/2006/relationships/hyperlink" Target="https://pmt.physicsandmathstutor.com/download/Maths/A-level/Pure/Numerical-Methods-2/Edexcel-Set-C/MA/Newton%20Raphson%20MA.pdf" TargetMode="External" Id="rId808" /><Relationship Type="http://schemas.openxmlformats.org/officeDocument/2006/relationships/hyperlink" Target="https://www.yesterdaysmathsexam.com/_files/ugd/1ba96f_4204150e65994886a18f7897dc4e8975.pdf#page=2" TargetMode="External" Id="rId809" /><Relationship Type="http://schemas.openxmlformats.org/officeDocument/2006/relationships/hyperlink" Target="https://www.yesterdaysmathsexam.com/_files/ugd/1ba96f_15aac9787f364dd2bcb8272f1faaf96c.pdf" TargetMode="External" Id="rId810" /><Relationship Type="http://schemas.openxmlformats.org/officeDocument/2006/relationships/hyperlink" Target="https://mathsgenie.co.uk/a-level/maths/edexcel/a-level-pure-mathematics-9-2-differentiating-exponentials-and-logarithms" TargetMode="External" Id="rId811" /><Relationship Type="http://schemas.openxmlformats.org/officeDocument/2006/relationships/hyperlink" Target="https://assets.mathsgenie.co.uk/content/worksheets/a_level_maths/year-2-differentiation-5cb3a7d8.pdf#page=1" TargetMode="External" Id="rId812" /><Relationship Type="http://schemas.openxmlformats.org/officeDocument/2006/relationships/hyperlink" Target="https://assets.mathsgenie.co.uk/content/worksheets/a_level_maths/year-2-differentiation-ans-fe9163b5.pdf" TargetMode="External" Id="rId813" /><Relationship Type="http://schemas.openxmlformats.org/officeDocument/2006/relationships/hyperlink" Target="https://pmt.physicsandmathstutor.com/download/Maths/A-level/Pure/Differentiation-2/Edexcel-Set-C/QP/Rates%20of%20Change%20QP.pdf#page=2" TargetMode="External" Id="rId814" /><Relationship Type="http://schemas.openxmlformats.org/officeDocument/2006/relationships/hyperlink" Target="https://pmt.physicsandmathstutor.com/download/Maths/A-level/Pure/Differentiation-2/Edexcel-Set-C/MS/Rates%20of%20Change%20MS.pdf" TargetMode="External" Id="rId815" /><Relationship Type="http://schemas.openxmlformats.org/officeDocument/2006/relationships/hyperlink" Target="https://pmt.physicsandmathstutor.com/download/Maths/A-level/Pure/Differentiation-2/Edexcel-Set-C/MA/Rates%20of%20Change%20MA.pdf" TargetMode="External" Id="rId816" /><Relationship Type="http://schemas.openxmlformats.org/officeDocument/2006/relationships/hyperlink" Target="https://www.yesterdaysmathsexam.com/_files/ugd/1ba96f_52583e3d2e264e018ee395d9ae3f992e.pdf#page=4" TargetMode="External" Id="rId817" /><Relationship Type="http://schemas.openxmlformats.org/officeDocument/2006/relationships/hyperlink" Target="https://www.yesterdaysmathsexam.com/_files/ugd/1ba96f_7c748a76bde946f58a74d25ddf9a185a.pdf" TargetMode="External" Id="rId818" /><Relationship Type="http://schemas.openxmlformats.org/officeDocument/2006/relationships/hyperlink" Target="https://mathsgenie.co.uk/a-level/maths/edexcel/as-pure-mathematics-12-6-gradients-tangents-and-normals" TargetMode="External" Id="rId819" /><Relationship Type="http://schemas.openxmlformats.org/officeDocument/2006/relationships/hyperlink" Target="https://assets.mathsgenie.co.uk/content/worksheets/as_level_maths/as-pure-differentiation-a2014652.pdf#page=8" TargetMode="External" Id="rId820" /><Relationship Type="http://schemas.openxmlformats.org/officeDocument/2006/relationships/hyperlink" Target="https://assets.mathsgenie.co.uk/content/worksheets/as_level_maths/as-pure-differentiation-ans-ed22b85d.pdf" TargetMode="External" Id="rId821" /><Relationship Type="http://schemas.openxmlformats.org/officeDocument/2006/relationships/hyperlink" Target="https://pmt.physicsandmathstutor.com/download/Maths/A-level/Pure/Differentiation-1/Edexcel-Set-C/QP/Tangents%20and%20Normals%20QP.pdf#page=1" TargetMode="External" Id="rId822" /><Relationship Type="http://schemas.openxmlformats.org/officeDocument/2006/relationships/hyperlink" Target="https://pmt.physicsandmathstutor.com/download/Maths/A-level/Pure/Differentiation-1/Edexcel-Set-C/MS/Tangents%20and%20Normals%20MS.pdf" TargetMode="External" Id="rId823" /><Relationship Type="http://schemas.openxmlformats.org/officeDocument/2006/relationships/hyperlink" Target="https://pmt.physicsandmathstutor.com/download/Maths/A-level/Pure/Differentiation-1/Edexcel-Set-C/MA/Tangents%20and%20Normals%20MA.pdf" TargetMode="External" Id="rId824" /><Relationship Type="http://schemas.openxmlformats.org/officeDocument/2006/relationships/hyperlink" Target="https://www.yesterdaysmathsexam.com/_files/ugd/1ba96f_ffb72e9d0b7845f1a341a2217b83af59.pdf#page=4" TargetMode="External" Id="rId825" /><Relationship Type="http://schemas.openxmlformats.org/officeDocument/2006/relationships/hyperlink" Target="https://www.yesterdaysmathsexam.com/_files/ugd/1ba96f_b935bc166b204d05bb5714796394db5f.pdf" TargetMode="External" Id="rId826" /><Relationship Type="http://schemas.openxmlformats.org/officeDocument/2006/relationships/hyperlink" Target="https://mathsgenie.co.uk/a-level/maths/edexcel/as-pure-mathematics-12-7-increasing-and-decreasing-functions" TargetMode="External" Id="rId827" /><Relationship Type="http://schemas.openxmlformats.org/officeDocument/2006/relationships/hyperlink" Target="https://assets.mathsgenie.co.uk/content/worksheets/as_level_maths/as-pure-differentiation-a2014652.pdf#page=6" TargetMode="External" Id="rId828" /><Relationship Type="http://schemas.openxmlformats.org/officeDocument/2006/relationships/hyperlink" Target="https://assets.mathsgenie.co.uk/content/worksheets/as_level_maths/as-pure-differentiation-ans-ed22b85d.pdf" TargetMode="External" Id="rId829" /><Relationship Type="http://schemas.openxmlformats.org/officeDocument/2006/relationships/hyperlink" Target="https://pmt.physicsandmathstutor.com/download/Maths/A-level/Pure/Differentiation-1/Edexcel-Set-C/QP/Basic%20Differentiation%20QP.pdf#page=2" TargetMode="External" Id="rId830" /><Relationship Type="http://schemas.openxmlformats.org/officeDocument/2006/relationships/hyperlink" Target="https://pmt.physicsandmathstutor.com/download/Maths/A-level/Pure/Differentiation-1/Edexcel-Set-C/MS/Basic%20Differentiation%20MS.pdf" TargetMode="External" Id="rId831" /><Relationship Type="http://schemas.openxmlformats.org/officeDocument/2006/relationships/hyperlink" Target="https://pmt.physicsandmathstutor.com/download/Maths/A-level/Pure/Differentiation-1/Edexcel-Set-C/MA/Basic%20Differentiation%20MA.pdf" TargetMode="External" Id="rId832" /><Relationship Type="http://schemas.openxmlformats.org/officeDocument/2006/relationships/hyperlink" Target="https://www.yesterdaysmathsexam.com/_files/ugd/1ba96f_ffb72e9d0b7845f1a341a2217b83af59.pdf#page=3" TargetMode="External" Id="rId833" /><Relationship Type="http://schemas.openxmlformats.org/officeDocument/2006/relationships/hyperlink" Target="https://www.yesterdaysmathsexam.com/_files/ugd/1ba96f_b935bc166b204d05bb5714796394db5f.pdf" TargetMode="External" Id="rId834" /><Relationship Type="http://schemas.openxmlformats.org/officeDocument/2006/relationships/hyperlink" Target="https://mathsgenie.co.uk/a-level/maths/edexcel/as-pure-mathematics-12-9-stationary-points" TargetMode="External" Id="rId835" /><Relationship Type="http://schemas.openxmlformats.org/officeDocument/2006/relationships/hyperlink" Target="https://assets.mathsgenie.co.uk/content/worksheets/as_level_maths/as-pure-differentiation-a2014652.pdf#page=2" TargetMode="External" Id="rId836" /><Relationship Type="http://schemas.openxmlformats.org/officeDocument/2006/relationships/hyperlink" Target="https://assets.mathsgenie.co.uk/content/worksheets/as_level_maths/as-pure-differentiation-ans-ed22b85d.pdf" TargetMode="External" Id="rId837" /><Relationship Type="http://schemas.openxmlformats.org/officeDocument/2006/relationships/hyperlink" Target="https://pmt.physicsandmathstutor.com/download/Maths/A-level/Pure/Differentiation-1/Edexcel-Set-C/QP/Stationary%20Points%20QP.pdf#page=1" TargetMode="External" Id="rId838" /><Relationship Type="http://schemas.openxmlformats.org/officeDocument/2006/relationships/hyperlink" Target="https://pmt.physicsandmathstutor.com/download/Maths/A-level/Pure/Differentiation-1/Edexcel-Set-C/MS/Stationary%20Points%20MS.pdf" TargetMode="External" Id="rId839" /><Relationship Type="http://schemas.openxmlformats.org/officeDocument/2006/relationships/hyperlink" Target="https://pmt.physicsandmathstutor.com/download/Maths/A-level/Pure/Differentiation-1/Edexcel-Set-C/MA/Stationary%20Points%20MA.pdf" TargetMode="External" Id="rId840" /><Relationship Type="http://schemas.openxmlformats.org/officeDocument/2006/relationships/hyperlink" Target="https://www.yesterdaysmathsexam.com/_files/ugd/1ba96f_ffb72e9d0b7845f1a341a2217b83af59.pdf#page=5" TargetMode="External" Id="rId841" /><Relationship Type="http://schemas.openxmlformats.org/officeDocument/2006/relationships/hyperlink" Target="https://www.yesterdaysmathsexam.com/_files/ugd/1ba96f_b935bc166b204d05bb5714796394db5f.pdf" TargetMode="External" Id="rId842" /><Relationship Type="http://schemas.openxmlformats.org/officeDocument/2006/relationships/hyperlink" Target="https://mathsgenie.co.uk/a-level/maths/edexcel/as-pure-mathematics-12-11-modelling-with-differentiation" TargetMode="External" Id="rId843" /><Relationship Type="http://schemas.openxmlformats.org/officeDocument/2006/relationships/hyperlink" Target="https://assets.mathsgenie.co.uk/content/worksheets/as_level_maths/as-pure-differentiation-a2014652.pdf#page=11" TargetMode="External" Id="rId844" /><Relationship Type="http://schemas.openxmlformats.org/officeDocument/2006/relationships/hyperlink" Target="https://assets.mathsgenie.co.uk/content/worksheets/as_level_maths/as-pure-differentiation-ans-ed22b85d.pdf" TargetMode="External" Id="rId845" /><Relationship Type="http://schemas.openxmlformats.org/officeDocument/2006/relationships/hyperlink" Target="https://pmt.physicsandmathstutor.com/download/Maths/A-level/Pure/Differentiation-1/Edexcel-Set-C/QP/Basic%20Differentiation%20QP.pdf#page=1" TargetMode="External" Id="rId846" /><Relationship Type="http://schemas.openxmlformats.org/officeDocument/2006/relationships/hyperlink" Target="https://pmt.physicsandmathstutor.com/download/Maths/A-level/Pure/Differentiation-1/Edexcel-Set-C/MS/Basic%20Differentiation%20MS.pdf" TargetMode="External" Id="rId847" /><Relationship Type="http://schemas.openxmlformats.org/officeDocument/2006/relationships/hyperlink" Target="https://pmt.physicsandmathstutor.com/download/Maths/A-level/Pure/Differentiation-1/Edexcel-Set-C/MA/Basic%20Differentiation%20MA.pdf" TargetMode="External" Id="rId848" /><Relationship Type="http://schemas.openxmlformats.org/officeDocument/2006/relationships/hyperlink" Target="https://www.yesterdaysmathsexam.com/_files/ugd/1ba96f_7d54ed6700224b36b9c7a8664f6b4bcc.pdf#page=1" TargetMode="External" Id="rId849" /><Relationship Type="http://schemas.openxmlformats.org/officeDocument/2006/relationships/hyperlink" Target="https://www.yesterdaysmathsexam.com/_files/ugd/1ba96f_2ed7e13af425482b8c310ce85a457447.pdf" TargetMode="External" Id="rId850" /><Relationship Type="http://schemas.openxmlformats.org/officeDocument/2006/relationships/hyperlink" Target="https://mathsgenie.co.uk/a-level/maths/edexcel/a-level-pure-mathematics-9-3-the-chain-rule" TargetMode="External" Id="rId851" /><Relationship Type="http://schemas.openxmlformats.org/officeDocument/2006/relationships/hyperlink" Target="https://assets.mathsgenie.co.uk/content/worksheets/a_level_maths/year-2-differentiation-5cb3a7d8.pdf#page=2" TargetMode="External" Id="rId852" /><Relationship Type="http://schemas.openxmlformats.org/officeDocument/2006/relationships/hyperlink" Target="https://assets.mathsgenie.co.uk/content/worksheets/a_level_maths/year-2-differentiation-ans-fe9163b5.pdf" TargetMode="External" Id="rId853" /><Relationship Type="http://schemas.openxmlformats.org/officeDocument/2006/relationships/hyperlink" Target="https://pmt.physicsandmathstutor.com/download/Maths/A-level/Pure/Numerical-Methods-2/Edexcel-Set-C/QP/Iterative%20Equations%20QP.pdf#page=1" TargetMode="External" Id="rId854" /><Relationship Type="http://schemas.openxmlformats.org/officeDocument/2006/relationships/hyperlink" Target="https://pmt.physicsandmathstutor.com/download/Maths/A-level/Pure/Numerical-Methods-2/Edexcel-Set-C/MS/Iterative%20Equations%20MS.pdf" TargetMode="External" Id="rId855" /><Relationship Type="http://schemas.openxmlformats.org/officeDocument/2006/relationships/hyperlink" Target="https://pmt.physicsandmathstutor.com/download/Maths/A-level/Pure/Numerical-Methods-2/Edexcel-Set-C/MA/Iterative%20Equations%20MA.pdf" TargetMode="External" Id="rId856" /><Relationship Type="http://schemas.openxmlformats.org/officeDocument/2006/relationships/hyperlink" Target="https://www.yesterdaysmathsexam.com/_files/ugd/1ba96f_4204150e65994886a18f7897dc4e8975.pdf#page=11" TargetMode="External" Id="rId857" /><Relationship Type="http://schemas.openxmlformats.org/officeDocument/2006/relationships/hyperlink" Target="https://www.yesterdaysmathsexam.com/_files/ugd/1ba96f_15aac9787f364dd2bcb8272f1faaf96c.pdf" TargetMode="External" Id="rId858" /><Relationship Type="http://schemas.openxmlformats.org/officeDocument/2006/relationships/hyperlink" Target="https://mathsgenie.co.uk/a-level/maths/edexcel/a-level-pure-mathematics-9-4-the-product-rule" TargetMode="External" Id="rId859" /><Relationship Type="http://schemas.openxmlformats.org/officeDocument/2006/relationships/hyperlink" Target="https://assets.mathsgenie.co.uk/content/worksheets/a_level_maths/year-2-differentiation-5cb3a7d8.pdf#page=7" TargetMode="External" Id="rId860" /><Relationship Type="http://schemas.openxmlformats.org/officeDocument/2006/relationships/hyperlink" Target="https://assets.mathsgenie.co.uk/content/worksheets/a_level_maths/year-2-differentiation-ans-fe9163b5.pdf" TargetMode="External" Id="rId861" /><Relationship Type="http://schemas.openxmlformats.org/officeDocument/2006/relationships/hyperlink" Target="https://pmt.physicsandmathstutor.com/download/Maths/A-level/Pure/Differentiation-2/Edexcel-Set-C/QP/Products%20and%20Quotients%20QP.pdf#page=1" TargetMode="External" Id="rId862" /><Relationship Type="http://schemas.openxmlformats.org/officeDocument/2006/relationships/hyperlink" Target="https://pmt.physicsandmathstutor.com/download/Maths/A-level/Pure/Differentiation-2/Edexcel-Set-C/MS/Products%20and%20Quotients%20MS.pdf" TargetMode="External" Id="rId863" /><Relationship Type="http://schemas.openxmlformats.org/officeDocument/2006/relationships/hyperlink" Target="https://pmt.physicsandmathstutor.com/download/Maths/A-level/Pure/Differentiation-2/Edexcel-Set-C/MA/Products%20and%20Quotients%20MA.pdf" TargetMode="External" Id="rId864" /><Relationship Type="http://schemas.openxmlformats.org/officeDocument/2006/relationships/hyperlink" Target="https://www.yesterdaysmathsexam.com/_files/ugd/1ba96f_4204150e65994886a18f7897dc4e8975.pdf#page=5" TargetMode="External" Id="rId865" /><Relationship Type="http://schemas.openxmlformats.org/officeDocument/2006/relationships/hyperlink" Target="https://www.yesterdaysmathsexam.com/_files/ugd/1ba96f_15aac9787f364dd2bcb8272f1faaf96c.pdf" TargetMode="External" Id="rId866" /><Relationship Type="http://schemas.openxmlformats.org/officeDocument/2006/relationships/hyperlink" Target="https://mathsgenie.co.uk/a-level/maths/edexcel/a-level-pure-mathematics-9-5-the-quotient-rule" TargetMode="External" Id="rId867" /><Relationship Type="http://schemas.openxmlformats.org/officeDocument/2006/relationships/hyperlink" Target="https://assets.mathsgenie.co.uk/content/worksheets/a_level_maths/year-2-differentiation-5cb3a7d8.pdf#page=14" TargetMode="External" Id="rId868" /><Relationship Type="http://schemas.openxmlformats.org/officeDocument/2006/relationships/hyperlink" Target="https://assets.mathsgenie.co.uk/content/worksheets/a_level_maths/year-2-differentiation-ans-fe9163b5.pdf" TargetMode="External" Id="rId869" /><Relationship Type="http://schemas.openxmlformats.org/officeDocument/2006/relationships/hyperlink" Target="https://pmt.physicsandmathstutor.com/download/Maths/A-level/Pure/Differentiation-2/Edexcel-Set-C/QP/Products%20and%20Quotients%20QP.pdf#page=3" TargetMode="External" Id="rId870" /><Relationship Type="http://schemas.openxmlformats.org/officeDocument/2006/relationships/hyperlink" Target="https://pmt.physicsandmathstutor.com/download/Maths/A-level/Pure/Differentiation-2/Edexcel-Set-C/MS/Products%20and%20Quotients%20MS.pdf" TargetMode="External" Id="rId871" /><Relationship Type="http://schemas.openxmlformats.org/officeDocument/2006/relationships/hyperlink" Target="https://pmt.physicsandmathstutor.com/download/Maths/A-level/Pure/Differentiation-2/Edexcel-Set-C/MA/Products%20and%20Quotients%20MA.pdf" TargetMode="External" Id="rId872" /><Relationship Type="http://schemas.openxmlformats.org/officeDocument/2006/relationships/hyperlink" Target="https://www.yesterdaysmathsexam.com/_files/ugd/1ba96f_4204150e65994886a18f7897dc4e8975.pdf#page=2" TargetMode="External" Id="rId873" /><Relationship Type="http://schemas.openxmlformats.org/officeDocument/2006/relationships/hyperlink" Target="https://www.yesterdaysmathsexam.com/_files/ugd/1ba96f_15aac9787f364dd2bcb8272f1faaf96c.pdf" TargetMode="External" Id="rId874" /><Relationship Type="http://schemas.openxmlformats.org/officeDocument/2006/relationships/hyperlink" Target="https://mathsgenie.co.uk/a-level/maths/edexcel/a-level-pure-mathematics-9-6-differentiating-trigonometric-functions" TargetMode="External" Id="rId875" /><Relationship Type="http://schemas.openxmlformats.org/officeDocument/2006/relationships/hyperlink" Target="https://assets.mathsgenie.co.uk/content/worksheets/a_level_maths/year-2-differentiation-5cb3a7d8.pdf#page=24" TargetMode="External" Id="rId876" /><Relationship Type="http://schemas.openxmlformats.org/officeDocument/2006/relationships/hyperlink" Target="https://assets.mathsgenie.co.uk/content/worksheets/a_level_maths/year-2-differentiation-ans-fe9163b5.pdf" TargetMode="External" Id="rId877" /><Relationship Type="http://schemas.openxmlformats.org/officeDocument/2006/relationships/hyperlink" Target="https://pmt.physicsandmathstutor.com/download/Maths/A-level/Pure/Differentiation-2/Solomon/04a.%20Differentiating%20trigonometric%20functions.pdf#page=1" TargetMode="External" Id="rId878" /><Relationship Type="http://schemas.openxmlformats.org/officeDocument/2006/relationships/hyperlink" Target="https://pmt.physicsandmathstutor.com/download/Maths/A-level/Pure/Differentiation-2/Solomon/04b.%20Differentiating%20trigonometric%20functions%20-%20Answers.pdf" TargetMode="External" Id="rId879" /><Relationship Type="http://schemas.openxmlformats.org/officeDocument/2006/relationships/hyperlink" Target="https://www.yesterdaysmathsexam.com/_files/ugd/1ba96f_52583e3d2e264e018ee395d9ae3f992e.pdf#page=2" TargetMode="External" Id="rId880" /><Relationship Type="http://schemas.openxmlformats.org/officeDocument/2006/relationships/hyperlink" Target="https://www.yesterdaysmathsexam.com/_files/ugd/1ba96f_7c748a76bde946f58a74d25ddf9a185a.pdf" TargetMode="External" Id="rId881" /><Relationship Type="http://schemas.openxmlformats.org/officeDocument/2006/relationships/hyperlink" Target="https://mathsgenie.co.uk/a-level/maths/edexcel/a-level-pure-mathematics-9-10-rates-of-change" TargetMode="External" Id="rId882" /><Relationship Type="http://schemas.openxmlformats.org/officeDocument/2006/relationships/hyperlink" Target="https://assets.mathsgenie.co.uk/content/worksheets/a_level_maths/year-2-differentiation-5cb3a7d8.pdf#page=59" TargetMode="External" Id="rId883" /><Relationship Type="http://schemas.openxmlformats.org/officeDocument/2006/relationships/hyperlink" Target="https://assets.mathsgenie.co.uk/content/worksheets/a_level_maths/year-2-differentiation-ans-fe9163b5.pdf" TargetMode="External" Id="rId884" /><Relationship Type="http://schemas.openxmlformats.org/officeDocument/2006/relationships/hyperlink" Target="https://pmt.physicsandmathstutor.com/download/Maths/A-level/Pure/Differentiation-2/Edexcel-Set-C/QP/Rates%20of%20Change%20QP.pdf#page=1" TargetMode="External" Id="rId885" /><Relationship Type="http://schemas.openxmlformats.org/officeDocument/2006/relationships/hyperlink" Target="https://pmt.physicsandmathstutor.com/download/Maths/A-level/Pure/Differentiation-2/Edexcel-Set-C/MS/Rates%20of%20Change%20MS.pdf" TargetMode="External" Id="rId886" /><Relationship Type="http://schemas.openxmlformats.org/officeDocument/2006/relationships/hyperlink" Target="https://pmt.physicsandmathstutor.com/download/Maths/A-level/Pure/Differentiation-2/Edexcel-Set-C/MA/Rates%20of%20Change%20MA.pdf" TargetMode="External" Id="rId887" /><Relationship Type="http://schemas.openxmlformats.org/officeDocument/2006/relationships/hyperlink" Target="https://www.yesterdaysmathsexam.com/_files/ugd/1ba96f_4204150e65994886a18f7897dc4e8975.pdf#page=10" TargetMode="External" Id="rId888" /><Relationship Type="http://schemas.openxmlformats.org/officeDocument/2006/relationships/hyperlink" Target="https://www.yesterdaysmathsexam.com/_files/ugd/1ba96f_15aac9787f364dd2bcb8272f1faaf96c.pdf" TargetMode="External" Id="rId889" /><Relationship Type="http://schemas.openxmlformats.org/officeDocument/2006/relationships/hyperlink" Target="https://mathsgenie.co.uk/a-level/maths/edexcel/a-level-pure-mathematics-9-7-parametric-differentiation" TargetMode="External" Id="rId890" /><Relationship Type="http://schemas.openxmlformats.org/officeDocument/2006/relationships/hyperlink" Target="https://assets.mathsgenie.co.uk/content/worksheets/a_level_maths/year-2-differentiation-5cb3a7d8.pdf#page=32" TargetMode="External" Id="rId891" /><Relationship Type="http://schemas.openxmlformats.org/officeDocument/2006/relationships/hyperlink" Target="https://assets.mathsgenie.co.uk/content/worksheets/a_level_maths/year-2-differentiation-ans-fe9163b5.pdf" TargetMode="External" Id="rId892" /><Relationship Type="http://schemas.openxmlformats.org/officeDocument/2006/relationships/hyperlink" Target="https://pmt.physicsandmathstutor.com/download/Maths/A-level/Pure/Differentiation-2/Edexcel-Set-C/QP/Parametric%20Differentiation%20QP.pdf#page=1" TargetMode="External" Id="rId893" /><Relationship Type="http://schemas.openxmlformats.org/officeDocument/2006/relationships/hyperlink" Target="https://pmt.physicsandmathstutor.com/download/Maths/A-level/Pure/Differentiation-2/Edexcel-Set-C/MS/Parametric%20Differentiation%20MS.pdf" TargetMode="External" Id="rId894" /><Relationship Type="http://schemas.openxmlformats.org/officeDocument/2006/relationships/hyperlink" Target="https://pmt.physicsandmathstutor.com/download/Maths/A-level/Pure/Differentiation-2/Edexcel-Set-C/MA/Parametric%20Differentiation%20MA.pdf" TargetMode="External" Id="rId895" /><Relationship Type="http://schemas.openxmlformats.org/officeDocument/2006/relationships/hyperlink" Target="https://www.yesterdaysmathsexam.com/_files/ugd/1ba96f_73cb3a284cb4426e98f4d6371973d180.pdf#page=3" TargetMode="External" Id="rId896" /><Relationship Type="http://schemas.openxmlformats.org/officeDocument/2006/relationships/hyperlink" Target="https://www.yesterdaysmathsexam.com/_files/ugd/1ba96f_814e620dfe4648c684796a46e5dac697.pdf" TargetMode="External" Id="rId897" /><Relationship Type="http://schemas.openxmlformats.org/officeDocument/2006/relationships/hyperlink" Target="https://mathsgenie.co.uk/a-level/maths/edexcel/a-level-pure-mathematics-9-8-implicit-differentiation" TargetMode="External" Id="rId898" /><Relationship Type="http://schemas.openxmlformats.org/officeDocument/2006/relationships/hyperlink" Target="https://assets.mathsgenie.co.uk/content/worksheets/a_level_maths/year-2-differentiation-5cb3a7d8.pdf#page=19" TargetMode="External" Id="rId899" /><Relationship Type="http://schemas.openxmlformats.org/officeDocument/2006/relationships/hyperlink" Target="https://assets.mathsgenie.co.uk/content/worksheets/a_level_maths/year-2-differentiation-ans-fe9163b5.pdf" TargetMode="External" Id="rId900" /><Relationship Type="http://schemas.openxmlformats.org/officeDocument/2006/relationships/hyperlink" Target="https://pmt.physicsandmathstutor.com/download/Maths/A-level/Pure/Differentiation-1/Edexcel-Set-C/QP/Tangents%20and%20Normals%20QP.pdf#page=4" TargetMode="External" Id="rId901" /><Relationship Type="http://schemas.openxmlformats.org/officeDocument/2006/relationships/hyperlink" Target="https://pmt.physicsandmathstutor.com/download/Maths/A-level/Pure/Differentiation-1/Edexcel-Set-C/MS/Tangents%20and%20Normals%20MS.pdf" TargetMode="External" Id="rId902" /><Relationship Type="http://schemas.openxmlformats.org/officeDocument/2006/relationships/hyperlink" Target="https://pmt.physicsandmathstutor.com/download/Maths/A-level/Pure/Differentiation-1/Edexcel-Set-C/MA/Tangents%20and%20Normals%20MA.pdf" TargetMode="External" Id="rId903" /><Relationship Type="http://schemas.openxmlformats.org/officeDocument/2006/relationships/hyperlink" Target="https://www.yesterdaysmathsexam.com/_files/ugd/1ba96f_52583e3d2e264e018ee395d9ae3f992e.pdf#page=1" TargetMode="External" Id="rId904" /><Relationship Type="http://schemas.openxmlformats.org/officeDocument/2006/relationships/hyperlink" Target="https://www.yesterdaysmathsexam.com/_files/ugd/1ba96f_7c748a76bde946f58a74d25ddf9a185a.pdf" TargetMode="External" Id="rId905" /><Relationship Type="http://schemas.openxmlformats.org/officeDocument/2006/relationships/hyperlink" Target="https://mathsgenie.co.uk/a-level/maths/edexcel/a-level-pure-mathematics-11-11-modelling-with-differential-equations" TargetMode="External" Id="rId906" /><Relationship Type="http://schemas.openxmlformats.org/officeDocument/2006/relationships/hyperlink" Target="https://assets.mathsgenie.co.uk/content/worksheets/a_level_maths/year-2-integration-5dfd3517.pdf#page=30" TargetMode="External" Id="rId907" /><Relationship Type="http://schemas.openxmlformats.org/officeDocument/2006/relationships/hyperlink" Target="https://assets.mathsgenie.co.uk/content/worksheets/a_level_maths/year-2-integration-ans-13355b71.pdf" TargetMode="External" Id="rId908" /><Relationship Type="http://schemas.openxmlformats.org/officeDocument/2006/relationships/hyperlink" Target="https://pmt.physicsandmathstutor.com/download/Maths/A-level/Pure/Differentiation-2/Edexcel-Set-C/QP/Rates%20of%20Change%20QP.pdf#page=1" TargetMode="External" Id="rId909" /><Relationship Type="http://schemas.openxmlformats.org/officeDocument/2006/relationships/hyperlink" Target="https://pmt.physicsandmathstutor.com/download/Maths/A-level/Pure/Differentiation-2/Edexcel-Set-C/MS/Rates%20of%20Change%20MS.pdf" TargetMode="External" Id="rId910" /><Relationship Type="http://schemas.openxmlformats.org/officeDocument/2006/relationships/hyperlink" Target="https://pmt.physicsandmathstutor.com/download/Maths/A-level/Pure/Differentiation-2/Edexcel-Set-C/MA/Rates%20of%20Change%20MA.pdf" TargetMode="External" Id="rId911" /><Relationship Type="http://schemas.openxmlformats.org/officeDocument/2006/relationships/hyperlink" Target="https://www.yesterdaysmathsexam.com/_files/ugd/1ba96f_3c940af8cffa4cad940bbd3375c6337d.pdf#page=2" TargetMode="External" Id="rId912" /><Relationship Type="http://schemas.openxmlformats.org/officeDocument/2006/relationships/hyperlink" Target="https://www.yesterdaysmathsexam.com/_files/ugd/1ba96f_ae20a0be0c6043a18aff99d79c09ba98.pdf" TargetMode="External" Id="rId913" /><Relationship Type="http://schemas.openxmlformats.org/officeDocument/2006/relationships/hyperlink" Target="https://mathsgenie.co.uk/a-level/maths/edexcel/as-pure-mathematics-13-2-indefinite-integrals" TargetMode="External" Id="rId914" /><Relationship Type="http://schemas.openxmlformats.org/officeDocument/2006/relationships/hyperlink" Target="https://assets.mathsgenie.co.uk/content/worksheets/a_level_maths/as-pure-mathematics-13-integration-medium-af6778c4.pdf#page=1" TargetMode="External" Id="rId915" /><Relationship Type="http://schemas.openxmlformats.org/officeDocument/2006/relationships/hyperlink" Target="https://assets.mathsgenie.co.uk/content/worksheets/a_level_maths/as-pure-mathematics-13-integration-medium-ans-e9c8c91e.pdf" TargetMode="External" Id="rId916" /><Relationship Type="http://schemas.openxmlformats.org/officeDocument/2006/relationships/hyperlink" Target="https://pmt.physicsandmathstutor.com/download/Maths/A-level/Pure/Integration-1/Edexcel-Set-C/QP/Basic%20Integration%20QP.pdf#page=1" TargetMode="External" Id="rId917" /><Relationship Type="http://schemas.openxmlformats.org/officeDocument/2006/relationships/hyperlink" Target="https://pmt.physicsandmathstutor.com/download/Maths/A-level/Pure/Integration-1/Edexcel-Set-C/MS/Basic%20Integration%20MS.pdf" TargetMode="External" Id="rId918" /><Relationship Type="http://schemas.openxmlformats.org/officeDocument/2006/relationships/hyperlink" Target="https://pmt.physicsandmathstutor.com/download/Maths/A-level/Pure/Integration-1/Edexcel-Set-C/MA/Basic%20Integration%20MA.pdf" TargetMode="External" Id="rId919" /><Relationship Type="http://schemas.openxmlformats.org/officeDocument/2006/relationships/hyperlink" Target="https://www.yesterdaysmathsexam.com/_files/ugd/1ba96f_9f9d72e2a57840bf98a2ba7ea444bf03.pdf#page=1" TargetMode="External" Id="rId920" /><Relationship Type="http://schemas.openxmlformats.org/officeDocument/2006/relationships/hyperlink" Target="https://www.yesterdaysmathsexam.com/_files/ugd/1ba96f_01c1277301f94c9c908e2ad7bf50f8a0.pdf" TargetMode="External" Id="rId921" /><Relationship Type="http://schemas.openxmlformats.org/officeDocument/2006/relationships/hyperlink" Target="https://mathsgenie.co.uk/a-level/maths/edexcel/as-pure-mathematics-13-1-integrating-x-n" TargetMode="External" Id="rId922" /><Relationship Type="http://schemas.openxmlformats.org/officeDocument/2006/relationships/hyperlink" Target="https://assets.mathsgenie.co.uk/content/worksheets/a_level_maths/as-pure-mathematics-13-integration-medium-af6778c4.pdf#page=1" TargetMode="External" Id="rId923" /><Relationship Type="http://schemas.openxmlformats.org/officeDocument/2006/relationships/hyperlink" Target="https://assets.mathsgenie.co.uk/content/worksheets/a_level_maths/as-pure-mathematics-13-integration-medium-ans-e9c8c91e.pdf" TargetMode="External" Id="rId924" /><Relationship Type="http://schemas.openxmlformats.org/officeDocument/2006/relationships/hyperlink" Target="https://pmt.physicsandmathstutor.com/download/Maths/A-level/Pure/Integration-1/Edexcel-Set-C/QP/Basic%20Integration%20QP.pdf#page=1" TargetMode="External" Id="rId925" /><Relationship Type="http://schemas.openxmlformats.org/officeDocument/2006/relationships/hyperlink" Target="https://pmt.physicsandmathstutor.com/download/Maths/A-level/Pure/Integration-1/Edexcel-Set-C/MS/Basic%20Integration%20MS.pdf" TargetMode="External" Id="rId926" /><Relationship Type="http://schemas.openxmlformats.org/officeDocument/2006/relationships/hyperlink" Target="https://pmt.physicsandmathstutor.com/download/Maths/A-level/Pure/Integration-1/Edexcel-Set-C/MA/Basic%20Integration%20MA.pdf" TargetMode="External" Id="rId927" /><Relationship Type="http://schemas.openxmlformats.org/officeDocument/2006/relationships/hyperlink" Target="https://www.yesterdaysmathsexam.com/_files/ugd/1ba96f_9f9d72e2a57840bf98a2ba7ea444bf03.pdf#page=1" TargetMode="External" Id="rId928" /><Relationship Type="http://schemas.openxmlformats.org/officeDocument/2006/relationships/hyperlink" Target="https://www.yesterdaysmathsexam.com/_files/ugd/1ba96f_01c1277301f94c9c908e2ad7bf50f8a0.pdf" TargetMode="External" Id="rId929" /><Relationship Type="http://schemas.openxmlformats.org/officeDocument/2006/relationships/hyperlink" Target="https://mathsgenie.co.uk/a-level/maths/edexcel/as-pure-mathematics-13-3-finding-functions" TargetMode="External" Id="rId930" /><Relationship Type="http://schemas.openxmlformats.org/officeDocument/2006/relationships/hyperlink" Target="https://assets.mathsgenie.co.uk/content/worksheets/as_level_maths/as-pure-integration-9beab4ec.pdf#page=2" TargetMode="External" Id="rId931" /><Relationship Type="http://schemas.openxmlformats.org/officeDocument/2006/relationships/hyperlink" Target="https://assets.mathsgenie.co.uk/content/worksheets/as_level_maths/integration-ans-3bf900ed.pdf" TargetMode="External" Id="rId932" /><Relationship Type="http://schemas.openxmlformats.org/officeDocument/2006/relationships/hyperlink" Target="https://pmt.physicsandmathstutor.com/download/Maths/A-level/Pure/Integration-1/Edexcel-Set-C/QP/Basic%20Integration%20QP.pdf#page=4" TargetMode="External" Id="rId933" /><Relationship Type="http://schemas.openxmlformats.org/officeDocument/2006/relationships/hyperlink" Target="https://pmt.physicsandmathstutor.com/download/Maths/A-level/Pure/Integration-1/Edexcel-Set-C/MS/Basic%20Integration%20MS.pdf" TargetMode="External" Id="rId934" /><Relationship Type="http://schemas.openxmlformats.org/officeDocument/2006/relationships/hyperlink" Target="https://pmt.physicsandmathstutor.com/download/Maths/A-level/Pure/Integration-1/Edexcel-Set-C/MA/Basic%20Integration%20MA.pdf" TargetMode="External" Id="rId935" /><Relationship Type="http://schemas.openxmlformats.org/officeDocument/2006/relationships/hyperlink" Target="https://www.yesterdaysmathsexam.com/_files/ugd/1ba96f_3778726d26a74080a3d371b325ddf02f.pdf#page=9" TargetMode="External" Id="rId936" /><Relationship Type="http://schemas.openxmlformats.org/officeDocument/2006/relationships/hyperlink" Target="https://www.yesterdaysmathsexam.com/_files/ugd/1ba96f_721ef4ec342744798afc38eee8ba0d3b.pdf" TargetMode="External" Id="rId937" /><Relationship Type="http://schemas.openxmlformats.org/officeDocument/2006/relationships/hyperlink" Target="https://mathsgenie.co.uk/a-level/maths/edexcel/as-pure-mathematics-13-4-definite-integrals" TargetMode="External" Id="rId938" /><Relationship Type="http://schemas.openxmlformats.org/officeDocument/2006/relationships/hyperlink" Target="https://assets.mathsgenie.co.uk/content/worksheets/a_level_maths/as-pure-mathematics-13-integration-medium-af6778c4.pdf#page=4" TargetMode="External" Id="rId939" /><Relationship Type="http://schemas.openxmlformats.org/officeDocument/2006/relationships/hyperlink" Target="https://assets.mathsgenie.co.uk/content/worksheets/a_level_maths/as-pure-mathematics-13-integration-medium-ans-e9c8c91e.pdf" TargetMode="External" Id="rId940" /><Relationship Type="http://schemas.openxmlformats.org/officeDocument/2006/relationships/hyperlink" Target="https://pmt.physicsandmathstutor.com/download/Maths/A-level/Pure/Integration-1/Edexcel-Set-C/QP/Definite%20Integration%20QP.pdf#page=1" TargetMode="External" Id="rId941" /><Relationship Type="http://schemas.openxmlformats.org/officeDocument/2006/relationships/hyperlink" Target="https://pmt.physicsandmathstutor.com/download/Maths/A-level/Pure/Integration-1/Edexcel-Set-C/MS/Definite%20Integration%20MS.pdf" TargetMode="External" Id="rId942" /><Relationship Type="http://schemas.openxmlformats.org/officeDocument/2006/relationships/hyperlink" Target="https://pmt.physicsandmathstutor.com/download/Maths/A-level/Pure/Integration-1/Edexcel-Set-C/MA/Definite%20Integration%20MA.pdf" TargetMode="External" Id="rId943" /><Relationship Type="http://schemas.openxmlformats.org/officeDocument/2006/relationships/hyperlink" Target="https://www.yesterdaysmathsexam.com/_files/ugd/1ba96f_9f9d72e2a57840bf98a2ba7ea444bf03.pdf#page=3" TargetMode="External" Id="rId944" /><Relationship Type="http://schemas.openxmlformats.org/officeDocument/2006/relationships/hyperlink" Target="https://www.yesterdaysmathsexam.com/_files/ugd/1ba96f_01c1277301f94c9c908e2ad7bf50f8a0.pdf" TargetMode="External" Id="rId945" /><Relationship Type="http://schemas.openxmlformats.org/officeDocument/2006/relationships/hyperlink" Target="https://mathsgenie.co.uk/a-level/maths/edexcel/as-pure-mathematics-13-5-areas-under-curves" TargetMode="External" Id="rId946" /><Relationship Type="http://schemas.openxmlformats.org/officeDocument/2006/relationships/hyperlink" Target="https://assets.mathsgenie.co.uk/content/worksheets/as_level_maths/as-pure-integration-9beab4ec.pdf#page=8" TargetMode="External" Id="rId947" /><Relationship Type="http://schemas.openxmlformats.org/officeDocument/2006/relationships/hyperlink" Target="https://assets.mathsgenie.co.uk/content/worksheets/as_level_maths/integration-ans-3bf900ed.pdf" TargetMode="External" Id="rId948" /><Relationship Type="http://schemas.openxmlformats.org/officeDocument/2006/relationships/hyperlink" Target="https://pmt.physicsandmathstutor.com/download/Maths/A-level/Pure/Integration-2/Edexcel-Set-C/QP/Finding%20Area%20using%20Integration%20QP.pdf#page=2" TargetMode="External" Id="rId949" /><Relationship Type="http://schemas.openxmlformats.org/officeDocument/2006/relationships/hyperlink" Target="https://pmt.physicsandmathstutor.com/download/Maths/A-level/Pure/Integration-2/Edexcel-Set-C/MS/Finding%20Area%20using%20Integration%20MS.pdf" TargetMode="External" Id="rId950" /><Relationship Type="http://schemas.openxmlformats.org/officeDocument/2006/relationships/hyperlink" Target="https://pmt.physicsandmathstutor.com/download/Maths/A-level/Pure/Integration-2/Edexcel-Set-C/MA/Finding%20Area%20using%20Integration%20MA.pdf" TargetMode="External" Id="rId951" /><Relationship Type="http://schemas.openxmlformats.org/officeDocument/2006/relationships/hyperlink" Target="https://www.yesterdaysmathsexam.com/_files/ugd/1ba96f_9f9d72e2a57840bf98a2ba7ea444bf03.pdf#page=4" TargetMode="External" Id="rId952" /><Relationship Type="http://schemas.openxmlformats.org/officeDocument/2006/relationships/hyperlink" Target="https://www.yesterdaysmathsexam.com/_files/ugd/1ba96f_01c1277301f94c9c908e2ad7bf50f8a0.pdf" TargetMode="External" Id="rId953" /><Relationship Type="http://schemas.openxmlformats.org/officeDocument/2006/relationships/hyperlink" Target="https://mathsgenie.co.uk/a-level/maths/edexcel/as-pure-mathematics-13-7-areas-between-curves-and-lines" TargetMode="External" Id="rId954" /><Relationship Type="http://schemas.openxmlformats.org/officeDocument/2006/relationships/hyperlink" Target="https://assets.mathsgenie.co.uk/content/worksheets/as_level_maths/as-pure-integration-9beab4ec.pdf#page=6" TargetMode="External" Id="rId955" /><Relationship Type="http://schemas.openxmlformats.org/officeDocument/2006/relationships/hyperlink" Target="https://assets.mathsgenie.co.uk/content/worksheets/as_level_maths/integration-ans-3bf900ed.pdf" TargetMode="External" Id="rId956" /><Relationship Type="http://schemas.openxmlformats.org/officeDocument/2006/relationships/hyperlink" Target="https://pmt.physicsandmathstutor.com/download/Maths/A-level/Pure/Integration-1/Edexcel-Set-C/QP/Finding%20Area%20using%20Integration%20QP.pdf#page=1" TargetMode="External" Id="rId957" /><Relationship Type="http://schemas.openxmlformats.org/officeDocument/2006/relationships/hyperlink" Target="https://pmt.physicsandmathstutor.com/download/Maths/A-level/Pure/Integration-1/Edexcel-Set-C/MS/Finding%20Area%20using%20Integration%20MS.pdf" TargetMode="External" Id="rId958" /><Relationship Type="http://schemas.openxmlformats.org/officeDocument/2006/relationships/hyperlink" Target="https://pmt.physicsandmathstutor.com/download/Maths/A-level/Pure/Integration-1/Edexcel-Set-C/MA/Finding%20Area%20using%20Integration%20MA.pdf" TargetMode="External" Id="rId959" /><Relationship Type="http://schemas.openxmlformats.org/officeDocument/2006/relationships/hyperlink" Target="https://www.yesterdaysmathsexam.com/_files/ugd/1ba96f_9f9d72e2a57840bf98a2ba7ea444bf03.pdf#page=2" TargetMode="External" Id="rId960" /><Relationship Type="http://schemas.openxmlformats.org/officeDocument/2006/relationships/hyperlink" Target="https://www.yesterdaysmathsexam.com/_files/ugd/1ba96f_01c1277301f94c9c908e2ad7bf50f8a0.pdf" TargetMode="External" Id="rId961" /><Relationship Type="http://schemas.openxmlformats.org/officeDocument/2006/relationships/hyperlink" Target="https://mathsgenie.co.uk/a-level/maths/edexcel/a-level-pure-mathematics-11-1-integrating-standard-functions" TargetMode="External" Id="rId962" /><Relationship Type="http://schemas.openxmlformats.org/officeDocument/2006/relationships/hyperlink" Target="https://assets.mathsgenie.co.uk/content/worksheets/a_level_maths/year-2-integration-5dfd3517.pdf#page=1" TargetMode="External" Id="rId963" /><Relationship Type="http://schemas.openxmlformats.org/officeDocument/2006/relationships/hyperlink" Target="https://assets.mathsgenie.co.uk/content/worksheets/a_level_maths/year-2-integration-ans-13355b71.pdf" TargetMode="External" Id="rId964" /><Relationship Type="http://schemas.openxmlformats.org/officeDocument/2006/relationships/hyperlink" Target="https://pmt.physicsandmathstutor.com/download/Maths/A-level/Pure/Integration-2/Edexcel-Set-C/QP/Definite%20Integration%20QP.pdf#page=1" TargetMode="External" Id="rId965" /><Relationship Type="http://schemas.openxmlformats.org/officeDocument/2006/relationships/hyperlink" Target="https://pmt.physicsandmathstutor.com/download/Maths/A-level/Pure/Integration-2/Edexcel-Set-C/MS/Definite%20Integration%20MS.pdf" TargetMode="External" Id="rId966" /><Relationship Type="http://schemas.openxmlformats.org/officeDocument/2006/relationships/hyperlink" Target="https://pmt.physicsandmathstutor.com/download/Maths/A-level/Pure/Integration-2/Edexcel-Set-C/MA/Definite%20Integration%20MA.pdf" TargetMode="External" Id="rId967" /><Relationship Type="http://schemas.openxmlformats.org/officeDocument/2006/relationships/hyperlink" Target="https://www.yesterdaysmathsexam.com/_files/ugd/1ba96f_3778726d26a74080a3d371b325ddf02f.pdf#page=1" TargetMode="External" Id="rId968" /><Relationship Type="http://schemas.openxmlformats.org/officeDocument/2006/relationships/hyperlink" Target="https://www.yesterdaysmathsexam.com/_files/ugd/1ba96f_721ef4ec342744798afc38eee8ba0d3b.pdf" TargetMode="External" Id="rId969" /><Relationship Type="http://schemas.openxmlformats.org/officeDocument/2006/relationships/hyperlink" Target="https://mathsgenie.co.uk/a-level/maths/edexcel/a-level-pure-mathematics-11-2-integrating-f-ax-b" TargetMode="External" Id="rId970" /><Relationship Type="http://schemas.openxmlformats.org/officeDocument/2006/relationships/hyperlink" Target="https://assets.mathsgenie.co.uk/content/worksheets/a_level_maths/year-2-integration-5dfd3517.pdf#page=1" TargetMode="External" Id="rId971" /><Relationship Type="http://schemas.openxmlformats.org/officeDocument/2006/relationships/hyperlink" Target="https://assets.mathsgenie.co.uk/content/worksheets/a_level_maths/year-2-integration-ans-13355b71.pdf" TargetMode="External" Id="rId972" /><Relationship Type="http://schemas.openxmlformats.org/officeDocument/2006/relationships/hyperlink" Target="https://pmt.physicsandmathstutor.com/download/Maths/A-level/Pure/Integration-2/Solomon/03a.%20Integrating%20functions%20of%20ax%20%2B%20b.pdf#page=1" TargetMode="External" Id="rId973" /><Relationship Type="http://schemas.openxmlformats.org/officeDocument/2006/relationships/hyperlink" Target="https://pmt.physicsandmathstutor.com/download/Maths/A-level/Pure/Integration-2/Solomon/03b.%20Integrating%20functions%20of%20ax%20%2B%20b%20-%20Answers.pdf" TargetMode="External" Id="rId974" /><Relationship Type="http://schemas.openxmlformats.org/officeDocument/2006/relationships/hyperlink" Target="https://www.yesterdaysmathsexam.com/_files/ugd/1ba96f_3778726d26a74080a3d371b325ddf02f.pdf#page=1" TargetMode="External" Id="rId975" /><Relationship Type="http://schemas.openxmlformats.org/officeDocument/2006/relationships/hyperlink" Target="https://www.yesterdaysmathsexam.com/_files/ugd/1ba96f_721ef4ec342744798afc38eee8ba0d3b.pdf" TargetMode="External" Id="rId976" /><Relationship Type="http://schemas.openxmlformats.org/officeDocument/2006/relationships/hyperlink" Target="https://mathsgenie.co.uk/a-level/maths/edexcel/a-level-pure-mathematics-11-3-using-trigonometric-identities" TargetMode="External" Id="rId977" /><Relationship Type="http://schemas.openxmlformats.org/officeDocument/2006/relationships/hyperlink" Target="https://assets.mathsgenie.co.uk/content/worksheets/a_level_maths/year-2-integration-5dfd3517.pdf#page=2" TargetMode="External" Id="rId978" /><Relationship Type="http://schemas.openxmlformats.org/officeDocument/2006/relationships/hyperlink" Target="https://assets.mathsgenie.co.uk/content/worksheets/a_level_maths/year-2-integration-ans-13355b71.pdf" TargetMode="External" Id="rId979" /><Relationship Type="http://schemas.openxmlformats.org/officeDocument/2006/relationships/hyperlink" Target="https://pmt.physicsandmathstutor.com/download/Maths/A-level/Pure/Integration-2/Solomon/02a.%20Integrating%20trigonometric%20functions.pdf#page=1" TargetMode="External" Id="rId980" /><Relationship Type="http://schemas.openxmlformats.org/officeDocument/2006/relationships/hyperlink" Target="https://pmt.physicsandmathstutor.com/download/Maths/A-level/Pure/Integration-2/Solomon/02b.%20Integrating%20trigonometric%20functions%20-%20Answers.pdf" TargetMode="External" Id="rId981" /><Relationship Type="http://schemas.openxmlformats.org/officeDocument/2006/relationships/hyperlink" Target="https://www.yesterdaysmathsexam.com/_files/ugd/1ba96f_3778726d26a74080a3d371b325ddf02f.pdf#page=14" TargetMode="External" Id="rId982" /><Relationship Type="http://schemas.openxmlformats.org/officeDocument/2006/relationships/hyperlink" Target="https://www.yesterdaysmathsexam.com/_files/ugd/1ba96f_721ef4ec342744798afc38eee8ba0d3b.pdf" TargetMode="External" Id="rId983" /><Relationship Type="http://schemas.openxmlformats.org/officeDocument/2006/relationships/hyperlink" Target="https://mathsgenie.co.uk/a-level/maths/edexcel/a-level-pure-mathematics-11-4-reverse-chain-rule" TargetMode="External" Id="rId984" /><Relationship Type="http://schemas.openxmlformats.org/officeDocument/2006/relationships/hyperlink" Target="https://assets.mathsgenie.co.uk/content/worksheets/a_level_maths/year-2-integration-5dfd3517.pdf#page=3" TargetMode="External" Id="rId985" /><Relationship Type="http://schemas.openxmlformats.org/officeDocument/2006/relationships/hyperlink" Target="https://assets.mathsgenie.co.uk/content/worksheets/a_level_maths/year-2-integration-ans-13355b71.pdf" TargetMode="External" Id="rId986" /><Relationship Type="http://schemas.openxmlformats.org/officeDocument/2006/relationships/hyperlink" Target="https://pmt.physicsandmathstutor.com/download/Maths/A-level/Pure/Integration-2/Solomon/04a.%20Integration%20by%20substitution.pdf#page=2" TargetMode="External" Id="rId987" /><Relationship Type="http://schemas.openxmlformats.org/officeDocument/2006/relationships/hyperlink" Target="https://pmt.physicsandmathstutor.com/download/Maths/A-level/Pure/Integration-2/Solomon/04b.%20Integration%20by%20substitution%20-%20Answers.pdf" TargetMode="External" Id="rId988" /><Relationship Type="http://schemas.openxmlformats.org/officeDocument/2006/relationships/hyperlink" Target="https://www.yesterdaysmathsexam.com/_files/ugd/1ba96f_3778726d26a74080a3d371b325ddf02f.pdf#page=11" TargetMode="External" Id="rId989" /><Relationship Type="http://schemas.openxmlformats.org/officeDocument/2006/relationships/hyperlink" Target="https://www.yesterdaysmathsexam.com/_files/ugd/1ba96f_721ef4ec342744798afc38eee8ba0d3b.pdf" TargetMode="External" Id="rId990" /><Relationship Type="http://schemas.openxmlformats.org/officeDocument/2006/relationships/hyperlink" Target="https://mathsgenie.co.uk/a-level/maths/edexcel/a-level-pure-mathematics-11-5-integration-by-substitution" TargetMode="External" Id="rId991" /><Relationship Type="http://schemas.openxmlformats.org/officeDocument/2006/relationships/hyperlink" Target="https://assets.mathsgenie.co.uk/content/worksheets/a_level_maths/year-2-integration-5dfd3517.pdf#page=7" TargetMode="External" Id="rId992" /><Relationship Type="http://schemas.openxmlformats.org/officeDocument/2006/relationships/hyperlink" Target="https://assets.mathsgenie.co.uk/content/worksheets/a_level_maths/year-2-integration-ans-13355b71.pdf" TargetMode="External" Id="rId993" /><Relationship Type="http://schemas.openxmlformats.org/officeDocument/2006/relationships/hyperlink" Target="https://pmt.physicsandmathstutor.com/download/Maths/A-level/Pure/Integration-2/Edexcel-Set-C/QP/Integration%20by%20Substitution%20QP.pdf#page=1" TargetMode="External" Id="rId994" /><Relationship Type="http://schemas.openxmlformats.org/officeDocument/2006/relationships/hyperlink" Target="https://pmt.physicsandmathstutor.com/download/Maths/A-level/Pure/Integration-2/Edexcel-Set-C/MS/Integration%20by%20Substitution%20MS.pdf" TargetMode="External" Id="rId995" /><Relationship Type="http://schemas.openxmlformats.org/officeDocument/2006/relationships/hyperlink" Target="https://pmt.physicsandmathstutor.com/download/Maths/A-level/Pure/Integration-2/Edexcel-Set-C/MA/Integration%20by%20Substitution%20MA.pdf" TargetMode="External" Id="rId996" /><Relationship Type="http://schemas.openxmlformats.org/officeDocument/2006/relationships/hyperlink" Target="https://www.yesterdaysmathsexam.com/_files/ugd/1ba96f_3c940af8cffa4cad940bbd3375c6337d.pdf#page=4" TargetMode="External" Id="rId997" /><Relationship Type="http://schemas.openxmlformats.org/officeDocument/2006/relationships/hyperlink" Target="https://www.yesterdaysmathsexam.com/_files/ugd/1ba96f_ae20a0be0c6043a18aff99d79c09ba98.pdf" TargetMode="External" Id="rId998" /><Relationship Type="http://schemas.openxmlformats.org/officeDocument/2006/relationships/hyperlink" Target="https://mathsgenie.co.uk/a-level/maths/edexcel/a-level-pure-mathematics-11-6-integration-by-parts" TargetMode="External" Id="rId999" /><Relationship Type="http://schemas.openxmlformats.org/officeDocument/2006/relationships/hyperlink" Target="https://assets.mathsgenie.co.uk/content/worksheets/a_level_maths/year-2-integration-5dfd3517.pdf#page=19" TargetMode="External" Id="rId1000" /><Relationship Type="http://schemas.openxmlformats.org/officeDocument/2006/relationships/hyperlink" Target="https://assets.mathsgenie.co.uk/content/worksheets/a_level_maths/year-2-integration-ans-13355b71.pdf" TargetMode="External" Id="rId1001" /><Relationship Type="http://schemas.openxmlformats.org/officeDocument/2006/relationships/hyperlink" Target="https://pmt.physicsandmathstutor.com/download/Maths/A-level/Pure/Integration-2/Edexcel-Set-C/QP/Integration%20by%20Parts%20QP.pdf#page=1" TargetMode="External" Id="rId1002" /><Relationship Type="http://schemas.openxmlformats.org/officeDocument/2006/relationships/hyperlink" Target="https://pmt.physicsandmathstutor.com/download/Maths/A-level/Pure/Integration-2/Edexcel-Set-C/MS/Integration%20by%20Parts%20MS.pdf" TargetMode="External" Id="rId1003" /><Relationship Type="http://schemas.openxmlformats.org/officeDocument/2006/relationships/hyperlink" Target="https://pmt.physicsandmathstutor.com/download/Maths/A-level/Pure/Integration-2/Edexcel-Set-C/MA/Integration%20by%20Parts%20MA.pdf" TargetMode="External" Id="rId1004" /><Relationship Type="http://schemas.openxmlformats.org/officeDocument/2006/relationships/hyperlink" Target="https://www.yesterdaysmathsexam.com/_files/ugd/1ba96f_3778726d26a74080a3d371b325ddf02f.pdf#page=14" TargetMode="External" Id="rId1005" /><Relationship Type="http://schemas.openxmlformats.org/officeDocument/2006/relationships/hyperlink" Target="https://www.yesterdaysmathsexam.com/_files/ugd/1ba96f_721ef4ec342744798afc38eee8ba0d3b.pdf" TargetMode="External" Id="rId1006" /><Relationship Type="http://schemas.openxmlformats.org/officeDocument/2006/relationships/hyperlink" Target="https://mathsgenie.co.uk/a-level/maths/edexcel/a-level-pure-mathematics-11-7-partial-fractions" TargetMode="External" Id="rId1007" /><Relationship Type="http://schemas.openxmlformats.org/officeDocument/2006/relationships/hyperlink" Target="https://assets.mathsgenie.co.uk/content/worksheets/a_level_maths/year-2-integration-5dfd3517.pdf#page=28" TargetMode="External" Id="rId1008" /><Relationship Type="http://schemas.openxmlformats.org/officeDocument/2006/relationships/hyperlink" Target="https://assets.mathsgenie.co.uk/content/worksheets/a_level_maths/year-2-integration-ans-13355b71.pdf" TargetMode="External" Id="rId1009" /><Relationship Type="http://schemas.openxmlformats.org/officeDocument/2006/relationships/hyperlink" Target="https://pmt.physicsandmathstutor.com/download/Maths/A-level/Pure/Integration-2/Edexcel-Set-C/QP/Definite%20Integration%20QP.pdf#page=5" TargetMode="External" Id="rId1010" /><Relationship Type="http://schemas.openxmlformats.org/officeDocument/2006/relationships/hyperlink" Target="https://pmt.physicsandmathstutor.com/download/Maths/A-level/Pure/Integration-2/Edexcel-Set-C/MS/Definite%20Integration%20MS.pdf" TargetMode="External" Id="rId1011" /><Relationship Type="http://schemas.openxmlformats.org/officeDocument/2006/relationships/hyperlink" Target="https://pmt.physicsandmathstutor.com/download/Maths/A-level/Pure/Integration-2/Edexcel-Set-C/MA/Definite%20Integration%20MA.pdf" TargetMode="External" Id="rId1012" /><Relationship Type="http://schemas.openxmlformats.org/officeDocument/2006/relationships/hyperlink" Target="https://www.yesterdaysmathsexam.com/_files/ugd/1ba96f_3778726d26a74080a3d371b325ddf02f.pdf#page=5" TargetMode="External" Id="rId1013" /><Relationship Type="http://schemas.openxmlformats.org/officeDocument/2006/relationships/hyperlink" Target="https://www.yesterdaysmathsexam.com/_files/ugd/1ba96f_721ef4ec342744798afc38eee8ba0d3b.pdf" TargetMode="External" Id="rId1014" /><Relationship Type="http://schemas.openxmlformats.org/officeDocument/2006/relationships/hyperlink" Target="https://mathsgenie.co.uk/a-level/maths/edexcel/a-level-pure-mathematics-11-8-finding-areas" TargetMode="External" Id="rId1015" /><Relationship Type="http://schemas.openxmlformats.org/officeDocument/2006/relationships/hyperlink" Target="https://assets.mathsgenie.co.uk/content/worksheets/a_level_maths/year-2-integration-5dfd3517.pdf#page=65" TargetMode="External" Id="rId1016" /><Relationship Type="http://schemas.openxmlformats.org/officeDocument/2006/relationships/hyperlink" Target="https://assets.mathsgenie.co.uk/content/worksheets/a_level_maths/year-2-integration-ans-13355b71.pdf" TargetMode="External" Id="rId1017" /><Relationship Type="http://schemas.openxmlformats.org/officeDocument/2006/relationships/hyperlink" Target="https://pmt.physicsandmathstutor.com/download/Maths/A-level/Pure/Integration-2/Edexcel-Set-A/Finding%20Areas%20using%20Integration%202.pdf#page=5" TargetMode="External" Id="rId1018" /><Relationship Type="http://schemas.openxmlformats.org/officeDocument/2006/relationships/hyperlink" Target="https://www.yesterdaysmathsexam.com/_files/ugd/1ba96f_3778726d26a74080a3d371b325ddf02f.pdf#page=3" TargetMode="External" Id="rId1019" /><Relationship Type="http://schemas.openxmlformats.org/officeDocument/2006/relationships/hyperlink" Target="https://www.yesterdaysmathsexam.com/_files/ugd/1ba96f_721ef4ec342744798afc38eee8ba0d3b.pdf" TargetMode="External" Id="rId1020" /><Relationship Type="http://schemas.openxmlformats.org/officeDocument/2006/relationships/hyperlink" Target="https://mathsgenie.co.uk/a-level/maths/edexcel/a-level-pure-mathematics-11-8-finding-areas" TargetMode="External" Id="rId1021" /><Relationship Type="http://schemas.openxmlformats.org/officeDocument/2006/relationships/hyperlink" Target="https://assets.mathsgenie.co.uk/content/worksheets/a_level_maths/year-2-integration-5dfd3517.pdf#page=46" TargetMode="External" Id="rId1022" /><Relationship Type="http://schemas.openxmlformats.org/officeDocument/2006/relationships/hyperlink" Target="https://assets.mathsgenie.co.uk/content/worksheets/a_level_maths/year-2-integration-ans-13355b71.pdf" TargetMode="External" Id="rId1023" /><Relationship Type="http://schemas.openxmlformats.org/officeDocument/2006/relationships/hyperlink" Target="https://pmt.physicsandmathstutor.com/download/Maths/A-level/Pure/Integration-2/Edexcel-Set-C/QP/Definite%20Integration%20QP.pdf#page=1" TargetMode="External" Id="rId1024" /><Relationship Type="http://schemas.openxmlformats.org/officeDocument/2006/relationships/hyperlink" Target="https://pmt.physicsandmathstutor.com/download/Maths/A-level/Pure/Integration-2/Edexcel-Set-C/MS/Definite%20Integration%20MS.pdf" TargetMode="External" Id="rId1025" /><Relationship Type="http://schemas.openxmlformats.org/officeDocument/2006/relationships/hyperlink" Target="https://pmt.physicsandmathstutor.com/download/Maths/A-level/Pure/Integration-2/Edexcel-Set-C/MA/Definite%20Integration%20MA.pdf" TargetMode="External" Id="rId1026" /><Relationship Type="http://schemas.openxmlformats.org/officeDocument/2006/relationships/hyperlink" Target="https://www.yesterdaysmathsexam.com/_files/ugd/1ba96f_3778726d26a74080a3d371b325ddf02f.pdf#page=6" TargetMode="External" Id="rId1027" /><Relationship Type="http://schemas.openxmlformats.org/officeDocument/2006/relationships/hyperlink" Target="https://www.yesterdaysmathsexam.com/_files/ugd/1ba96f_721ef4ec342744798afc38eee8ba0d3b.pdf" TargetMode="External" Id="rId1028" /><Relationship Type="http://schemas.openxmlformats.org/officeDocument/2006/relationships/hyperlink" Target="https://mathsgenie.co.uk/a-level/maths/edexcel/a-level-pure-mathematics-11-8-finding-areas" TargetMode="External" Id="rId1029" /><Relationship Type="http://schemas.openxmlformats.org/officeDocument/2006/relationships/hyperlink" Target="https://assets.mathsgenie.co.uk/content/worksheets/a_level_maths/year-2-integration-5dfd3517.pdf#page=13" TargetMode="External" Id="rId1030" /><Relationship Type="http://schemas.openxmlformats.org/officeDocument/2006/relationships/hyperlink" Target="https://assets.mathsgenie.co.uk/content/worksheets/a_level_maths/year-2-integration-ans-13355b71.pdf" TargetMode="External" Id="rId1031" /><Relationship Type="http://schemas.openxmlformats.org/officeDocument/2006/relationships/hyperlink" Target="https://pmt.physicsandmathstutor.com/download/Maths/A-level/Pure/Integration-2/Edexcel-Set-C/QP/Parametric%20Integration%20QP.pdf#page=1" TargetMode="External" Id="rId1032" /><Relationship Type="http://schemas.openxmlformats.org/officeDocument/2006/relationships/hyperlink" Target="https://pmt.physicsandmathstutor.com/download/Maths/A-level/Pure/Integration-2/Edexcel-Set-C/MS/Parametric%20Integration%20MS.pdf" TargetMode="External" Id="rId1033" /><Relationship Type="http://schemas.openxmlformats.org/officeDocument/2006/relationships/hyperlink" Target="https://pmt.physicsandmathstutor.com/download/Maths/A-level/Pure/Integration-2/Edexcel-Set-C/MA/Parametric%20Integration%20MA.pdf" TargetMode="External" Id="rId1034" /><Relationship Type="http://schemas.openxmlformats.org/officeDocument/2006/relationships/hyperlink" Target="https://www.yesterdaysmathsexam.com/_files/ugd/1ba96f_6f7f4058adcf4c598f6176505e3ee32a.pdf#page=1" TargetMode="External" Id="rId1035" /><Relationship Type="http://schemas.openxmlformats.org/officeDocument/2006/relationships/hyperlink" Target="https://www.yesterdaysmathsexam.com/_files/ugd/1ba96f_f2d17d94e5c64a5991b28cffde4d004e.pdf" TargetMode="External" Id="rId1036" /><Relationship Type="http://schemas.openxmlformats.org/officeDocument/2006/relationships/hyperlink" Target="https://mathsgenie.co.uk/a-level/maths/edexcel/a-level-pure-mathematics-11-10-solving-differential-equations" TargetMode="External" Id="rId1037" /><Relationship Type="http://schemas.openxmlformats.org/officeDocument/2006/relationships/hyperlink" Target="https://assets.mathsgenie.co.uk/content/worksheets/a_level_maths/year-2-integration-5dfd3517.pdf#page=34" TargetMode="External" Id="rId1038" /><Relationship Type="http://schemas.openxmlformats.org/officeDocument/2006/relationships/hyperlink" Target="https://assets.mathsgenie.co.uk/content/worksheets/a_level_maths/year-2-integration-ans-13355b71.pdf" TargetMode="External" Id="rId1039" /><Relationship Type="http://schemas.openxmlformats.org/officeDocument/2006/relationships/hyperlink" Target="https://pmt.physicsandmathstutor.com/download/Maths/A-level/Pure/Integration-2/Edexcel-Set-C/QP/Solving%20Differential%20Equations%20QP.pdf#page=1" TargetMode="External" Id="rId1040" /><Relationship Type="http://schemas.openxmlformats.org/officeDocument/2006/relationships/hyperlink" Target="https://pmt.physicsandmathstutor.com/download/Maths/A-level/Pure/Integration-2/Edexcel-Set-C/MS/Solving%20Differential%20Equations%20MS.pdf" TargetMode="External" Id="rId1041" /><Relationship Type="http://schemas.openxmlformats.org/officeDocument/2006/relationships/hyperlink" Target="https://pmt.physicsandmathstutor.com/download/Maths/A-level/Pure/Integration-2/Edexcel-Set-C/MA/Solving%20Differential%20Equations%20MA.pdf" TargetMode="External" Id="rId1042" /><Relationship Type="http://schemas.openxmlformats.org/officeDocument/2006/relationships/hyperlink" Target="https://www.yesterdaysmathsexam.com/_files/ugd/1ba96f_3c940af8cffa4cad940bbd3375c6337d.pdf#page=1" TargetMode="External" Id="rId1043" /><Relationship Type="http://schemas.openxmlformats.org/officeDocument/2006/relationships/hyperlink" Target="https://www.yesterdaysmathsexam.com/_files/ugd/1ba96f_ae20a0be0c6043a18aff99d79c09ba98.pdf" TargetMode="External" Id="rId1044" /><Relationship Type="http://schemas.openxmlformats.org/officeDocument/2006/relationships/hyperlink" Target="https://mathsgenie.co.uk/a-level/maths/edexcel/a-level-pure-mathematics-11-11-modelling-with-differential-equations" TargetMode="External" Id="rId1045" /><Relationship Type="http://schemas.openxmlformats.org/officeDocument/2006/relationships/hyperlink" Target="https://assets.mathsgenie.co.uk/content/worksheets/a_level_maths/year-2-integration-5dfd3517.pdf#page=30" TargetMode="External" Id="rId1046" /><Relationship Type="http://schemas.openxmlformats.org/officeDocument/2006/relationships/hyperlink" Target="https://assets.mathsgenie.co.uk/content/worksheets/a_level_maths/year-2-integration-ans-13355b71.pdf" TargetMode="External" Id="rId1047" /><Relationship Type="http://schemas.openxmlformats.org/officeDocument/2006/relationships/hyperlink" Target="https://pmt.physicsandmathstutor.com/download/Maths/A-level/Pure/Integration-2/Edexcel-Set-C/QP/Solving%20Differential%20Equations%20QP.pdf#page=1" TargetMode="External" Id="rId1048" /><Relationship Type="http://schemas.openxmlformats.org/officeDocument/2006/relationships/hyperlink" Target="https://pmt.physicsandmathstutor.com/download/Maths/A-level/Pure/Integration-2/Edexcel-Set-C/MS/Solving%20Differential%20Equations%20MS.pdf" TargetMode="External" Id="rId1049" /><Relationship Type="http://schemas.openxmlformats.org/officeDocument/2006/relationships/hyperlink" Target="https://pmt.physicsandmathstutor.com/download/Maths/A-level/Pure/Integration-2/Edexcel-Set-C/MA/Solving%20Differential%20Equations%20MA.pdf" TargetMode="External" Id="rId1050" /><Relationship Type="http://schemas.openxmlformats.org/officeDocument/2006/relationships/hyperlink" Target="https://www.yesterdaysmathsexam.com/_files/ugd/1ba96f_3c940af8cffa4cad940bbd3375c6337d.pdf#page=1" TargetMode="External" Id="rId1051" /><Relationship Type="http://schemas.openxmlformats.org/officeDocument/2006/relationships/hyperlink" Target="https://www.yesterdaysmathsexam.com/_files/ugd/1ba96f_ae20a0be0c6043a18aff99d79c09ba98.pdf" TargetMode="External" Id="rId1052" /><Relationship Type="http://schemas.openxmlformats.org/officeDocument/2006/relationships/hyperlink" Target="https://mathsgenie.co.uk/a-level/maths/edexcel/a-level-pure-mathematics-10-1-locating-roots" TargetMode="External" Id="rId1053" /><Relationship Type="http://schemas.openxmlformats.org/officeDocument/2006/relationships/hyperlink" Target="https://assets.mathsgenie.co.uk/content/worksheets/a_level_maths/numerical-methods-0f2c788a.pdf#page=2" TargetMode="External" Id="rId1054" /><Relationship Type="http://schemas.openxmlformats.org/officeDocument/2006/relationships/hyperlink" Target="https://assets.mathsgenie.co.uk/content/worksheets/a_level_maths/numerical-methods-ans-795c2317.pdf" TargetMode="External" Id="rId1055" /><Relationship Type="http://schemas.openxmlformats.org/officeDocument/2006/relationships/hyperlink" Target="https://pmt.physicsandmathstutor.com/download/Maths/A-level/Pure/Numerical-Methods-2/Edexcel-Set-C/QP/Location%20of%20Roots%20QP.pdf#page=1" TargetMode="External" Id="rId1056" /><Relationship Type="http://schemas.openxmlformats.org/officeDocument/2006/relationships/hyperlink" Target="https://pmt.physicsandmathstutor.com/download/Maths/A-level/Pure/Numerical-Methods-2/Edexcel-Set-C/MS/Location%20of%20Roots%20MS.pdf" TargetMode="External" Id="rId1057" /><Relationship Type="http://schemas.openxmlformats.org/officeDocument/2006/relationships/hyperlink" Target="https://pmt.physicsandmathstutor.com/download/Maths/A-level/Pure/Numerical-Methods-2/Edexcel-Set-C/MA/Location%20of%20Roots%20MA.pdf" TargetMode="External" Id="rId1058" /><Relationship Type="http://schemas.openxmlformats.org/officeDocument/2006/relationships/hyperlink" Target="https://www.yesterdaysmathsexam.com/_files/ugd/1ba96f_39265d7fdc7e4a2cb82e20ebb2547b48.pdf#page=1" TargetMode="External" Id="rId1059" /><Relationship Type="http://schemas.openxmlformats.org/officeDocument/2006/relationships/hyperlink" Target="https://www.yesterdaysmathsexam.com/_files/ugd/1ba96f_246f6fc138e54b5ea0ee8f4d861d3084.pdf" TargetMode="External" Id="rId1060" /><Relationship Type="http://schemas.openxmlformats.org/officeDocument/2006/relationships/hyperlink" Target="https://mathsgenie.co.uk/a-level/maths/edexcel/a-level-pure-mathematics-10-2-iteration" TargetMode="External" Id="rId1061" /><Relationship Type="http://schemas.openxmlformats.org/officeDocument/2006/relationships/hyperlink" Target="https://assets.mathsgenie.co.uk/content/worksheets/a_level_maths/numerical-methods-0f2c788a.pdf#page=2" TargetMode="External" Id="rId1062" /><Relationship Type="http://schemas.openxmlformats.org/officeDocument/2006/relationships/hyperlink" Target="https://assets.mathsgenie.co.uk/content/worksheets/a_level_maths/numerical-methods-ans-795c2317.pdf" TargetMode="External" Id="rId1063" /><Relationship Type="http://schemas.openxmlformats.org/officeDocument/2006/relationships/hyperlink" Target="https://pmt.physicsandmathstutor.com/download/Maths/A-level/Pure/Numerical-Methods-2/Edexcel-Set-C/QP/Iterative%20Equations%20QP.pdf#page=1" TargetMode="External" Id="rId1064" /><Relationship Type="http://schemas.openxmlformats.org/officeDocument/2006/relationships/hyperlink" Target="https://pmt.physicsandmathstutor.com/download/Maths/A-level/Pure/Numerical-Methods-2/Edexcel-Set-C/MS/Iterative%20Equations%20MS.pdf" TargetMode="External" Id="rId1065" /><Relationship Type="http://schemas.openxmlformats.org/officeDocument/2006/relationships/hyperlink" Target="https://pmt.physicsandmathstutor.com/download/Maths/A-level/Pure/Numerical-Methods-2/Edexcel-Set-C/MA/Iterative%20Equations%20MA.pdf" TargetMode="External" Id="rId1066" /><Relationship Type="http://schemas.openxmlformats.org/officeDocument/2006/relationships/hyperlink" Target="https://www.yesterdaysmathsexam.com/_files/ugd/1ba96f_39265d7fdc7e4a2cb82e20ebb2547b48.pdf#page=1" TargetMode="External" Id="rId1067" /><Relationship Type="http://schemas.openxmlformats.org/officeDocument/2006/relationships/hyperlink" Target="https://www.yesterdaysmathsexam.com/_files/ugd/1ba96f_246f6fc138e54b5ea0ee8f4d861d3084.pdf" TargetMode="External" Id="rId1068" /><Relationship Type="http://schemas.openxmlformats.org/officeDocument/2006/relationships/hyperlink" Target="https://mathsgenie.co.uk/a-level/maths/edexcel/a-level-pure-mathematics-10-3-the-newton-raphson-method" TargetMode="External" Id="rId1069" /><Relationship Type="http://schemas.openxmlformats.org/officeDocument/2006/relationships/hyperlink" Target="https://assets.mathsgenie.co.uk/content/worksheets/a_level_maths/numerical-methods-0f2c788a.pdf#page=9" TargetMode="External" Id="rId1070" /><Relationship Type="http://schemas.openxmlformats.org/officeDocument/2006/relationships/hyperlink" Target="https://assets.mathsgenie.co.uk/content/worksheets/a_level_maths/numerical-methods-ans-795c2317.pdf" TargetMode="External" Id="rId1071" /><Relationship Type="http://schemas.openxmlformats.org/officeDocument/2006/relationships/hyperlink" Target="https://pmt.physicsandmathstutor.com/download/Maths/A-level/Pure/Numerical-Methods-2/Edexcel-Set-C/QP/Newton%20Raphson%20QP.pdf#page=1" TargetMode="External" Id="rId1072" /><Relationship Type="http://schemas.openxmlformats.org/officeDocument/2006/relationships/hyperlink" Target="https://pmt.physicsandmathstutor.com/download/Maths/A-level/Pure/Numerical-Methods-2/Edexcel-Set-C/MS/Newton%20Raphson%20MS.pdf" TargetMode="External" Id="rId1073" /><Relationship Type="http://schemas.openxmlformats.org/officeDocument/2006/relationships/hyperlink" Target="https://pmt.physicsandmathstutor.com/download/Maths/A-level/Pure/Numerical-Methods-2/Edexcel-Set-C/MA/Newton%20Raphson%20MA.pdf" TargetMode="External" Id="rId1074" /><Relationship Type="http://schemas.openxmlformats.org/officeDocument/2006/relationships/hyperlink" Target="https://www.yesterdaysmathsexam.com/_files/ugd/1ba96f_39265d7fdc7e4a2cb82e20ebb2547b48.pdf#page=2" TargetMode="External" Id="rId1075" /><Relationship Type="http://schemas.openxmlformats.org/officeDocument/2006/relationships/hyperlink" Target="https://www.yesterdaysmathsexam.com/_files/ugd/1ba96f_246f6fc138e54b5ea0ee8f4d861d3084.pdf" TargetMode="External" Id="rId1076" /><Relationship Type="http://schemas.openxmlformats.org/officeDocument/2006/relationships/hyperlink" Target="https://mathsgenie.co.uk/a-level/maths/edexcel/a-level-pure-mathematics-11-9-the-trapezium-rule" TargetMode="External" Id="rId1077" /><Relationship Type="http://schemas.openxmlformats.org/officeDocument/2006/relationships/hyperlink" Target="https://assets.mathsgenie.co.uk/content/worksheets/a_level_maths/year-2-integration-5dfd3517.pdf#page=52" TargetMode="External" Id="rId1078" /><Relationship Type="http://schemas.openxmlformats.org/officeDocument/2006/relationships/hyperlink" Target="https://assets.mathsgenie.co.uk/content/worksheets/a_level_maths/year-2-integration-ans-13355b71.pdf" TargetMode="External" Id="rId1079" /><Relationship Type="http://schemas.openxmlformats.org/officeDocument/2006/relationships/hyperlink" Target="https://pmt.physicsandmathstutor.com/download/Maths/A-level/Pure/Integration-2/Edexcel-Set-C/QP/Trapezium%20Rule%20QP.pdf#page=1" TargetMode="External" Id="rId1080" /><Relationship Type="http://schemas.openxmlformats.org/officeDocument/2006/relationships/hyperlink" Target="https://pmt.physicsandmathstutor.com/download/Maths/A-level/Pure/Integration-2/Edexcel-Set-C/MS/Trapezium%20Rule%20MS.pdf" TargetMode="External" Id="rId1081" /><Relationship Type="http://schemas.openxmlformats.org/officeDocument/2006/relationships/hyperlink" Target="https://pmt.physicsandmathstutor.com/download/Maths/A-level/Pure/Integration-2/Edexcel-Set-C/MA/Trapezium%20Rule%20MA.pdf" TargetMode="External" Id="rId1082" /><Relationship Type="http://schemas.openxmlformats.org/officeDocument/2006/relationships/hyperlink" Target="https://www.yesterdaysmathsexam.com/_files/ugd/1ba96f_77ba3b7f67e842ea93e4d7381116a3ce.pdf#page=1" TargetMode="External" Id="rId1083" /><Relationship Type="http://schemas.openxmlformats.org/officeDocument/2006/relationships/hyperlink" Target="https://www.yesterdaysmathsexam.com/_files/ugd/1ba96f_aa7d703a24f2497f8102a0e30806c55f.pdf" TargetMode="External" Id="rId1084" /><Relationship Type="http://schemas.openxmlformats.org/officeDocument/2006/relationships/hyperlink" Target="https://mathsgenie.co.uk/a-level/maths/edexcel/a-level-pure-mathematics-10-4-applications-to-modelling" TargetMode="External" Id="rId1085" /><Relationship Type="http://schemas.openxmlformats.org/officeDocument/2006/relationships/hyperlink" Target="https://assets.mathsgenie.co.uk/content/worksheets/a_level_maths/numerical-methods-0f2c788a.pdf#page=19" TargetMode="External" Id="rId1086" /><Relationship Type="http://schemas.openxmlformats.org/officeDocument/2006/relationships/hyperlink" Target="https://assets.mathsgenie.co.uk/content/worksheets/a_level_maths/numerical-methods-ans-795c2317.pdf" TargetMode="External" Id="rId1087" /><Relationship Type="http://schemas.openxmlformats.org/officeDocument/2006/relationships/hyperlink" Target="https://pmt.physicsandmathstutor.com/download/Maths/A-level/Pure/Numerical-Methods-2/Edexcel-Set-C/QP/Iterative%20Equations%20QP.pdf#page=2" TargetMode="External" Id="rId1088" /><Relationship Type="http://schemas.openxmlformats.org/officeDocument/2006/relationships/hyperlink" Target="https://pmt.physicsandmathstutor.com/download/Maths/A-level/Pure/Numerical-Methods-2/Edexcel-Set-C/MS/Iterative%20Equations%20MS.pdf" TargetMode="External" Id="rId1089" /><Relationship Type="http://schemas.openxmlformats.org/officeDocument/2006/relationships/hyperlink" Target="https://pmt.physicsandmathstutor.com/download/Maths/A-level/Pure/Numerical-Methods-2/Edexcel-Set-C/MA/Iterative%20Equations%20MA.pdf" TargetMode="External" Id="rId1090" /><Relationship Type="http://schemas.openxmlformats.org/officeDocument/2006/relationships/hyperlink" Target="https://www.yesterdaysmathsexam.com/_files/ugd/1ba96f_77ba3b7f67e842ea93e4d7381116a3ce.pdf#page=1" TargetMode="External" Id="rId1091" /><Relationship Type="http://schemas.openxmlformats.org/officeDocument/2006/relationships/hyperlink" Target="https://www.yesterdaysmathsexam.com/_files/ugd/1ba96f_aa7d703a24f2497f8102a0e30806c55f.pdf" TargetMode="External" Id="rId1092" /><Relationship Type="http://schemas.openxmlformats.org/officeDocument/2006/relationships/hyperlink" Target="https://mathsgenie.co.uk/a-level/maths/edexcel/as-pure-mathematics-11-2-representing-vectors" TargetMode="External" Id="rId1093" /><Relationship Type="http://schemas.openxmlformats.org/officeDocument/2006/relationships/hyperlink" Target="https://pmt.physicsandmathstutor.com/download/Maths/A-level/Pure/Vectors-1/Solomon/2a.%20Cartesian%20components%20of%20a%20vector.pdf#page=1" TargetMode="External" Id="rId1094" /><Relationship Type="http://schemas.openxmlformats.org/officeDocument/2006/relationships/hyperlink" Target="https://pmt.physicsandmathstutor.com/download/Maths/A-level/Pure/Vectors-1/Solomon/2b.%20Cartesian%20components%20of%20a%20vector%20-%20Answers.pdf" TargetMode="External" Id="rId1095" /><Relationship Type="http://schemas.openxmlformats.org/officeDocument/2006/relationships/hyperlink" Target="https://mathsgenie.co.uk/a-level/maths/edexcel/as-pure-mathematics-11-1-vectors" TargetMode="External" Id="rId1096" /><Relationship Type="http://schemas.openxmlformats.org/officeDocument/2006/relationships/hyperlink" Target="https://assets.mathsgenie.co.uk/content/worksheets/a_level_maths/as-pure-mathematics-11-vectors-medium-e76c96b0.pdf#page=1" TargetMode="External" Id="rId1097" /><Relationship Type="http://schemas.openxmlformats.org/officeDocument/2006/relationships/hyperlink" Target="https://assets.mathsgenie.co.uk/content/worksheets/a_level_maths/as-pure-mathematics-11-vectors-medium-ans-ce78750a.pdf" TargetMode="External" Id="rId1098" /><Relationship Type="http://schemas.openxmlformats.org/officeDocument/2006/relationships/hyperlink" Target="https://pmt.physicsandmathstutor.com/download/Maths/A-level/Pure/Vectors-1/Edexcel-Set-C/QP/Vectors%20QP.pdf#page=2" TargetMode="External" Id="rId1099" /><Relationship Type="http://schemas.openxmlformats.org/officeDocument/2006/relationships/hyperlink" Target="https://pmt.physicsandmathstutor.com/download/Maths/A-level/Pure/Vectors-1/Edexcel-Set-C/MS/Vectors%20MS.pdf" TargetMode="External" Id="rId1100" /><Relationship Type="http://schemas.openxmlformats.org/officeDocument/2006/relationships/hyperlink" Target="https://pmt.physicsandmathstutor.com/download/Maths/A-level/Pure/Vectors-1/Edexcel-Set-C/MA/Vectors%20MA.pdf" TargetMode="External" Id="rId1101" /><Relationship Type="http://schemas.openxmlformats.org/officeDocument/2006/relationships/hyperlink" Target="https://www.yesterdaysmathsexam.com/_files/ugd/1ba96f_d8db080ca04f438598b2ff46c5401518.pdf#page=2" TargetMode="External" Id="rId1102" /><Relationship Type="http://schemas.openxmlformats.org/officeDocument/2006/relationships/hyperlink" Target="https://www.yesterdaysmathsexam.com/_files/ugd/1ba96f_ed01c186ad834beba163b5d976445ff7.pdf" TargetMode="External" Id="rId1103" /><Relationship Type="http://schemas.openxmlformats.org/officeDocument/2006/relationships/hyperlink" Target="https://mathsgenie.co.uk/a-level/maths/edexcel/as-pure-mathematics-11-3-magnitude-and-direction" TargetMode="External" Id="rId1104" /><Relationship Type="http://schemas.openxmlformats.org/officeDocument/2006/relationships/hyperlink" Target="https://assets.mathsgenie.co.uk/content/worksheets/as_level_maths/as-pure-vectors-89a0206f.pdf#page=1" TargetMode="External" Id="rId1105" /><Relationship Type="http://schemas.openxmlformats.org/officeDocument/2006/relationships/hyperlink" Target="https://assets.mathsgenie.co.uk/content/worksheets/as_level_maths/as-pure-vectors-ans-1461a0bf.pdf" TargetMode="External" Id="rId1106" /><Relationship Type="http://schemas.openxmlformats.org/officeDocument/2006/relationships/hyperlink" Target="https://pmt.physicsandmathstutor.com/download/Maths/A-level/Pure/Vectors-1/Edexcel-Set-C/QP/Vectors%20QP.pdf#page=2" TargetMode="External" Id="rId1107" /><Relationship Type="http://schemas.openxmlformats.org/officeDocument/2006/relationships/hyperlink" Target="https://pmt.physicsandmathstutor.com/download/Maths/A-level/Pure/Vectors-1/Edexcel-Set-C/MS/Vectors%20MS.pdf" TargetMode="External" Id="rId1108" /><Relationship Type="http://schemas.openxmlformats.org/officeDocument/2006/relationships/hyperlink" Target="https://pmt.physicsandmathstutor.com/download/Maths/A-level/Pure/Vectors-1/Edexcel-Set-C/MA/Vectors%20MA.pdf" TargetMode="External" Id="rId1109" /><Relationship Type="http://schemas.openxmlformats.org/officeDocument/2006/relationships/hyperlink" Target="https://www.yesterdaysmathsexam.com/_files/ugd/1ba96f_f7438ab96b614afdb09879de1c330acd.pdf#page=1" TargetMode="External" Id="rId1110" /><Relationship Type="http://schemas.openxmlformats.org/officeDocument/2006/relationships/hyperlink" Target="https://www.yesterdaysmathsexam.com/_files/ugd/1ba96f_3d6d5d43c835497484d6aa06a4c913bb.pdf" TargetMode="External" Id="rId1111" /><Relationship Type="http://schemas.openxmlformats.org/officeDocument/2006/relationships/hyperlink" Target="https://mathsgenie.co.uk/a-level/maths/edexcel/as-pure-mathematics-11-4-position-vectors" TargetMode="External" Id="rId1112" /><Relationship Type="http://schemas.openxmlformats.org/officeDocument/2006/relationships/hyperlink" Target="https://assets.mathsgenie.co.uk/content/worksheets/a_level_maths/as-pure-mathematics-11-vectors-medium-e76c96b0.pdf#page=1" TargetMode="External" Id="rId1113" /><Relationship Type="http://schemas.openxmlformats.org/officeDocument/2006/relationships/hyperlink" Target="https://assets.mathsgenie.co.uk/content/worksheets/a_level_maths/as-pure-mathematics-11-vectors-medium-ans-ce78750a.pdf" TargetMode="External" Id="rId1114" /><Relationship Type="http://schemas.openxmlformats.org/officeDocument/2006/relationships/hyperlink" Target="https://pmt.physicsandmathstutor.com/download/Maths/A-level/Pure/Vectors-1/Edexcel-Set-C/QP/Vectors%20QP.pdf#page=1" TargetMode="External" Id="rId1115" /><Relationship Type="http://schemas.openxmlformats.org/officeDocument/2006/relationships/hyperlink" Target="https://pmt.physicsandmathstutor.com/download/Maths/A-level/Pure/Vectors-1/Edexcel-Set-C/MS/Vectors%20MS.pdf" TargetMode="External" Id="rId1116" /><Relationship Type="http://schemas.openxmlformats.org/officeDocument/2006/relationships/hyperlink" Target="https://pmt.physicsandmathstutor.com/download/Maths/A-level/Pure/Vectors-1/Edexcel-Set-C/MA/Vectors%20MA.pdf" TargetMode="External" Id="rId1117" /><Relationship Type="http://schemas.openxmlformats.org/officeDocument/2006/relationships/hyperlink" Target="https://www.yesterdaysmathsexam.com/_files/ugd/1ba96f_f7438ab96b614afdb09879de1c330acd.pdf#page=1" TargetMode="External" Id="rId1118" /><Relationship Type="http://schemas.openxmlformats.org/officeDocument/2006/relationships/hyperlink" Target="https://www.yesterdaysmathsexam.com/_files/ugd/1ba96f_3d6d5d43c835497484d6aa06a4c913bb.pdf" TargetMode="External" Id="rId1119" /><Relationship Type="http://schemas.openxmlformats.org/officeDocument/2006/relationships/hyperlink" Target="https://mathsgenie.co.uk/a-level/maths/edexcel/as-pure-mathematics-11-5-solving-geometric-problems" TargetMode="External" Id="rId1120" /><Relationship Type="http://schemas.openxmlformats.org/officeDocument/2006/relationships/hyperlink" Target="https://assets.mathsgenie.co.uk/content/worksheets/a_level_maths/as-pure-mathematics-11-vectors-medium-e76c96b0.pdf#page=4" TargetMode="External" Id="rId1121" /><Relationship Type="http://schemas.openxmlformats.org/officeDocument/2006/relationships/hyperlink" Target="https://assets.mathsgenie.co.uk/content/worksheets/a_level_maths/as-pure-mathematics-11-vectors-medium-ans-ce78750a.pdf" TargetMode="External" Id="rId1122" /><Relationship Type="http://schemas.openxmlformats.org/officeDocument/2006/relationships/hyperlink" Target="https://pmt.physicsandmathstutor.com/download/Maths/A-level/Pure/Vectors-1/Edexcel-Set-C/QP/Vectors%20QP.pdf#page=2" TargetMode="External" Id="rId1123" /><Relationship Type="http://schemas.openxmlformats.org/officeDocument/2006/relationships/hyperlink" Target="https://pmt.physicsandmathstutor.com/download/Maths/A-level/Pure/Vectors-1/Edexcel-Set-C/MS/Vectors%20MS.pdf" TargetMode="External" Id="rId1124" /><Relationship Type="http://schemas.openxmlformats.org/officeDocument/2006/relationships/hyperlink" Target="https://pmt.physicsandmathstutor.com/download/Maths/A-level/Pure/Vectors-1/Edexcel-Set-C/MA/Vectors%20MA.pdf" TargetMode="External" Id="rId1125" /><Relationship Type="http://schemas.openxmlformats.org/officeDocument/2006/relationships/hyperlink" Target="https://www.yesterdaysmathsexam.com/_files/ugd/1ba96f_f7438ab96b614afdb09879de1c330acd.pdf#page=2" TargetMode="External" Id="rId1126" /><Relationship Type="http://schemas.openxmlformats.org/officeDocument/2006/relationships/hyperlink" Target="https://www.yesterdaysmathsexam.com/_files/ugd/1ba96f_3d6d5d43c835497484d6aa06a4c913bb.pdf" TargetMode="External" Id="rId1127" /><Relationship Type="http://schemas.openxmlformats.org/officeDocument/2006/relationships/hyperlink" Target="https://mathsgenie.co.uk/a-level/maths/edexcel/as-pure-mathematics-11-6-modelling-with-vectors" TargetMode="External" Id="rId1128" /><Relationship Type="http://schemas.openxmlformats.org/officeDocument/2006/relationships/hyperlink" Target="https://assets.mathsgenie.co.uk/content/worksheets/a_level_maths/as-pure-mathematics-11-vectors-medium-e76c96b0.pdf#page=2" TargetMode="External" Id="rId1129" /><Relationship Type="http://schemas.openxmlformats.org/officeDocument/2006/relationships/hyperlink" Target="https://assets.mathsgenie.co.uk/content/worksheets/a_level_maths/as-pure-mathematics-11-vectors-medium-ans-ce78750a.pdf" TargetMode="External" Id="rId1130" /><Relationship Type="http://schemas.openxmlformats.org/officeDocument/2006/relationships/hyperlink" Target="https://pmt.physicsandmathstutor.com/download/Maths/A-level/Pure/Vectors-1/Edexcel-Set-C/QP/Vectors%20QP.pdf#page=1" TargetMode="External" Id="rId1131" /><Relationship Type="http://schemas.openxmlformats.org/officeDocument/2006/relationships/hyperlink" Target="https://pmt.physicsandmathstutor.com/download/Maths/A-level/Pure/Vectors-1/Edexcel-Set-C/MS/Vectors%20MS.pdf" TargetMode="External" Id="rId1132" /><Relationship Type="http://schemas.openxmlformats.org/officeDocument/2006/relationships/hyperlink" Target="https://pmt.physicsandmathstutor.com/download/Maths/A-level/Pure/Vectors-1/Edexcel-Set-C/MA/Vectors%20MA.pdf" TargetMode="External" Id="rId1133" /><Relationship Type="http://schemas.openxmlformats.org/officeDocument/2006/relationships/hyperlink" Target="https://www.yesterdaysmathsexam.com/_files/ugd/1ba96f_f7438ab96b614afdb09879de1c330acd.pdf#page=3" TargetMode="External" Id="rId1134" /><Relationship Type="http://schemas.openxmlformats.org/officeDocument/2006/relationships/hyperlink" Target="https://www.yesterdaysmathsexam.com/_files/ugd/1ba96f_3d6d5d43c835497484d6aa06a4c913bb.pdf" TargetMode="External" Id="rId1135" /><Relationship Type="http://schemas.openxmlformats.org/officeDocument/2006/relationships/hyperlink" Target="https://mathsgenie.co.uk/a-level/maths/edexcel/a-level-pure-mathematics-12-2-vectors-in-3d" TargetMode="External" Id="rId1136" /><Relationship Type="http://schemas.openxmlformats.org/officeDocument/2006/relationships/hyperlink" Target="https://assets.mathsgenie.co.uk/content/worksheets/a_level_maths/3d-vectors-159ab14f.pdf#page=1" TargetMode="External" Id="rId1137" /><Relationship Type="http://schemas.openxmlformats.org/officeDocument/2006/relationships/hyperlink" Target="https://assets.mathsgenie.co.uk/content/worksheets/a_level_maths/3d-vectors-ans-1b4dfe6b.pdf" TargetMode="External" Id="rId1138" /><Relationship Type="http://schemas.openxmlformats.org/officeDocument/2006/relationships/hyperlink" Target="https://pmt.physicsandmathstutor.com/download/Maths/A-level/Pure/Vectors-1/Edexcel-Set-C/QP/Vectors%20QP.pdf#page=4" TargetMode="External" Id="rId1139" /><Relationship Type="http://schemas.openxmlformats.org/officeDocument/2006/relationships/hyperlink" Target="https://pmt.physicsandmathstutor.com/download/Maths/A-level/Pure/Vectors-1/Edexcel-Set-C/MS/Vectors%20MS.pdf" TargetMode="External" Id="rId1140" /><Relationship Type="http://schemas.openxmlformats.org/officeDocument/2006/relationships/hyperlink" Target="https://pmt.physicsandmathstutor.com/download/Maths/A-level/Pure/Vectors-1/Edexcel-Set-C/MA/Vectors%20MA.pdf" TargetMode="External" Id="rId1141" /><Relationship Type="http://schemas.openxmlformats.org/officeDocument/2006/relationships/hyperlink" Target="https://www.yesterdaysmathsexam.com/_files/ugd/1ba96f_d8db080ca04f438598b2ff46c5401518.pdf#page=1" TargetMode="External" Id="rId1142" /><Relationship Type="http://schemas.openxmlformats.org/officeDocument/2006/relationships/hyperlink" Target="https://www.yesterdaysmathsexam.com/_files/ugd/1ba96f_ed01c186ad834beba163b5d976445ff7.pdf" TargetMode="External" Id="rId1143" /><Relationship Type="http://schemas.openxmlformats.org/officeDocument/2006/relationships/hyperlink" Target="https://mathsgenie.co.uk/a-level/maths/edexcel/a-level-pure-mathematics-12-3-solving-geometric-problems" TargetMode="External" Id="rId1144" /><Relationship Type="http://schemas.openxmlformats.org/officeDocument/2006/relationships/hyperlink" Target="https://assets.mathsgenie.co.uk/content/worksheets/a_level_maths/3d-vectors-159ab14f.pdf#page=6" TargetMode="External" Id="rId1145" /><Relationship Type="http://schemas.openxmlformats.org/officeDocument/2006/relationships/hyperlink" Target="https://assets.mathsgenie.co.uk/content/worksheets/a_level_maths/3d-vectors-ans-1b4dfe6b.pdf" TargetMode="External" Id="rId1146" /><Relationship Type="http://schemas.openxmlformats.org/officeDocument/2006/relationships/hyperlink" Target="https://pmt.physicsandmathstutor.com/download/Maths/A-level/Pure/Vectors-1/Edexcel-Set-C/QP/Vectors%20QP.pdf#page=4" TargetMode="External" Id="rId1147" /><Relationship Type="http://schemas.openxmlformats.org/officeDocument/2006/relationships/hyperlink" Target="https://pmt.physicsandmathstutor.com/download/Maths/A-level/Pure/Vectors-1/Edexcel-Set-C/MS/Vectors%20MS.pdf" TargetMode="External" Id="rId1148" /><Relationship Type="http://schemas.openxmlformats.org/officeDocument/2006/relationships/hyperlink" Target="https://pmt.physicsandmathstutor.com/download/Maths/A-level/Pure/Vectors-1/Edexcel-Set-C/MA/Vectors%20MA.pdf" TargetMode="External" Id="rId1149" /><Relationship Type="http://schemas.openxmlformats.org/officeDocument/2006/relationships/hyperlink" Target="https://www.yesterdaysmathsexam.com/_files/ugd/1ba96f_d8db080ca04f438598b2ff46c5401518.pdf#page=1" TargetMode="External" Id="rId1150" /><Relationship Type="http://schemas.openxmlformats.org/officeDocument/2006/relationships/hyperlink" Target="https://www.yesterdaysmathsexam.com/_files/ugd/1ba96f_ed01c186ad834beba163b5d976445ff7.pdf" TargetMode="External" Id="rId1151" /><Relationship Type="http://schemas.openxmlformats.org/officeDocument/2006/relationships/hyperlink" Target="https://mathsgenie.co.uk/a-level/maths/edexcel/a-level-pure-mathematics-12-4-application-to-mechanics" TargetMode="External" Id="rId1152" /><Relationship Type="http://schemas.openxmlformats.org/officeDocument/2006/relationships/hyperlink" Target="https://assets.mathsgenie.co.uk/content/worksheets/a_level_maths/a-level-pure-mathematics-12-vectors-medium-1060348d.pdf#page=1" TargetMode="External" Id="rId1153" /><Relationship Type="http://schemas.openxmlformats.org/officeDocument/2006/relationships/hyperlink" Target="https://assets.mathsgenie.co.uk/content/worksheets/a_level_maths/a-level-pure-mathematics-12-vectors-medium-ans-ddafc1b8.pdf" TargetMode="External" Id="rId1154" /><Relationship Type="http://schemas.openxmlformats.org/officeDocument/2006/relationships/hyperlink" Target="https://pmt.physicsandmathstutor.com/download/Maths/A-level/Pure/Vectors-1/Solomon/2a.%20Cartesian%20components%20of%20a%20vector.pdf#page=2" TargetMode="External" Id="rId1155" /><Relationship Type="http://schemas.openxmlformats.org/officeDocument/2006/relationships/hyperlink" Target="https://pmt.physicsandmathstutor.com/download/Maths/A-level/Pure/Vectors-1/Solomon/2b.%20Cartesian%20components%20of%20a%20vector%20-%20Answers.pdf" TargetMode="External" Id="rId115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mathsgenie.co.uk/a-level/maths/edexcel/as-statistics-populations-and-samples" TargetMode="External" Id="rId1" /><Relationship Type="http://schemas.openxmlformats.org/officeDocument/2006/relationships/hyperlink" Target="https://assets.mathsgenie.co.uk/content/worksheets/a_level_maths/as-stats-sampling-ac589b09.pdf#page=2" TargetMode="External" Id="rId2" /><Relationship Type="http://schemas.openxmlformats.org/officeDocument/2006/relationships/hyperlink" Target="https://assets.mathsgenie.co.uk/content/worksheets/a_level_maths/as-stats-sampling-ans-43791cab.pdf" TargetMode="External" Id="rId3" /><Relationship Type="http://schemas.openxmlformats.org/officeDocument/2006/relationships/hyperlink" Target="https://pmt.physicsandmathstutor.com/download/Maths/A-level/Statistics/Statistical-Sampling-1/Edexcel-Set-A/Sampling%20methods%201.pdf#page=1" TargetMode="External" Id="rId4" /><Relationship Type="http://schemas.openxmlformats.org/officeDocument/2006/relationships/hyperlink" Target="https://www.yesterdaysmathsexam.com/_files/ugd/1ba96f_ae6001c8146345e3859382ba631913c1.pdf#page=11" TargetMode="External" Id="rId5" /><Relationship Type="http://schemas.openxmlformats.org/officeDocument/2006/relationships/hyperlink" Target="https://www.yesterdaysmathsexam.com/_files/ugd/1ba96f_adbe4528a54544dfb83eceef712324fc.pdf" TargetMode="External" Id="rId6" /><Relationship Type="http://schemas.openxmlformats.org/officeDocument/2006/relationships/hyperlink" Target="https://mathsgenie.co.uk/a-level/maths/edexcel/as-statistics-sampling" TargetMode="External" Id="rId7" /><Relationship Type="http://schemas.openxmlformats.org/officeDocument/2006/relationships/hyperlink" Target="https://assets.mathsgenie.co.uk/content/worksheets/a_level_maths/as-stats-sampling-ac589b09.pdf#page=1" TargetMode="External" Id="rId8" /><Relationship Type="http://schemas.openxmlformats.org/officeDocument/2006/relationships/hyperlink" Target="https://assets.mathsgenie.co.uk/content/worksheets/a_level_maths/as-stats-sampling-ans-43791cab.pdf" TargetMode="External" Id="rId9" /><Relationship Type="http://schemas.openxmlformats.org/officeDocument/2006/relationships/hyperlink" Target="https://pmt.physicsandmathstutor.com/download/Maths/A-level/Statistics/Statistical-Sampling-1/Edexcel-Set-A/Sampling%20methods%202.pdf#page=1" TargetMode="External" Id="rId10" /><Relationship Type="http://schemas.openxmlformats.org/officeDocument/2006/relationships/hyperlink" Target="https://www.yesterdaysmathsexam.com/_files/ugd/1ba96f_ed618757efba4c6dbf26ec788ee2a1d7.pdf#page=2" TargetMode="External" Id="rId11" /><Relationship Type="http://schemas.openxmlformats.org/officeDocument/2006/relationships/hyperlink" Target="https://www.yesterdaysmathsexam.com/_files/ugd/1ba96f_2e8e13ab7ba149ae98e184013ef23684.pdf" TargetMode="External" Id="rId12" /><Relationship Type="http://schemas.openxmlformats.org/officeDocument/2006/relationships/hyperlink" Target="https://mathsgenie.co.uk/a-level/maths/edexcel/as-statistics-non-random-sampling" TargetMode="External" Id="rId13" /><Relationship Type="http://schemas.openxmlformats.org/officeDocument/2006/relationships/hyperlink" Target="https://assets.mathsgenie.co.uk/content/worksheets/a_level_maths/as-stats-sampling-ac589b09.pdf#page=1" TargetMode="External" Id="rId14" /><Relationship Type="http://schemas.openxmlformats.org/officeDocument/2006/relationships/hyperlink" Target="https://assets.mathsgenie.co.uk/content/worksheets/a_level_maths/as-stats-sampling-ans-43791cab.pdf" TargetMode="External" Id="rId15" /><Relationship Type="http://schemas.openxmlformats.org/officeDocument/2006/relationships/hyperlink" Target="https://pmt.physicsandmathstutor.com/download/Maths/A-level/Statistics/Statistical-Sampling-1/Edexcel-Set-A/Sampling%20methods%202.pdf#page=2" TargetMode="External" Id="rId16" /><Relationship Type="http://schemas.openxmlformats.org/officeDocument/2006/relationships/hyperlink" Target="https://www.yesterdaysmathsexam.com/_files/ugd/1ba96f_3455b68d40b840d7b1f4f4ba406a03de.pdf#page=5" TargetMode="External" Id="rId17" /><Relationship Type="http://schemas.openxmlformats.org/officeDocument/2006/relationships/hyperlink" Target="https://www.yesterdaysmathsexam.com/_files/ugd/1ba96f_5f23bdaa89ca499a9baf440ec66703a3.pdf" TargetMode="External" Id="rId18" /><Relationship Type="http://schemas.openxmlformats.org/officeDocument/2006/relationships/hyperlink" Target="https://mathsgenie.co.uk/a-level/maths/edexcel/as-statistics-types-of-data" TargetMode="External" Id="rId19" /><Relationship Type="http://schemas.openxmlformats.org/officeDocument/2006/relationships/hyperlink" Target="https://mathsgenie.co.uk/a-level/maths/edexcel/as-statistics-measures-of-central-tendency" TargetMode="External" Id="rId20" /><Relationship Type="http://schemas.openxmlformats.org/officeDocument/2006/relationships/hyperlink" Target="https://assets.mathsgenie.co.uk/content/worksheets/as_level_maths/measures-of-location-and-spread-0f1d8677.pdf#page=2" TargetMode="External" Id="rId21" /><Relationship Type="http://schemas.openxmlformats.org/officeDocument/2006/relationships/hyperlink" Target="https://assets.mathsgenie.co.uk/content/worksheets/as_level_maths/measures-of-location-and-spread-ans-ce4aaea3.pdf" TargetMode="External" Id="rId22" /><Relationship Type="http://schemas.openxmlformats.org/officeDocument/2006/relationships/hyperlink" Target="https://pmt.physicsandmathstutor.com/download/Maths/A-level/Statistics/Data-Presentation-and-Interpretation-1/Edexcel-Set-C/QP/Data%20Presentation%20and%20Interpretation%20QP.pdf#page=1" TargetMode="External" Id="rId23" /><Relationship Type="http://schemas.openxmlformats.org/officeDocument/2006/relationships/hyperlink" Target="https://pmt.physicsandmathstutor.com/download/Maths/A-level/Statistics/Data-Presentation-and-Interpretation-1/Edexcel-Set-C/MS/Data%20Presentation%20and%20Interpretation%20MS.pdf" TargetMode="External" Id="rId24" /><Relationship Type="http://schemas.openxmlformats.org/officeDocument/2006/relationships/hyperlink" Target="https://pmt.physicsandmathstutor.com/download/Maths/A-level/Statistics/Data-Presentation-and-Interpretation-1/Edexcel-Set-C/MA/Data%20Presentation%20and%20Interpretation%20MA.pdf" TargetMode="External" Id="rId25" /><Relationship Type="http://schemas.openxmlformats.org/officeDocument/2006/relationships/hyperlink" Target="https://www.yesterdaysmathsexam.com/_files/ugd/1ba96f_3455b68d40b840d7b1f4f4ba406a03de.pdf#page=1" TargetMode="External" Id="rId26" /><Relationship Type="http://schemas.openxmlformats.org/officeDocument/2006/relationships/hyperlink" Target="https://www.yesterdaysmathsexam.com/_files/ugd/1ba96f_5f23bdaa89ca499a9baf440ec66703a3.pdf" TargetMode="External" Id="rId27" /><Relationship Type="http://schemas.openxmlformats.org/officeDocument/2006/relationships/hyperlink" Target="https://mathsgenie.co.uk/a-level/maths/edexcel/as-statistics-other-measures-of-location" TargetMode="External" Id="rId28" /><Relationship Type="http://schemas.openxmlformats.org/officeDocument/2006/relationships/hyperlink" Target="https://assets.mathsgenie.co.uk/content/worksheets/as_level_maths/measures-of-location-and-spread-0f1d8677.pdf#page=2" TargetMode="External" Id="rId29" /><Relationship Type="http://schemas.openxmlformats.org/officeDocument/2006/relationships/hyperlink" Target="https://assets.mathsgenie.co.uk/content/worksheets/as_level_maths/measures-of-location-and-spread-ans-ce4aaea3.pdf" TargetMode="External" Id="rId30" /><Relationship Type="http://schemas.openxmlformats.org/officeDocument/2006/relationships/hyperlink" Target="https://pmt.physicsandmathstutor.com/download/Maths/A-level/Statistics/Data-Presentation-and-Interpretation-1/Edexcel-Set-C/QP/Data%20Presentation%20and%20Interpretation%20QP.pdf#page=1" TargetMode="External" Id="rId31" /><Relationship Type="http://schemas.openxmlformats.org/officeDocument/2006/relationships/hyperlink" Target="https://pmt.physicsandmathstutor.com/download/Maths/A-level/Statistics/Data-Presentation-and-Interpretation-1/Edexcel-Set-C/MS/Data%20Presentation%20and%20Interpretation%20MS.pdf" TargetMode="External" Id="rId32" /><Relationship Type="http://schemas.openxmlformats.org/officeDocument/2006/relationships/hyperlink" Target="https://pmt.physicsandmathstutor.com/download/Maths/A-level/Statistics/Data-Presentation-and-Interpretation-1/Edexcel-Set-C/MA/Data%20Presentation%20and%20Interpretation%20MA.pdf" TargetMode="External" Id="rId33" /><Relationship Type="http://schemas.openxmlformats.org/officeDocument/2006/relationships/hyperlink" Target="https://www.yesterdaysmathsexam.com/_files/ugd/1ba96f_3455b68d40b840d7b1f4f4ba406a03de.pdf#page=1" TargetMode="External" Id="rId34" /><Relationship Type="http://schemas.openxmlformats.org/officeDocument/2006/relationships/hyperlink" Target="https://www.yesterdaysmathsexam.com/_files/ugd/1ba96f_5f23bdaa89ca499a9baf440ec66703a3.pdf" TargetMode="External" Id="rId35" /><Relationship Type="http://schemas.openxmlformats.org/officeDocument/2006/relationships/hyperlink" Target="https://mathsgenie.co.uk/a-level/maths/edexcel/as-statistics-variance-and-standard-deviation" TargetMode="External" Id="rId36" /><Relationship Type="http://schemas.openxmlformats.org/officeDocument/2006/relationships/hyperlink" Target="https://assets.mathsgenie.co.uk/content/worksheets/as_level_maths/measures-of-location-and-spread-0f1d8677.pdf#page=2" TargetMode="External" Id="rId37" /><Relationship Type="http://schemas.openxmlformats.org/officeDocument/2006/relationships/hyperlink" Target="https://assets.mathsgenie.co.uk/content/worksheets/as_level_maths/measures-of-location-and-spread-ans-ce4aaea3.pdf" TargetMode="External" Id="rId38" /><Relationship Type="http://schemas.openxmlformats.org/officeDocument/2006/relationships/hyperlink" Target="https://pmt.physicsandmathstutor.com/download/Maths/A-level/Statistics/Data-Presentation-and-Interpretation-2/Edexcel-Set-C/QP/Large%20data%20sets%20QP.pdf#page=1" TargetMode="External" Id="rId39" /><Relationship Type="http://schemas.openxmlformats.org/officeDocument/2006/relationships/hyperlink" Target="https://pmt.physicsandmathstutor.com/download/Maths/A-level/Statistics/Data-Presentation-and-Interpretation-2/Edexcel-Set-C/MS/Large%20data%20sets%20MS.pdf" TargetMode="External" Id="rId40" /><Relationship Type="http://schemas.openxmlformats.org/officeDocument/2006/relationships/hyperlink" Target="https://pmt.physicsandmathstutor.com/download/Maths/A-level/Statistics/Data-Presentation-and-Interpretation-2/Edexcel-Set-C/MA/Large%20data%20sets%20MA.pdf" TargetMode="External" Id="rId41" /><Relationship Type="http://schemas.openxmlformats.org/officeDocument/2006/relationships/hyperlink" Target="https://www.yesterdaysmathsexam.com/_files/ugd/1ba96f_3455b68d40b840d7b1f4f4ba406a03de.pdf#page=2" TargetMode="External" Id="rId42" /><Relationship Type="http://schemas.openxmlformats.org/officeDocument/2006/relationships/hyperlink" Target="https://www.yesterdaysmathsexam.com/_files/ugd/1ba96f_5f23bdaa89ca499a9baf440ec66703a3.pdf" TargetMode="External" Id="rId43" /><Relationship Type="http://schemas.openxmlformats.org/officeDocument/2006/relationships/hyperlink" Target="https://mathsgenie.co.uk/a-level/maths/edexcel/as-statistics-coding" TargetMode="External" Id="rId44" /><Relationship Type="http://schemas.openxmlformats.org/officeDocument/2006/relationships/hyperlink" Target="https://assets.mathsgenie.co.uk/content/worksheets/as_level_maths/measures-of-location-and-spread-0f1d8677.pdf#page=4" TargetMode="External" Id="rId45" /><Relationship Type="http://schemas.openxmlformats.org/officeDocument/2006/relationships/hyperlink" Target="https://assets.mathsgenie.co.uk/content/worksheets/as_level_maths/measures-of-location-and-spread-ans-ce4aaea3.pdf" TargetMode="External" Id="rId46" /><Relationship Type="http://schemas.openxmlformats.org/officeDocument/2006/relationships/hyperlink" Target="https://pmt.physicsandmathstutor.com/download/Maths/A-level/Statistics/Data-Presentation-and-Interpretation-2/Edexcel-Set-C/QP/Large%20data%20sets%20QP.pdf#page=1" TargetMode="External" Id="rId47" /><Relationship Type="http://schemas.openxmlformats.org/officeDocument/2006/relationships/hyperlink" Target="https://pmt.physicsandmathstutor.com/download/Maths/A-level/Statistics/Data-Presentation-and-Interpretation-2/Edexcel-Set-C/MS/Large%20data%20sets%20MS.pdf" TargetMode="External" Id="rId48" /><Relationship Type="http://schemas.openxmlformats.org/officeDocument/2006/relationships/hyperlink" Target="https://pmt.physicsandmathstutor.com/download/Maths/A-level/Statistics/Data-Presentation-and-Interpretation-2/Edexcel-Set-C/MA/Large%20data%20sets%20MA.pdf" TargetMode="External" Id="rId49" /><Relationship Type="http://schemas.openxmlformats.org/officeDocument/2006/relationships/hyperlink" Target="https://www.yesterdaysmathsexam.com/_files/ugd/1ba96f_3455b68d40b840d7b1f4f4ba406a03de.pdf#page=13" TargetMode="External" Id="rId50" /><Relationship Type="http://schemas.openxmlformats.org/officeDocument/2006/relationships/hyperlink" Target="https://www.yesterdaysmathsexam.com/_files/ugd/1ba96f_5f23bdaa89ca499a9baf440ec66703a3.pdf" TargetMode="External" Id="rId51" /><Relationship Type="http://schemas.openxmlformats.org/officeDocument/2006/relationships/hyperlink" Target="https://mathsgenie.co.uk/a-level/maths/edexcel/as-statistics-box-plots" TargetMode="External" Id="rId52" /><Relationship Type="http://schemas.openxmlformats.org/officeDocument/2006/relationships/hyperlink" Target="https://assets.mathsgenie.co.uk/content/worksheets/a_level_maths/representations-of-data-de158680.pdf#page=7" TargetMode="External" Id="rId53" /><Relationship Type="http://schemas.openxmlformats.org/officeDocument/2006/relationships/hyperlink" Target="https://assets.mathsgenie.co.uk/content/worksheets/a_level_maths/representations-of-data-ans-e73bd35e.pdf" TargetMode="External" Id="rId54" /><Relationship Type="http://schemas.openxmlformats.org/officeDocument/2006/relationships/hyperlink" Target="https://pmt.physicsandmathstutor.com/download/Maths/A-level/Statistics/Data-Presentation-and-Interpretation-1/Edexcel-Set-A/Representation%20and%20summary%20data.pdf#page=13" TargetMode="External" Id="rId55" /><Relationship Type="http://schemas.openxmlformats.org/officeDocument/2006/relationships/hyperlink" Target="https://www.yesterdaysmathsexam.com/_files/ugd/1ba96f_3455b68d40b840d7b1f4f4ba406a03de.pdf#page=2" TargetMode="External" Id="rId56" /><Relationship Type="http://schemas.openxmlformats.org/officeDocument/2006/relationships/hyperlink" Target="https://www.yesterdaysmathsexam.com/_files/ugd/1ba96f_5f23bdaa89ca499a9baf440ec66703a3.pdf" TargetMode="External" Id="rId57" /><Relationship Type="http://schemas.openxmlformats.org/officeDocument/2006/relationships/hyperlink" Target="https://mathsgenie.co.uk/a-level/maths/edexcel/as-statistics-cumulative-frequency" TargetMode="External" Id="rId58" /><Relationship Type="http://schemas.openxmlformats.org/officeDocument/2006/relationships/hyperlink" Target="https://mathsgenie.co.uk/a-level/maths/edexcel/as-statistics-histograms" TargetMode="External" Id="rId59" /><Relationship Type="http://schemas.openxmlformats.org/officeDocument/2006/relationships/hyperlink" Target="https://assets.mathsgenie.co.uk/content/worksheets/a_level_maths/representations-of-data-de158680.pdf#page=2" TargetMode="External" Id="rId60" /><Relationship Type="http://schemas.openxmlformats.org/officeDocument/2006/relationships/hyperlink" Target="https://assets.mathsgenie.co.uk/content/worksheets/a_level_maths/representations-of-data-ans-e73bd35e.pdf" TargetMode="External" Id="rId61" /><Relationship Type="http://schemas.openxmlformats.org/officeDocument/2006/relationships/hyperlink" Target="https://pmt.physicsandmathstutor.com/download/Maths/A-level/Statistics/Data-Presentation-and-Interpretation-1/Edexcel-Set-C/QP/Data%20Presentation%20and%20Interpretation%20QP.pdf#page=1" TargetMode="External" Id="rId62" /><Relationship Type="http://schemas.openxmlformats.org/officeDocument/2006/relationships/hyperlink" Target="https://pmt.physicsandmathstutor.com/download/Maths/A-level/Statistics/Data-Presentation-and-Interpretation-1/Edexcel-Set-C/MS/Data%20Presentation%20and%20Interpretation%20MS.pdf" TargetMode="External" Id="rId63" /><Relationship Type="http://schemas.openxmlformats.org/officeDocument/2006/relationships/hyperlink" Target="https://pmt.physicsandmathstutor.com/download/Maths/A-level/Statistics/Data-Presentation-and-Interpretation-1/Edexcel-Set-C/MA/Data%20Presentation%20and%20Interpretation%20MA.pdf" TargetMode="External" Id="rId64" /><Relationship Type="http://schemas.openxmlformats.org/officeDocument/2006/relationships/hyperlink" Target="https://www.yesterdaysmathsexam.com/_files/ugd/1ba96f_3455b68d40b840d7b1f4f4ba406a03de.pdf#page=1" TargetMode="External" Id="rId65" /><Relationship Type="http://schemas.openxmlformats.org/officeDocument/2006/relationships/hyperlink" Target="https://www.yesterdaysmathsexam.com/_files/ugd/1ba96f_5f23bdaa89ca499a9baf440ec66703a3.pdf" TargetMode="External" Id="rId66" /><Relationship Type="http://schemas.openxmlformats.org/officeDocument/2006/relationships/hyperlink" Target="https://mathsgenie.co.uk/a-level/maths/edexcel/as-statistics-outliers" TargetMode="External" Id="rId67" /><Relationship Type="http://schemas.openxmlformats.org/officeDocument/2006/relationships/hyperlink" Target="https://assets.mathsgenie.co.uk/content/worksheets/a_level_maths/representations-of-data-de158680.pdf#page=7" TargetMode="External" Id="rId68" /><Relationship Type="http://schemas.openxmlformats.org/officeDocument/2006/relationships/hyperlink" Target="https://assets.mathsgenie.co.uk/content/worksheets/a_level_maths/representations-of-data-ans-e73bd35e.pdf" TargetMode="External" Id="rId69" /><Relationship Type="http://schemas.openxmlformats.org/officeDocument/2006/relationships/hyperlink" Target="https://pmt.physicsandmathstutor.com/download/Maths/A-level/Statistics/Data-Presentation-and-Interpretation-1/Edexcel-Set-C/QP/Data%20Presentation%20and%20Interpretation%20QP.pdf#page=1" TargetMode="External" Id="rId70" /><Relationship Type="http://schemas.openxmlformats.org/officeDocument/2006/relationships/hyperlink" Target="https://pmt.physicsandmathstutor.com/download/Maths/A-level/Statistics/Data-Presentation-and-Interpretation-1/Edexcel-Set-C/MS/Data%20Presentation%20and%20Interpretation%20MS.pdf" TargetMode="External" Id="rId71" /><Relationship Type="http://schemas.openxmlformats.org/officeDocument/2006/relationships/hyperlink" Target="https://pmt.physicsandmathstutor.com/download/Maths/A-level/Statistics/Data-Presentation-and-Interpretation-1/Edexcel-Set-C/MA/Data%20Presentation%20and%20Interpretation%20MA.pdf" TargetMode="External" Id="rId72" /><Relationship Type="http://schemas.openxmlformats.org/officeDocument/2006/relationships/hyperlink" Target="https://www.yesterdaysmathsexam.com/_files/ugd/1ba96f_3455b68d40b840d7b1f4f4ba406a03de.pdf#page=1" TargetMode="External" Id="rId73" /><Relationship Type="http://schemas.openxmlformats.org/officeDocument/2006/relationships/hyperlink" Target="https://www.yesterdaysmathsexam.com/_files/ugd/1ba96f_5f23bdaa89ca499a9baf440ec66703a3.pdf" TargetMode="External" Id="rId74" /><Relationship Type="http://schemas.openxmlformats.org/officeDocument/2006/relationships/hyperlink" Target="https://mathsgenie.co.uk/a-level/maths/edexcel/as-statistics-comparing-data" TargetMode="External" Id="rId75" /><Relationship Type="http://schemas.openxmlformats.org/officeDocument/2006/relationships/hyperlink" Target="https://assets.mathsgenie.co.uk/content/worksheets/a_level_maths/representations-of-data-de158680.pdf#page=11" TargetMode="External" Id="rId76" /><Relationship Type="http://schemas.openxmlformats.org/officeDocument/2006/relationships/hyperlink" Target="https://assets.mathsgenie.co.uk/content/worksheets/a_level_maths/representations-of-data-ans-e73bd35e.pdf" TargetMode="External" Id="rId77" /><Relationship Type="http://schemas.openxmlformats.org/officeDocument/2006/relationships/hyperlink" Target="https://pmt.physicsandmathstutor.com/download/Maths/A-level/Statistics/Data-Presentation-and-Interpretation-1/Edexcel-Set-C/QP/Large%20data%20sets%20QP.pdf#page=5" TargetMode="External" Id="rId78" /><Relationship Type="http://schemas.openxmlformats.org/officeDocument/2006/relationships/hyperlink" Target="https://pmt.physicsandmathstutor.com/download/Maths/A-level/Statistics/Data-Presentation-and-Interpretation-1/Edexcel-Set-C/MS/Large%20data%20sets%20MS.pdf" TargetMode="External" Id="rId79" /><Relationship Type="http://schemas.openxmlformats.org/officeDocument/2006/relationships/hyperlink" Target="https://pmt.physicsandmathstutor.com/download/Maths/A-level/Statistics/Data-Presentation-and-Interpretation-1/Edexcel-Set-C/MA/Large%20data%20sets%20MA.pdf" TargetMode="External" Id="rId80" /><Relationship Type="http://schemas.openxmlformats.org/officeDocument/2006/relationships/hyperlink" Target="https://www.yesterdaysmathsexam.com/_files/ugd/1ba96f_3455b68d40b840d7b1f4f4ba406a03de.pdf#page=8" TargetMode="External" Id="rId81" /><Relationship Type="http://schemas.openxmlformats.org/officeDocument/2006/relationships/hyperlink" Target="https://www.yesterdaysmathsexam.com/_files/ugd/1ba96f_5f23bdaa89ca499a9baf440ec66703a3.pdf" TargetMode="External" Id="rId82" /><Relationship Type="http://schemas.openxmlformats.org/officeDocument/2006/relationships/hyperlink" Target="https://mathsgenie.co.uk/a-level/maths/edexcel/as-statistics-correlation" TargetMode="External" Id="rId83" /><Relationship Type="http://schemas.openxmlformats.org/officeDocument/2006/relationships/hyperlink" Target="https://assets.mathsgenie.co.uk/content/worksheets/as_level_maths/as-stats-correlation-and-regression-090bdf26.pdf#page=2" TargetMode="External" Id="rId84" /><Relationship Type="http://schemas.openxmlformats.org/officeDocument/2006/relationships/hyperlink" Target="https://assets.mathsgenie.co.uk/content/worksheets/as_level_maths/as-stats-correlation-and-regression-ans-0737e55d.pdf" TargetMode="External" Id="rId85" /><Relationship Type="http://schemas.openxmlformats.org/officeDocument/2006/relationships/hyperlink" Target="https://pmt.physicsandmathstutor.com/download/Maths/A-level/Statistics/Data-Presentation-and-Interpretation-1/Edexcel-Set-C/QP/Regression%20and%20Correlation%20QP.pdf#page=1" TargetMode="External" Id="rId86" /><Relationship Type="http://schemas.openxmlformats.org/officeDocument/2006/relationships/hyperlink" Target="https://pmt.physicsandmathstutor.com/download/Maths/A-level/Statistics/Data-Presentation-and-Interpretation-1/Edexcel-Set-C/MS/Regression%20and%20Correlation%20MS.pdf" TargetMode="External" Id="rId87" /><Relationship Type="http://schemas.openxmlformats.org/officeDocument/2006/relationships/hyperlink" Target="https://pmt.physicsandmathstutor.com/download/Maths/A-level/Statistics/Data-Presentation-and-Interpretation-1/Edexcel-Set-C/MA/Regression%20and%20Correlation%20MA.pdf" TargetMode="External" Id="rId88" /><Relationship Type="http://schemas.openxmlformats.org/officeDocument/2006/relationships/hyperlink" Target="https://www.yesterdaysmathsexam.com/_files/ugd/1ba96f_ed618757efba4c6dbf26ec788ee2a1d7.pdf#page=1" TargetMode="External" Id="rId89" /><Relationship Type="http://schemas.openxmlformats.org/officeDocument/2006/relationships/hyperlink" Target="https://www.yesterdaysmathsexam.com/_files/ugd/1ba96f_2e8e13ab7ba149ae98e184013ef23684.pdf" TargetMode="External" Id="rId90" /><Relationship Type="http://schemas.openxmlformats.org/officeDocument/2006/relationships/hyperlink" Target="https://mathsgenie.co.uk/a-level/maths/edexcel/as-statistics-linear-regression" TargetMode="External" Id="rId91" /><Relationship Type="http://schemas.openxmlformats.org/officeDocument/2006/relationships/hyperlink" Target="https://assets.mathsgenie.co.uk/content/worksheets/as_level_maths/as-stats-correlation-and-regression-090bdf26.pdf#page=4" TargetMode="External" Id="rId92" /><Relationship Type="http://schemas.openxmlformats.org/officeDocument/2006/relationships/hyperlink" Target="https://assets.mathsgenie.co.uk/content/worksheets/as_level_maths/as-stats-correlation-and-regression-ans-0737e55d.pdf" TargetMode="External" Id="rId93" /><Relationship Type="http://schemas.openxmlformats.org/officeDocument/2006/relationships/hyperlink" Target="https://pmt.physicsandmathstutor.com/download/Maths/A-level/Statistics/Data-Presentation-and-Interpretation-1/Edexcel-Set-C/QP/Regression%20and%20Correlation%20QP.pdf#page=1" TargetMode="External" Id="rId94" /><Relationship Type="http://schemas.openxmlformats.org/officeDocument/2006/relationships/hyperlink" Target="https://pmt.physicsandmathstutor.com/download/Maths/A-level/Statistics/Data-Presentation-and-Interpretation-1/Edexcel-Set-C/MS/Regression%20and%20Correlation%20MS.pdf" TargetMode="External" Id="rId95" /><Relationship Type="http://schemas.openxmlformats.org/officeDocument/2006/relationships/hyperlink" Target="https://pmt.physicsandmathstutor.com/download/Maths/A-level/Statistics/Data-Presentation-and-Interpretation-1/Edexcel-Set-C/MA/Regression%20and%20Correlation%20MA.pdf" TargetMode="External" Id="rId96" /><Relationship Type="http://schemas.openxmlformats.org/officeDocument/2006/relationships/hyperlink" Target="https://www.yesterdaysmathsexam.com/_files/ugd/1ba96f_ed618757efba4c6dbf26ec788ee2a1d7.pdf#page=1" TargetMode="External" Id="rId97" /><Relationship Type="http://schemas.openxmlformats.org/officeDocument/2006/relationships/hyperlink" Target="https://www.yesterdaysmathsexam.com/_files/ugd/1ba96f_2e8e13ab7ba149ae98e184013ef23684.pdf" TargetMode="External" Id="rId98" /><Relationship Type="http://schemas.openxmlformats.org/officeDocument/2006/relationships/hyperlink" Target="https://mathsgenie.co.uk/a-level/maths/edexcel/a-level-statistics-exponential-models" TargetMode="External" Id="rId99" /><Relationship Type="http://schemas.openxmlformats.org/officeDocument/2006/relationships/hyperlink" Target="https://assets.mathsgenie.co.uk/content/worksheets/a_level_maths/regression-correlation-and-hypothesis-testing-955d4f0c.pdf#page=9" TargetMode="External" Id="rId100" /><Relationship Type="http://schemas.openxmlformats.org/officeDocument/2006/relationships/hyperlink" Target="https://assets.mathsgenie.co.uk/content/worksheets/a_level_maths/regression-correlation-and-hypothesis-testing-ans-c55c04e4.pdf" TargetMode="External" Id="rId101" /><Relationship Type="http://schemas.openxmlformats.org/officeDocument/2006/relationships/hyperlink" Target="https://pmt.physicsandmathstutor.com/download/Maths/A-level/Statistics/Data-Presentation-and-Interpretation-1/Edexcel-Set-C/QP/Regression%20and%20Correlation%20QP.pdf#page=4" TargetMode="External" Id="rId102" /><Relationship Type="http://schemas.openxmlformats.org/officeDocument/2006/relationships/hyperlink" Target="https://pmt.physicsandmathstutor.com/download/Maths/A-level/Statistics/Data-Presentation-and-Interpretation-1/Edexcel-Set-C/MS/Regression%20and%20Correlation%20MS.pdf" TargetMode="External" Id="rId103" /><Relationship Type="http://schemas.openxmlformats.org/officeDocument/2006/relationships/hyperlink" Target="https://pmt.physicsandmathstutor.com/download/Maths/A-level/Statistics/Data-Presentation-and-Interpretation-1/Edexcel-Set-C/MA/Regression%20and%20Correlation%20MA.pdf" TargetMode="External" Id="rId104" /><Relationship Type="http://schemas.openxmlformats.org/officeDocument/2006/relationships/hyperlink" Target="https://mathsgenie.co.uk/a-level/maths/edexcel/as-statistics-the-large-data-set" TargetMode="External" Id="rId105" /><Relationship Type="http://schemas.openxmlformats.org/officeDocument/2006/relationships/hyperlink" Target="https://pmt.physicsandmathstutor.com/download/Maths/A-level/Statistics/Data-Presentation-and-Interpretation-1/Edexcel-Set-C/QP/Large%20data%20sets%20QP.pdf#page=1" TargetMode="External" Id="rId106" /><Relationship Type="http://schemas.openxmlformats.org/officeDocument/2006/relationships/hyperlink" Target="https://pmt.physicsandmathstutor.com/download/Maths/A-level/Statistics/Data-Presentation-and-Interpretation-1/Edexcel-Set-C/MS/Large%20data%20sets%20MS.pdf" TargetMode="External" Id="rId107" /><Relationship Type="http://schemas.openxmlformats.org/officeDocument/2006/relationships/hyperlink" Target="https://pmt.physicsandmathstutor.com/download/Maths/A-level/Statistics/Data-Presentation-and-Interpretation-1/Edexcel-Set-C/MA/Large%20data%20sets%20MA.pdf" TargetMode="External" Id="rId108" /><Relationship Type="http://schemas.openxmlformats.org/officeDocument/2006/relationships/hyperlink" Target="https://www.yesterdaysmathsexam.com/_files/ugd/1ba96f_3455b68d40b840d7b1f4f4ba406a03de.pdf#page=2" TargetMode="External" Id="rId109" /><Relationship Type="http://schemas.openxmlformats.org/officeDocument/2006/relationships/hyperlink" Target="https://www.yesterdaysmathsexam.com/_files/ugd/1ba96f_5f23bdaa89ca499a9baf440ec66703a3.pdf" TargetMode="External" Id="rId110" /><Relationship Type="http://schemas.openxmlformats.org/officeDocument/2006/relationships/hyperlink" Target="https://mathsgenie.co.uk/a-level/maths/edexcel/as-statistics-calculating-probabilities" TargetMode="External" Id="rId111" /><Relationship Type="http://schemas.openxmlformats.org/officeDocument/2006/relationships/hyperlink" Target="https://assets.mathsgenie.co.uk/content/worksheets/a_level_maths/as-statistics-5-probability-medium-63990a3d.pdf#page=1" TargetMode="External" Id="rId112" /><Relationship Type="http://schemas.openxmlformats.org/officeDocument/2006/relationships/hyperlink" Target="https://assets.mathsgenie.co.uk/content/worksheets/a_level_maths/as-statistics-5-probability-medium-ans-410afb04.pdf" TargetMode="External" Id="rId113" /><Relationship Type="http://schemas.openxmlformats.org/officeDocument/2006/relationships/hyperlink" Target="https://pmt.physicsandmathstutor.com/download/Maths/A-level/Statistics/Probability-1/Edexcel-Set-C/QP/Probability%20QP.pdf#page=2" TargetMode="External" Id="rId114" /><Relationship Type="http://schemas.openxmlformats.org/officeDocument/2006/relationships/hyperlink" Target="https://pmt.physicsandmathstutor.com/download/Maths/A-level/Statistics/Probability-1/Edexcel-Set-C/MS/Probability%20MS.pdf" TargetMode="External" Id="rId115" /><Relationship Type="http://schemas.openxmlformats.org/officeDocument/2006/relationships/hyperlink" Target="https://pmt.physicsandmathstutor.com/download/Maths/A-level/Statistics/Probability-1/Edexcel-Set-C/MA/Probability%20MA.pdf" TargetMode="External" Id="rId116" /><Relationship Type="http://schemas.openxmlformats.org/officeDocument/2006/relationships/hyperlink" Target="https://www.yesterdaysmathsexam.com/_files/ugd/1ba96f_5d54bf42ea074dc89292461bd32ca80e.pdf#page=1" TargetMode="External" Id="rId117" /><Relationship Type="http://schemas.openxmlformats.org/officeDocument/2006/relationships/hyperlink" Target="https://www.yesterdaysmathsexam.com/_files/ugd/1ba96f_6b8b5da8f13a4a25b33a744329409571.pdf" TargetMode="External" Id="rId118" /><Relationship Type="http://schemas.openxmlformats.org/officeDocument/2006/relationships/hyperlink" Target="https://mathsgenie.co.uk/a-level/maths/edexcel/as-statistics-venn-diagrams" TargetMode="External" Id="rId119" /><Relationship Type="http://schemas.openxmlformats.org/officeDocument/2006/relationships/hyperlink" Target="https://assets.mathsgenie.co.uk/content/worksheets/as_level_maths/as-stats-probability-fd510241.pdf#page=2" TargetMode="External" Id="rId120" /><Relationship Type="http://schemas.openxmlformats.org/officeDocument/2006/relationships/hyperlink" Target="https://assets.mathsgenie.co.uk/content/worksheets/as_level_maths/as-stats-probability-ans-3c1dbd4d.pdf" TargetMode="External" Id="rId121" /><Relationship Type="http://schemas.openxmlformats.org/officeDocument/2006/relationships/hyperlink" Target="https://pmt.physicsandmathstutor.com/download/Maths/A-level/Statistics/Probability-1/Edexcel-Set-C/QP/Probability%20QP.pdf#page=5" TargetMode="External" Id="rId122" /><Relationship Type="http://schemas.openxmlformats.org/officeDocument/2006/relationships/hyperlink" Target="https://pmt.physicsandmathstutor.com/download/Maths/A-level/Statistics/Probability-1/Edexcel-Set-C/MS/Probability%20MS.pdf" TargetMode="External" Id="rId123" /><Relationship Type="http://schemas.openxmlformats.org/officeDocument/2006/relationships/hyperlink" Target="https://pmt.physicsandmathstutor.com/download/Maths/A-level/Statistics/Probability-1/Edexcel-Set-C/MA/Probability%20MA.pdf" TargetMode="External" Id="rId124" /><Relationship Type="http://schemas.openxmlformats.org/officeDocument/2006/relationships/hyperlink" Target="https://www.yesterdaysmathsexam.com/_files/ugd/1ba96f_5d54bf42ea074dc89292461bd32ca80e.pdf#page=3" TargetMode="External" Id="rId125" /><Relationship Type="http://schemas.openxmlformats.org/officeDocument/2006/relationships/hyperlink" Target="https://www.yesterdaysmathsexam.com/_files/ugd/1ba96f_6b8b5da8f13a4a25b33a744329409571.pdf" TargetMode="External" Id="rId126" /><Relationship Type="http://schemas.openxmlformats.org/officeDocument/2006/relationships/hyperlink" Target="https://mathsgenie.co.uk/a-level/maths/edexcel/as-statistics-mutually-exclusive-and-independent-events" TargetMode="External" Id="rId127" /><Relationship Type="http://schemas.openxmlformats.org/officeDocument/2006/relationships/hyperlink" Target="https://assets.mathsgenie.co.uk/content/worksheets/as_level_maths/as-stats-probability-fd510241.pdf#page=2" TargetMode="External" Id="rId128" /><Relationship Type="http://schemas.openxmlformats.org/officeDocument/2006/relationships/hyperlink" Target="https://assets.mathsgenie.co.uk/content/worksheets/as_level_maths/as-stats-probability-ans-3c1dbd4d.pdf" TargetMode="External" Id="rId129" /><Relationship Type="http://schemas.openxmlformats.org/officeDocument/2006/relationships/hyperlink" Target="https://pmt.physicsandmathstutor.com/download/Maths/A-level/Statistics/Probability-1/Edexcel-Set-C/QP/Probability%20QP.pdf#page=5" TargetMode="External" Id="rId130" /><Relationship Type="http://schemas.openxmlformats.org/officeDocument/2006/relationships/hyperlink" Target="https://pmt.physicsandmathstutor.com/download/Maths/A-level/Statistics/Probability-1/Edexcel-Set-C/MS/Probability%20MS.pdf" TargetMode="External" Id="rId131" /><Relationship Type="http://schemas.openxmlformats.org/officeDocument/2006/relationships/hyperlink" Target="https://pmt.physicsandmathstutor.com/download/Maths/A-level/Statistics/Probability-1/Edexcel-Set-C/MA/Probability%20MA.pdf" TargetMode="External" Id="rId132" /><Relationship Type="http://schemas.openxmlformats.org/officeDocument/2006/relationships/hyperlink" Target="https://www.yesterdaysmathsexam.com/_files/ugd/1ba96f_5d54bf42ea074dc89292461bd32ca80e.pdf#page=3" TargetMode="External" Id="rId133" /><Relationship Type="http://schemas.openxmlformats.org/officeDocument/2006/relationships/hyperlink" Target="https://www.yesterdaysmathsexam.com/_files/ugd/1ba96f_6b8b5da8f13a4a25b33a744329409571.pdf" TargetMode="External" Id="rId134" /><Relationship Type="http://schemas.openxmlformats.org/officeDocument/2006/relationships/hyperlink" Target="https://mathsgenie.co.uk/a-level/maths/edexcel/as-statistics-tree-diagrams" TargetMode="External" Id="rId135" /><Relationship Type="http://schemas.openxmlformats.org/officeDocument/2006/relationships/hyperlink" Target="https://assets.mathsgenie.co.uk/content/worksheets/a_level_maths/as-statistics-5-probability-medium-63990a3d.pdf#page=2" TargetMode="External" Id="rId136" /><Relationship Type="http://schemas.openxmlformats.org/officeDocument/2006/relationships/hyperlink" Target="https://assets.mathsgenie.co.uk/content/worksheets/a_level_maths/as-statistics-5-probability-medium-ans-410afb04.pdf" TargetMode="External" Id="rId137" /><Relationship Type="http://schemas.openxmlformats.org/officeDocument/2006/relationships/hyperlink" Target="https://pmt.physicsandmathstutor.com/download/Maths/A-level/Statistics/Probability-1/Edexcel-Set-C/QP/Probability%20QP.pdf#page=2" TargetMode="External" Id="rId138" /><Relationship Type="http://schemas.openxmlformats.org/officeDocument/2006/relationships/hyperlink" Target="https://pmt.physicsandmathstutor.com/download/Maths/A-level/Statistics/Probability-1/Edexcel-Set-C/MS/Probability%20MS.pdf" TargetMode="External" Id="rId139" /><Relationship Type="http://schemas.openxmlformats.org/officeDocument/2006/relationships/hyperlink" Target="https://pmt.physicsandmathstutor.com/download/Maths/A-level/Statistics/Probability-1/Edexcel-Set-C/MA/Probability%20MA.pdf" TargetMode="External" Id="rId140" /><Relationship Type="http://schemas.openxmlformats.org/officeDocument/2006/relationships/hyperlink" Target="https://www.yesterdaysmathsexam.com/_files/ugd/1ba96f_5d54bf42ea074dc89292461bd32ca80e.pdf#page=1" TargetMode="External" Id="rId141" /><Relationship Type="http://schemas.openxmlformats.org/officeDocument/2006/relationships/hyperlink" Target="https://www.yesterdaysmathsexam.com/_files/ugd/1ba96f_6b8b5da8f13a4a25b33a744329409571.pdf" TargetMode="External" Id="rId142" /><Relationship Type="http://schemas.openxmlformats.org/officeDocument/2006/relationships/hyperlink" Target="https://mathsgenie.co.uk/a-level/maths/edexcel/a-level-statistics-set-notation" TargetMode="External" Id="rId143" /><Relationship Type="http://schemas.openxmlformats.org/officeDocument/2006/relationships/hyperlink" Target="https://assets.mathsgenie.co.uk/content/worksheets/a_level_maths/conditional-probability-71f81d84.pdf#page=2" TargetMode="External" Id="rId144" /><Relationship Type="http://schemas.openxmlformats.org/officeDocument/2006/relationships/hyperlink" Target="https://assets.mathsgenie.co.uk/content/worksheets/a_level_maths/conditional-probability-ans-0af1c10c.pdf" TargetMode="External" Id="rId145" /><Relationship Type="http://schemas.openxmlformats.org/officeDocument/2006/relationships/hyperlink" Target="https://pmt.physicsandmathstutor.com/download/Maths/A-level/Statistics/Probability-2/Edexcel-Set-C/QP/Probability%20QP.pdf#page=3" TargetMode="External" Id="rId146" /><Relationship Type="http://schemas.openxmlformats.org/officeDocument/2006/relationships/hyperlink" Target="https://pmt.physicsandmathstutor.com/download/Maths/A-level/Statistics/Probability-2/Edexcel-Set-C/MS/Probability%20MS.pdf" TargetMode="External" Id="rId147" /><Relationship Type="http://schemas.openxmlformats.org/officeDocument/2006/relationships/hyperlink" Target="https://pmt.physicsandmathstutor.com/download/Maths/A-level/Statistics/Probability-2/Edexcel-Set-C/MA/Probability%20MA.pdf" TargetMode="External" Id="rId148" /><Relationship Type="http://schemas.openxmlformats.org/officeDocument/2006/relationships/hyperlink" Target="https://www.yesterdaysmathsexam.com/_files/ugd/1ba96f_4cd6cf32b92f4bc0b9a7367d0234224c.pdf#page=6" TargetMode="External" Id="rId149" /><Relationship Type="http://schemas.openxmlformats.org/officeDocument/2006/relationships/hyperlink" Target="https://www.yesterdaysmathsexam.com/_files/ugd/1ba96f_fd18f78d55f040c2946d08a7022983ff.pdf" TargetMode="External" Id="rId150" /><Relationship Type="http://schemas.openxmlformats.org/officeDocument/2006/relationships/hyperlink" Target="https://mathsgenie.co.uk/a-level/maths/edexcel/a-level-statistics-conditional-probability" TargetMode="External" Id="rId151" /><Relationship Type="http://schemas.openxmlformats.org/officeDocument/2006/relationships/hyperlink" Target="https://assets.mathsgenie.co.uk/content/worksheets/a_level_maths/conditional-probability-71f81d84.pdf#page=2" TargetMode="External" Id="rId152" /><Relationship Type="http://schemas.openxmlformats.org/officeDocument/2006/relationships/hyperlink" Target="https://assets.mathsgenie.co.uk/content/worksheets/a_level_maths/conditional-probability-ans-0af1c10c.pdf" TargetMode="External" Id="rId153" /><Relationship Type="http://schemas.openxmlformats.org/officeDocument/2006/relationships/hyperlink" Target="https://pmt.physicsandmathstutor.com/download/Maths/A-level/Statistics/Probability-2/Edexcel-Set-C/QP/Conditional%20Probability%20QP.pdf#page=1" TargetMode="External" Id="rId154" /><Relationship Type="http://schemas.openxmlformats.org/officeDocument/2006/relationships/hyperlink" Target="https://pmt.physicsandmathstutor.com/download/Maths/A-level/Statistics/Probability-2/Edexcel-Set-C/MS/Conditional%20Probability%20MS.pdf" TargetMode="External" Id="rId155" /><Relationship Type="http://schemas.openxmlformats.org/officeDocument/2006/relationships/hyperlink" Target="https://pmt.physicsandmathstutor.com/download/Maths/A-level/Statistics/Probability-2/Edexcel-Set-C/MA/Conditional%20Probability%20MA.pdf" TargetMode="External" Id="rId156" /><Relationship Type="http://schemas.openxmlformats.org/officeDocument/2006/relationships/hyperlink" Target="https://www.yesterdaysmathsexam.com/_files/ugd/1ba96f_4cd6cf32b92f4bc0b9a7367d0234224c.pdf#page=9" TargetMode="External" Id="rId157" /><Relationship Type="http://schemas.openxmlformats.org/officeDocument/2006/relationships/hyperlink" Target="https://www.yesterdaysmathsexam.com/_files/ugd/1ba96f_fd18f78d55f040c2946d08a7022983ff.pdf" TargetMode="External" Id="rId158" /><Relationship Type="http://schemas.openxmlformats.org/officeDocument/2006/relationships/hyperlink" Target="https://mathsgenie.co.uk/a-level/maths/edexcel/a-level-statistics-conditional-probabilities-in-venn-diagrams" TargetMode="External" Id="rId159" /><Relationship Type="http://schemas.openxmlformats.org/officeDocument/2006/relationships/hyperlink" Target="https://assets.mathsgenie.co.uk/content/worksheets/a_level_maths/conditional-probability-71f81d84.pdf#page=14" TargetMode="External" Id="rId160" /><Relationship Type="http://schemas.openxmlformats.org/officeDocument/2006/relationships/hyperlink" Target="https://assets.mathsgenie.co.uk/content/worksheets/a_level_maths/conditional-probability-ans-0af1c10c.pdf" TargetMode="External" Id="rId161" /><Relationship Type="http://schemas.openxmlformats.org/officeDocument/2006/relationships/hyperlink" Target="https://pmt.physicsandmathstutor.com/download/Maths/A-level/Statistics/Probability-2/Edexcel-Set-C/QP/Conditional%20Probability%20QP.pdf#page=1" TargetMode="External" Id="rId162" /><Relationship Type="http://schemas.openxmlformats.org/officeDocument/2006/relationships/hyperlink" Target="https://pmt.physicsandmathstutor.com/download/Maths/A-level/Statistics/Probability-2/Edexcel-Set-C/MS/Conditional%20Probability%20MS.pdf" TargetMode="External" Id="rId163" /><Relationship Type="http://schemas.openxmlformats.org/officeDocument/2006/relationships/hyperlink" Target="https://pmt.physicsandmathstutor.com/download/Maths/A-level/Statistics/Probability-2/Edexcel-Set-C/MA/Conditional%20Probability%20MA.pdf" TargetMode="External" Id="rId164" /><Relationship Type="http://schemas.openxmlformats.org/officeDocument/2006/relationships/hyperlink" Target="https://www.yesterdaysmathsexam.com/_files/ugd/1ba96f_4cd6cf32b92f4bc0b9a7367d0234224c.pdf#page=4" TargetMode="External" Id="rId165" /><Relationship Type="http://schemas.openxmlformats.org/officeDocument/2006/relationships/hyperlink" Target="https://www.yesterdaysmathsexam.com/_files/ugd/1ba96f_fd18f78d55f040c2946d08a7022983ff.pdf" TargetMode="External" Id="rId166" /><Relationship Type="http://schemas.openxmlformats.org/officeDocument/2006/relationships/hyperlink" Target="https://mathsgenie.co.uk/a-level/maths/edexcel/a-level-statistics-probability-formulae" TargetMode="External" Id="rId167" /><Relationship Type="http://schemas.openxmlformats.org/officeDocument/2006/relationships/hyperlink" Target="https://assets.mathsgenie.co.uk/content/worksheets/a_level_maths/conditional-probability-71f81d84.pdf#page=2" TargetMode="External" Id="rId168" /><Relationship Type="http://schemas.openxmlformats.org/officeDocument/2006/relationships/hyperlink" Target="https://assets.mathsgenie.co.uk/content/worksheets/a_level_maths/conditional-probability-ans-0af1c10c.pdf" TargetMode="External" Id="rId169" /><Relationship Type="http://schemas.openxmlformats.org/officeDocument/2006/relationships/hyperlink" Target="https://pmt.physicsandmathstutor.com/download/Maths/A-level/Statistics/Probability-2/Edexcel-Set-C/QP/Probability%20QP.pdf#page=5" TargetMode="External" Id="rId170" /><Relationship Type="http://schemas.openxmlformats.org/officeDocument/2006/relationships/hyperlink" Target="https://pmt.physicsandmathstutor.com/download/Maths/A-level/Statistics/Probability-2/Edexcel-Set-C/MS/Probability%20MS.pdf" TargetMode="External" Id="rId171" /><Relationship Type="http://schemas.openxmlformats.org/officeDocument/2006/relationships/hyperlink" Target="https://pmt.physicsandmathstutor.com/download/Maths/A-level/Statistics/Probability-2/Edexcel-Set-C/MA/Probability%20MA.pdf" TargetMode="External" Id="rId172" /><Relationship Type="http://schemas.openxmlformats.org/officeDocument/2006/relationships/hyperlink" Target="https://www.yesterdaysmathsexam.com/_files/ugd/1ba96f_4cd6cf32b92f4bc0b9a7367d0234224c.pdf#page=6" TargetMode="External" Id="rId173" /><Relationship Type="http://schemas.openxmlformats.org/officeDocument/2006/relationships/hyperlink" Target="https://www.yesterdaysmathsexam.com/_files/ugd/1ba96f_fd18f78d55f040c2946d08a7022983ff.pdf" TargetMode="External" Id="rId174" /><Relationship Type="http://schemas.openxmlformats.org/officeDocument/2006/relationships/hyperlink" Target="https://mathsgenie.co.uk/a-level/maths/edexcel/a-level-statistics-tree-diagrams" TargetMode="External" Id="rId175" /><Relationship Type="http://schemas.openxmlformats.org/officeDocument/2006/relationships/hyperlink" Target="https://assets.mathsgenie.co.uk/content/worksheets/a_level_maths/conditional-probability-71f81d84.pdf#page=10" TargetMode="External" Id="rId176" /><Relationship Type="http://schemas.openxmlformats.org/officeDocument/2006/relationships/hyperlink" Target="https://assets.mathsgenie.co.uk/content/worksheets/a_level_maths/conditional-probability-ans-0af1c10c.pdf" TargetMode="External" Id="rId177" /><Relationship Type="http://schemas.openxmlformats.org/officeDocument/2006/relationships/hyperlink" Target="https://pmt.physicsandmathstutor.com/download/Maths/A-level/Statistics/Probability-2/Edexcel-Set-A/Probability.pdf#page=1" TargetMode="External" Id="rId178" /><Relationship Type="http://schemas.openxmlformats.org/officeDocument/2006/relationships/hyperlink" Target="https://www.yesterdaysmathsexam.com/_files/ugd/1ba96f_4cd6cf32b92f4bc0b9a7367d0234224c.pdf#page=8" TargetMode="External" Id="rId179" /><Relationship Type="http://schemas.openxmlformats.org/officeDocument/2006/relationships/hyperlink" Target="https://www.yesterdaysmathsexam.com/_files/ugd/1ba96f_fd18f78d55f040c2946d08a7022983ff.pdf" TargetMode="External" Id="rId180" /><Relationship Type="http://schemas.openxmlformats.org/officeDocument/2006/relationships/hyperlink" Target="https://mathsgenie.co.uk/a-level/maths/edexcel/a-level-statistics-conditional-probability" TargetMode="External" Id="rId181" /><Relationship Type="http://schemas.openxmlformats.org/officeDocument/2006/relationships/hyperlink" Target="https://assets.mathsgenie.co.uk/content/worksheets/as_level_maths/statistical-distributions-d05f8936.pdf#page=13" TargetMode="External" Id="rId182" /><Relationship Type="http://schemas.openxmlformats.org/officeDocument/2006/relationships/hyperlink" Target="https://assets.mathsgenie.co.uk/content/worksheets/as_level_maths/statistical-distributions-ans-7d8d4cbf.pdf" TargetMode="External" Id="rId183" /><Relationship Type="http://schemas.openxmlformats.org/officeDocument/2006/relationships/hyperlink" Target="https://pmt.physicsandmathstutor.com/download/Maths/A-level/Statistics/Probability-2/Edexcel-Set-C/QP/Conditional%20Probability%20QP.pdf#page=5" TargetMode="External" Id="rId184" /><Relationship Type="http://schemas.openxmlformats.org/officeDocument/2006/relationships/hyperlink" Target="https://pmt.physicsandmathstutor.com/download/Maths/A-level/Statistics/Probability-2/Edexcel-Set-C/MS/Conditional%20Probability%20MS.pdf" TargetMode="External" Id="rId185" /><Relationship Type="http://schemas.openxmlformats.org/officeDocument/2006/relationships/hyperlink" Target="https://pmt.physicsandmathstutor.com/download/Maths/A-level/Statistics/Probability-2/Edexcel-Set-C/MA/Conditional%20Probability%20MA.pdf" TargetMode="External" Id="rId186" /><Relationship Type="http://schemas.openxmlformats.org/officeDocument/2006/relationships/hyperlink" Target="https://www.yesterdaysmathsexam.com/_files/ugd/1ba96f_4cd6cf32b92f4bc0b9a7367d0234224c.pdf#page=1" TargetMode="External" Id="rId187" /><Relationship Type="http://schemas.openxmlformats.org/officeDocument/2006/relationships/hyperlink" Target="https://www.yesterdaysmathsexam.com/_files/ugd/1ba96f_fd18f78d55f040c2946d08a7022983ff.pdf" TargetMode="External" Id="rId188" /><Relationship Type="http://schemas.openxmlformats.org/officeDocument/2006/relationships/hyperlink" Target="https://mathsgenie.co.uk/a-level/maths/edexcel/as-statistics-probability-distributions" TargetMode="External" Id="rId189" /><Relationship Type="http://schemas.openxmlformats.org/officeDocument/2006/relationships/hyperlink" Target="https://assets.mathsgenie.co.uk/content/worksheets/as_level_maths/statistical-distributions-d05f8936.pdf#page=1" TargetMode="External" Id="rId190" /><Relationship Type="http://schemas.openxmlformats.org/officeDocument/2006/relationships/hyperlink" Target="https://assets.mathsgenie.co.uk/content/worksheets/as_level_maths/statistical-distributions-ans-7d8d4cbf.pdf" TargetMode="External" Id="rId191" /><Relationship Type="http://schemas.openxmlformats.org/officeDocument/2006/relationships/hyperlink" Target="https://pmt.physicsandmathstutor.com/download/Maths/A-level/Statistics/Probability-1/Edexcel-Set-C/QP/Probability%20QP.pdf#page=4" TargetMode="External" Id="rId192" /><Relationship Type="http://schemas.openxmlformats.org/officeDocument/2006/relationships/hyperlink" Target="https://pmt.physicsandmathstutor.com/download/Maths/A-level/Statistics/Probability-1/Edexcel-Set-C/MS/Probability%20MS.pdf" TargetMode="External" Id="rId193" /><Relationship Type="http://schemas.openxmlformats.org/officeDocument/2006/relationships/hyperlink" Target="https://pmt.physicsandmathstutor.com/download/Maths/A-level/Statistics/Probability-1/Edexcel-Set-C/MA/Probability%20MA.pdf" TargetMode="External" Id="rId194" /><Relationship Type="http://schemas.openxmlformats.org/officeDocument/2006/relationships/hyperlink" Target="https://www.yesterdaysmathsexam.com/_files/ugd/1ba96f_4cd6cf32b92f4bc0b9a7367d0234224c.pdf#page=1" TargetMode="External" Id="rId195" /><Relationship Type="http://schemas.openxmlformats.org/officeDocument/2006/relationships/hyperlink" Target="https://www.yesterdaysmathsexam.com/_files/ugd/1ba96f_fd18f78d55f040c2946d08a7022983ff.pdf" TargetMode="External" Id="rId196" /><Relationship Type="http://schemas.openxmlformats.org/officeDocument/2006/relationships/hyperlink" Target="https://mathsgenie.co.uk/a-level/maths/edexcel/as-statistics-the-binomial-distribution" TargetMode="External" Id="rId197" /><Relationship Type="http://schemas.openxmlformats.org/officeDocument/2006/relationships/hyperlink" Target="https://assets.mathsgenie.co.uk/content/worksheets/as_level_maths/statistical-distributions-d05f8936.pdf#page=5" TargetMode="External" Id="rId198" /><Relationship Type="http://schemas.openxmlformats.org/officeDocument/2006/relationships/hyperlink" Target="https://assets.mathsgenie.co.uk/content/worksheets/as_level_maths/statistical-distributions-ans-7d8d4cbf.pdf" TargetMode="External" Id="rId199" /><Relationship Type="http://schemas.openxmlformats.org/officeDocument/2006/relationships/hyperlink" Target="https://pmt.physicsandmathstutor.com/download/Maths/A-level/Statistics/Statistical-Distributions-1/Edexcel-Set-C/QP/Discrete%20Distributions%20-%20Binomial%20QP.pdf#page=1" TargetMode="External" Id="rId200" /><Relationship Type="http://schemas.openxmlformats.org/officeDocument/2006/relationships/hyperlink" Target="https://pmt.physicsandmathstutor.com/download/Maths/A-level/Statistics/Statistical-Distributions-1/Edexcel-Set-C/MS/Discrete%20Distributions%20-%20Binomial%20MS.pdf" TargetMode="External" Id="rId201" /><Relationship Type="http://schemas.openxmlformats.org/officeDocument/2006/relationships/hyperlink" Target="https://pmt.physicsandmathstutor.com/download/Maths/A-level/Statistics/Statistical-Distributions-1/Edexcel-Set-C/MA/Discrete%20Distributions%20-%20Binomial%20MA.pdf" TargetMode="External" Id="rId202" /><Relationship Type="http://schemas.openxmlformats.org/officeDocument/2006/relationships/hyperlink" Target="https://www.yesterdaysmathsexam.com/_files/ugd/1ba96f_ae6001c8146345e3859382ba631913c1.pdf#page=1" TargetMode="External" Id="rId203" /><Relationship Type="http://schemas.openxmlformats.org/officeDocument/2006/relationships/hyperlink" Target="https://www.yesterdaysmathsexam.com/_files/ugd/1ba96f_adbe4528a54544dfb83eceef712324fc.pdf" TargetMode="External" Id="rId204" /><Relationship Type="http://schemas.openxmlformats.org/officeDocument/2006/relationships/hyperlink" Target="https://mathsgenie.co.uk/a-level/maths/edexcel/as-statistics-cumulative-probabilities" TargetMode="External" Id="rId205" /><Relationship Type="http://schemas.openxmlformats.org/officeDocument/2006/relationships/hyperlink" Target="https://assets.mathsgenie.co.uk/content/worksheets/as_level_maths/statistical-distributions-d05f8936.pdf#page=5" TargetMode="External" Id="rId206" /><Relationship Type="http://schemas.openxmlformats.org/officeDocument/2006/relationships/hyperlink" Target="https://assets.mathsgenie.co.uk/content/worksheets/as_level_maths/statistical-distributions-ans-7d8d4cbf.pdf" TargetMode="External" Id="rId207" /><Relationship Type="http://schemas.openxmlformats.org/officeDocument/2006/relationships/hyperlink" Target="https://pmt.physicsandmathstutor.com/download/Maths/A-level/Statistics/Statistical-Distributions-1/Edexcel-Set-C/QP/Discrete%20Distributions%20-%20Binomial%20QP.pdf#page=1" TargetMode="External" Id="rId208" /><Relationship Type="http://schemas.openxmlformats.org/officeDocument/2006/relationships/hyperlink" Target="https://pmt.physicsandmathstutor.com/download/Maths/A-level/Statistics/Statistical-Distributions-1/Edexcel-Set-C/MS/Discrete%20Distributions%20-%20Binomial%20MS.pdf" TargetMode="External" Id="rId209" /><Relationship Type="http://schemas.openxmlformats.org/officeDocument/2006/relationships/hyperlink" Target="https://pmt.physicsandmathstutor.com/download/Maths/A-level/Statistics/Statistical-Distributions-1/Edexcel-Set-C/MA/Discrete%20Distributions%20-%20Binomial%20MA.pdf" TargetMode="External" Id="rId210" /><Relationship Type="http://schemas.openxmlformats.org/officeDocument/2006/relationships/hyperlink" Target="https://www.yesterdaysmathsexam.com/_files/ugd/1ba96f_ae6001c8146345e3859382ba631913c1.pdf#page=1" TargetMode="External" Id="rId211" /><Relationship Type="http://schemas.openxmlformats.org/officeDocument/2006/relationships/hyperlink" Target="https://www.yesterdaysmathsexam.com/_files/ugd/1ba96f_adbe4528a54544dfb83eceef712324fc.pdf" TargetMode="External" Id="rId212" /><Relationship Type="http://schemas.openxmlformats.org/officeDocument/2006/relationships/hyperlink" Target="https://mathsgenie.co.uk/a-level/maths/edexcel/a-level-statistics-finding-probabilities-for-normal-distributions" TargetMode="External" Id="rId213" /><Relationship Type="http://schemas.openxmlformats.org/officeDocument/2006/relationships/hyperlink" Target="https://assets.mathsgenie.co.uk/content/worksheets/a_level_maths/the-normal-distribution-7b1fc0c3.pdf#page=1" TargetMode="External" Id="rId214" /><Relationship Type="http://schemas.openxmlformats.org/officeDocument/2006/relationships/hyperlink" Target="https://assets.mathsgenie.co.uk/content/worksheets/a_level_maths/the-normal-distribution-ans-02388df7.pdf" TargetMode="External" Id="rId215" /><Relationship Type="http://schemas.openxmlformats.org/officeDocument/2006/relationships/hyperlink" Target="https://pmt.physicsandmathstutor.com/download/Maths/A-level/Statistics/Statistical-Distributions-2/Edexcel-Set-C/QP/Normal%20Distribution%20QP.pdf#page=1" TargetMode="External" Id="rId216" /><Relationship Type="http://schemas.openxmlformats.org/officeDocument/2006/relationships/hyperlink" Target="https://pmt.physicsandmathstutor.com/download/Maths/A-level/Statistics/Statistical-Distributions-2/Edexcel-Set-C/MS/Normal%20Distribution%20MS.pdf" TargetMode="External" Id="rId217" /><Relationship Type="http://schemas.openxmlformats.org/officeDocument/2006/relationships/hyperlink" Target="https://pmt.physicsandmathstutor.com/download/Maths/A-level/Statistics/Statistical-Distributions-2/Edexcel-Set-C/MA/Normal%20Distribution%20MA.pdf" TargetMode="External" Id="rId218" /><Relationship Type="http://schemas.openxmlformats.org/officeDocument/2006/relationships/hyperlink" Target="https://www.yesterdaysmathsexam.com/_files/ugd/1ba96f_8ea21053b8474cc7a8e93aaa72a172bc.pdf#page=1" TargetMode="External" Id="rId219" /><Relationship Type="http://schemas.openxmlformats.org/officeDocument/2006/relationships/hyperlink" Target="https://www.yesterdaysmathsexam.com/_files/ugd/1ba96f_281e76280539458f9b6630abf7660997.pdf" TargetMode="External" Id="rId220" /><Relationship Type="http://schemas.openxmlformats.org/officeDocument/2006/relationships/hyperlink" Target="https://mathsgenie.co.uk/a-level/maths/edexcel/a-level-statistics-the-inverse-normal-distribution-function" TargetMode="External" Id="rId221" /><Relationship Type="http://schemas.openxmlformats.org/officeDocument/2006/relationships/hyperlink" Target="https://assets.mathsgenie.co.uk/content/worksheets/a_level_maths/the-normal-distribution-7b1fc0c3.pdf#page=3" TargetMode="External" Id="rId222" /><Relationship Type="http://schemas.openxmlformats.org/officeDocument/2006/relationships/hyperlink" Target="https://assets.mathsgenie.co.uk/content/worksheets/a_level_maths/the-normal-distribution-ans-02388df7.pdf" TargetMode="External" Id="rId223" /><Relationship Type="http://schemas.openxmlformats.org/officeDocument/2006/relationships/hyperlink" Target="https://pmt.physicsandmathstutor.com/download/Maths/A-level/Statistics/Statistical-Distributions-2/Edexcel-Set-C/QP/Normal%20Distribution%20QP.pdf#page=1" TargetMode="External" Id="rId224" /><Relationship Type="http://schemas.openxmlformats.org/officeDocument/2006/relationships/hyperlink" Target="https://pmt.physicsandmathstutor.com/download/Maths/A-level/Statistics/Statistical-Distributions-2/Edexcel-Set-C/MS/Normal%20Distribution%20MS.pdf" TargetMode="External" Id="rId225" /><Relationship Type="http://schemas.openxmlformats.org/officeDocument/2006/relationships/hyperlink" Target="https://pmt.physicsandmathstutor.com/download/Maths/A-level/Statistics/Statistical-Distributions-2/Edexcel-Set-C/MA/Normal%20Distribution%20MA.pdf" TargetMode="External" Id="rId226" /><Relationship Type="http://schemas.openxmlformats.org/officeDocument/2006/relationships/hyperlink" Target="https://www.yesterdaysmathsexam.com/_files/ugd/1ba96f_8ea21053b8474cc7a8e93aaa72a172bc.pdf#page=4" TargetMode="External" Id="rId227" /><Relationship Type="http://schemas.openxmlformats.org/officeDocument/2006/relationships/hyperlink" Target="https://www.yesterdaysmathsexam.com/_files/ugd/1ba96f_281e76280539458f9b6630abf7660997.pdf" TargetMode="External" Id="rId228" /><Relationship Type="http://schemas.openxmlformats.org/officeDocument/2006/relationships/hyperlink" Target="https://mathsgenie.co.uk/a-level/maths/edexcel/a-level-statistics-finding-the-mean-and-standard-deviation" TargetMode="External" Id="rId229" /><Relationship Type="http://schemas.openxmlformats.org/officeDocument/2006/relationships/hyperlink" Target="https://assets.mathsgenie.co.uk/content/worksheets/a_level_maths/the-normal-distribution-7b1fc0c3.pdf#page=3" TargetMode="External" Id="rId230" /><Relationship Type="http://schemas.openxmlformats.org/officeDocument/2006/relationships/hyperlink" Target="https://assets.mathsgenie.co.uk/content/worksheets/a_level_maths/the-normal-distribution-ans-02388df7.pdf" TargetMode="External" Id="rId231" /><Relationship Type="http://schemas.openxmlformats.org/officeDocument/2006/relationships/hyperlink" Target="https://pmt.physicsandmathstutor.com/download/Maths/A-level/Statistics/Statistical-Distributions-1/Edexcel-Set-C/QP/Discrete%20Distributions%20-%20Binomial%20QP.pdf#page=4" TargetMode="External" Id="rId232" /><Relationship Type="http://schemas.openxmlformats.org/officeDocument/2006/relationships/hyperlink" Target="https://pmt.physicsandmathstutor.com/download/Maths/A-level/Statistics/Statistical-Distributions-1/Edexcel-Set-C/MS/Discrete%20Distributions%20-%20Binomial%20MS.pdf" TargetMode="External" Id="rId233" /><Relationship Type="http://schemas.openxmlformats.org/officeDocument/2006/relationships/hyperlink" Target="https://pmt.physicsandmathstutor.com/download/Maths/A-level/Statistics/Statistical-Distributions-1/Edexcel-Set-C/MA/Discrete%20Distributions%20-%20Binomial%20MA.pdf" TargetMode="External" Id="rId234" /><Relationship Type="http://schemas.openxmlformats.org/officeDocument/2006/relationships/hyperlink" Target="https://www.yesterdaysmathsexam.com/_files/ugd/1ba96f_8ea21053b8474cc7a8e93aaa72a172bc.pdf#page=8" TargetMode="External" Id="rId235" /><Relationship Type="http://schemas.openxmlformats.org/officeDocument/2006/relationships/hyperlink" Target="https://www.yesterdaysmathsexam.com/_files/ugd/1ba96f_281e76280539458f9b6630abf7660997.pdf" TargetMode="External" Id="rId236" /><Relationship Type="http://schemas.openxmlformats.org/officeDocument/2006/relationships/hyperlink" Target="https://mathsgenie.co.uk/a-level/maths/edexcel/a-level-statistics-approximating-a-binomial-distribution" TargetMode="External" Id="rId237" /><Relationship Type="http://schemas.openxmlformats.org/officeDocument/2006/relationships/hyperlink" Target="https://pmt.physicsandmathstutor.com/download/Maths/A-level/Statistics/Statistical-Distributions-2/Edexcel-Set-C/QP/Discrete%20Distributions%20-%20Binomial%20QP.pdf#page=1" TargetMode="External" Id="rId238" /><Relationship Type="http://schemas.openxmlformats.org/officeDocument/2006/relationships/hyperlink" Target="https://pmt.physicsandmathstutor.com/download/Maths/A-level/Statistics/Statistical-Distributions-2/Edexcel-Set-C/MS/Discrete%20Distributions%20-%20Binomial%20MS.pdf" TargetMode="External" Id="rId239" /><Relationship Type="http://schemas.openxmlformats.org/officeDocument/2006/relationships/hyperlink" Target="https://pmt.physicsandmathstutor.com/download/Maths/A-level/Statistics/Statistical-Distributions-2/Edexcel-Set-C/MA/Discrete%20Distributions%20-%20Binomial%20MA.pdf" TargetMode="External" Id="rId240" /><Relationship Type="http://schemas.openxmlformats.org/officeDocument/2006/relationships/hyperlink" Target="https://www.yesterdaysmathsexam.com/_files/ugd/1ba96f_8ea21053b8474cc7a8e93aaa72a172bc.pdf#page=7" TargetMode="External" Id="rId241" /><Relationship Type="http://schemas.openxmlformats.org/officeDocument/2006/relationships/hyperlink" Target="https://www.yesterdaysmathsexam.com/_files/ugd/1ba96f_281e76280539458f9b6630abf7660997.pdf" TargetMode="External" Id="rId242" /><Relationship Type="http://schemas.openxmlformats.org/officeDocument/2006/relationships/hyperlink" Target="https://mathsgenie.co.uk/a-level/maths/edexcel/a-level-statistics-approximating-a-binomial-distribution" TargetMode="External" Id="rId243" /><Relationship Type="http://schemas.openxmlformats.org/officeDocument/2006/relationships/hyperlink" Target="https://assets.mathsgenie.co.uk/content/worksheets/as_level_maths/statistical-distributions-d05f8936.pdf#page=9" TargetMode="External" Id="rId244" /><Relationship Type="http://schemas.openxmlformats.org/officeDocument/2006/relationships/hyperlink" Target="https://assets.mathsgenie.co.uk/content/worksheets/as_level_maths/statistical-distributions-ans-7d8d4cbf.pdf" TargetMode="External" Id="rId245" /><Relationship Type="http://schemas.openxmlformats.org/officeDocument/2006/relationships/hyperlink" Target="https://pmt.physicsandmathstutor.com/download/Maths/A-level/Statistics/Statistical-Distributions-2/Edexcel-Set-C/QP/Normal%20Distribution%20QP.pdf#page=4" TargetMode="External" Id="rId246" /><Relationship Type="http://schemas.openxmlformats.org/officeDocument/2006/relationships/hyperlink" Target="https://pmt.physicsandmathstutor.com/download/Maths/A-level/Statistics/Statistical-Distributions-2/Edexcel-Set-C/MS/Normal%20Distribution%20MS.pdf" TargetMode="External" Id="rId247" /><Relationship Type="http://schemas.openxmlformats.org/officeDocument/2006/relationships/hyperlink" Target="https://pmt.physicsandmathstutor.com/download/Maths/A-level/Statistics/Statistical-Distributions-2/Edexcel-Set-C/MA/Normal%20Distribution%20MA.pdf" TargetMode="External" Id="rId248" /><Relationship Type="http://schemas.openxmlformats.org/officeDocument/2006/relationships/hyperlink" Target="https://www.yesterdaysmathsexam.com/_files/ugd/1ba96f_8ea21053b8474cc7a8e93aaa72a172bc.pdf#page=4" TargetMode="External" Id="rId249" /><Relationship Type="http://schemas.openxmlformats.org/officeDocument/2006/relationships/hyperlink" Target="https://www.yesterdaysmathsexam.com/_files/ugd/1ba96f_281e76280539458f9b6630abf7660997.pdf" TargetMode="External" Id="rId250" /><Relationship Type="http://schemas.openxmlformats.org/officeDocument/2006/relationships/hyperlink" Target="https://mathsgenie.co.uk/a-level/maths/edexcel/as-statistics-hypothesis-testing" TargetMode="External" Id="rId251" /><Relationship Type="http://schemas.openxmlformats.org/officeDocument/2006/relationships/hyperlink" Target="https://assets.mathsgenie.co.uk/content/worksheets/a_level_maths/as-statistics-7-hypothesis-testing-medium-5001c953.pdf#page=3" TargetMode="External" Id="rId252" /><Relationship Type="http://schemas.openxmlformats.org/officeDocument/2006/relationships/hyperlink" Target="https://assets.mathsgenie.co.uk/content/worksheets/a_level_maths/as-statistics-7-hypothesis-testing-medium-ans-6633e1c7.pdf" TargetMode="External" Id="rId253" /><Relationship Type="http://schemas.openxmlformats.org/officeDocument/2006/relationships/hyperlink" Target="https://pmt.physicsandmathstutor.com/download/Maths/A-level/Statistics/Hypothesis-Testing-1/Edexcel-Set-C/QP/Hypothesis%20Testing%20-%20Tests%20on%20Binomial%20QP.pdf#page=1" TargetMode="External" Id="rId254" /><Relationship Type="http://schemas.openxmlformats.org/officeDocument/2006/relationships/hyperlink" Target="https://pmt.physicsandmathstutor.com/download/Maths/A-level/Statistics/Hypothesis-Testing-1/Edexcel-Set-C/MS/Hypothesis%20Testing%20-%20Tests%20on%20Binomial%20MS.pdf" TargetMode="External" Id="rId255" /><Relationship Type="http://schemas.openxmlformats.org/officeDocument/2006/relationships/hyperlink" Target="https://pmt.physicsandmathstutor.com/download/Maths/A-level/Statistics/Hypothesis-Testing-1/Edexcel-Set-C/MA/Hypothesis%20Testing%20-%20Tests%20on%20Binomial%20MA.pdf" TargetMode="External" Id="rId256" /><Relationship Type="http://schemas.openxmlformats.org/officeDocument/2006/relationships/hyperlink" Target="https://www.yesterdaysmathsexam.com/_files/ugd/1ba96f_ae6001c8146345e3859382ba631913c1.pdf#page=3" TargetMode="External" Id="rId257" /><Relationship Type="http://schemas.openxmlformats.org/officeDocument/2006/relationships/hyperlink" Target="https://www.yesterdaysmathsexam.com/_files/ugd/1ba96f_adbe4528a54544dfb83eceef712324fc.pdf" TargetMode="External" Id="rId258" /><Relationship Type="http://schemas.openxmlformats.org/officeDocument/2006/relationships/hyperlink" Target="https://mathsgenie.co.uk/a-level/maths/edexcel/as-statistics-finding-critical-values" TargetMode="External" Id="rId259" /><Relationship Type="http://schemas.openxmlformats.org/officeDocument/2006/relationships/hyperlink" Target="https://assets.mathsgenie.co.uk/content/worksheets/as_level_maths/as-stats-binomial-hypothesis-testing-193c0b37.pdf#page=10" TargetMode="External" Id="rId260" /><Relationship Type="http://schemas.openxmlformats.org/officeDocument/2006/relationships/hyperlink" Target="https://assets.mathsgenie.co.uk/content/worksheets/as_level_maths/hypothesis-testing-ans-40e50518.pdf" TargetMode="External" Id="rId261" /><Relationship Type="http://schemas.openxmlformats.org/officeDocument/2006/relationships/hyperlink" Target="https://pmt.physicsandmathstutor.com/download/Maths/A-level/Statistics/Hypothesis-Testing-1/Edexcel-Set-C/QP/Hypothesis%20Testing%20-%20Tests%20on%20Binomial%20QP.pdf#page=2" TargetMode="External" Id="rId262" /><Relationship Type="http://schemas.openxmlformats.org/officeDocument/2006/relationships/hyperlink" Target="https://pmt.physicsandmathstutor.com/download/Maths/A-level/Statistics/Hypothesis-Testing-1/Edexcel-Set-C/MS/Hypothesis%20Testing%20-%20Tests%20on%20Binomial%20MS.pdf" TargetMode="External" Id="rId263" /><Relationship Type="http://schemas.openxmlformats.org/officeDocument/2006/relationships/hyperlink" Target="https://pmt.physicsandmathstutor.com/download/Maths/A-level/Statistics/Hypothesis-Testing-1/Edexcel-Set-C/MA/Hypothesis%20Testing%20-%20Tests%20on%20Binomial%20MA.pdf" TargetMode="External" Id="rId264" /><Relationship Type="http://schemas.openxmlformats.org/officeDocument/2006/relationships/hyperlink" Target="https://www.yesterdaysmathsexam.com/_files/ugd/1ba96f_ae6001c8146345e3859382ba631913c1.pdf#page=3" TargetMode="External" Id="rId265" /><Relationship Type="http://schemas.openxmlformats.org/officeDocument/2006/relationships/hyperlink" Target="https://www.yesterdaysmathsexam.com/_files/ugd/1ba96f_adbe4528a54544dfb83eceef712324fc.pdf" TargetMode="External" Id="rId266" /><Relationship Type="http://schemas.openxmlformats.org/officeDocument/2006/relationships/hyperlink" Target="https://mathsgenie.co.uk/a-level/maths/edexcel/as-statistics-one-tailed-tests" TargetMode="External" Id="rId267" /><Relationship Type="http://schemas.openxmlformats.org/officeDocument/2006/relationships/hyperlink" Target="https://assets.mathsgenie.co.uk/content/worksheets/as_level_maths/as-stats-binomial-hypothesis-testing-193c0b37.pdf#page=3" TargetMode="External" Id="rId268" /><Relationship Type="http://schemas.openxmlformats.org/officeDocument/2006/relationships/hyperlink" Target="https://assets.mathsgenie.co.uk/content/worksheets/as_level_maths/hypothesis-testing-ans-40e50518.pdf" TargetMode="External" Id="rId269" /><Relationship Type="http://schemas.openxmlformats.org/officeDocument/2006/relationships/hyperlink" Target="https://pmt.physicsandmathstutor.com/download/Maths/A-level/Statistics/Hypothesis-Testing-1/Edexcel-Set-C/QP/Hypothesis%20Testing%20-%20Tests%20on%20Binomial%20QP.pdf#page=4" TargetMode="External" Id="rId270" /><Relationship Type="http://schemas.openxmlformats.org/officeDocument/2006/relationships/hyperlink" Target="https://pmt.physicsandmathstutor.com/download/Maths/A-level/Statistics/Hypothesis-Testing-1/Edexcel-Set-C/MS/Hypothesis%20Testing%20-%20Tests%20on%20Binomial%20MS.pdf" TargetMode="External" Id="rId271" /><Relationship Type="http://schemas.openxmlformats.org/officeDocument/2006/relationships/hyperlink" Target="https://pmt.physicsandmathstutor.com/download/Maths/A-level/Statistics/Hypothesis-Testing-1/Edexcel-Set-C/MA/Hypothesis%20Testing%20-%20Tests%20on%20Binomial%20MA.pdf" TargetMode="External" Id="rId272" /><Relationship Type="http://schemas.openxmlformats.org/officeDocument/2006/relationships/hyperlink" Target="https://www.yesterdaysmathsexam.com/_files/ugd/1ba96f_ae6001c8146345e3859382ba631913c1.pdf#page=1" TargetMode="External" Id="rId273" /><Relationship Type="http://schemas.openxmlformats.org/officeDocument/2006/relationships/hyperlink" Target="https://www.yesterdaysmathsexam.com/_files/ugd/1ba96f_adbe4528a54544dfb83eceef712324fc.pdf" TargetMode="External" Id="rId274" /><Relationship Type="http://schemas.openxmlformats.org/officeDocument/2006/relationships/hyperlink" Target="https://mathsgenie.co.uk/a-level/maths/edexcel/as-statistics-two-tailed-tests" TargetMode="External" Id="rId275" /><Relationship Type="http://schemas.openxmlformats.org/officeDocument/2006/relationships/hyperlink" Target="https://assets.mathsgenie.co.uk/content/worksheets/as_level_maths/as-stats-binomial-hypothesis-testing-193c0b37.pdf#page=8" TargetMode="External" Id="rId276" /><Relationship Type="http://schemas.openxmlformats.org/officeDocument/2006/relationships/hyperlink" Target="https://assets.mathsgenie.co.uk/content/worksheets/as_level_maths/hypothesis-testing-ans-40e50518.pdf" TargetMode="External" Id="rId277" /><Relationship Type="http://schemas.openxmlformats.org/officeDocument/2006/relationships/hyperlink" Target="https://pmt.physicsandmathstutor.com/download/Maths/A-level/Statistics/Hypothesis-Testing-1/Edexcel-Set-C/QP/Hypothesis%20Testing%20-%20Tests%20on%20Binomial%20QP.pdf#page=1" TargetMode="External" Id="rId278" /><Relationship Type="http://schemas.openxmlformats.org/officeDocument/2006/relationships/hyperlink" Target="https://pmt.physicsandmathstutor.com/download/Maths/A-level/Statistics/Hypothesis-Testing-1/Edexcel-Set-C/MS/Hypothesis%20Testing%20-%20Tests%20on%20Binomial%20MS.pdf" TargetMode="External" Id="rId279" /><Relationship Type="http://schemas.openxmlformats.org/officeDocument/2006/relationships/hyperlink" Target="https://pmt.physicsandmathstutor.com/download/Maths/A-level/Statistics/Hypothesis-Testing-1/Edexcel-Set-C/MA/Hypothesis%20Testing%20-%20Tests%20on%20Binomial%20MA.pdf" TargetMode="External" Id="rId280" /><Relationship Type="http://schemas.openxmlformats.org/officeDocument/2006/relationships/hyperlink" Target="https://www.yesterdaysmathsexam.com/_files/ugd/1ba96f_ae6001c8146345e3859382ba631913c1.pdf#page=5" TargetMode="External" Id="rId281" /><Relationship Type="http://schemas.openxmlformats.org/officeDocument/2006/relationships/hyperlink" Target="https://www.yesterdaysmathsexam.com/_files/ugd/1ba96f_adbe4528a54544dfb83eceef712324fc.pdf" TargetMode="External" Id="rId282" /><Relationship Type="http://schemas.openxmlformats.org/officeDocument/2006/relationships/hyperlink" Target="https://mathsgenie.co.uk/a-level/maths/edexcel/a-level-statistics-measuring-correlation" TargetMode="External" Id="rId283" /><Relationship Type="http://schemas.openxmlformats.org/officeDocument/2006/relationships/hyperlink" Target="https://assets.mathsgenie.co.uk/content/worksheets/a_level_maths/regression-correlation-and-hypothesis-testing-955d4f0c.pdf#page=7" TargetMode="External" Id="rId284" /><Relationship Type="http://schemas.openxmlformats.org/officeDocument/2006/relationships/hyperlink" Target="https://assets.mathsgenie.co.uk/content/worksheets/a_level_maths/regression-correlation-and-hypothesis-testing-ans-c55c04e4.pdf" TargetMode="External" Id="rId285" /><Relationship Type="http://schemas.openxmlformats.org/officeDocument/2006/relationships/hyperlink" Target="https://pmt.physicsandmathstutor.com/download/Maths/A-level/Statistics/Data-Presentation-and-Interpretation-2/Edexcel-Set-C/QP/Regression%20and%20Correlation%20QP.pdf#page=1" TargetMode="External" Id="rId286" /><Relationship Type="http://schemas.openxmlformats.org/officeDocument/2006/relationships/hyperlink" Target="https://pmt.physicsandmathstutor.com/download/Maths/A-level/Statistics/Data-Presentation-and-Interpretation-2/Edexcel-Set-C/MS/Regression%20and%20Correlation%20MS.pdf" TargetMode="External" Id="rId287" /><Relationship Type="http://schemas.openxmlformats.org/officeDocument/2006/relationships/hyperlink" Target="https://pmt.physicsandmathstutor.com/download/Maths/A-level/Statistics/Data-Presentation-and-Interpretation-2/Edexcel-Set-C/MA/Regression%20and%20Correlation%20MA.pdf" TargetMode="External" Id="rId288" /><Relationship Type="http://schemas.openxmlformats.org/officeDocument/2006/relationships/hyperlink" Target="https://www.yesterdaysmathsexam.com/_files/ugd/1ba96f_6a49bd268f8c4da99e57af29beb09d87.pdf#page=1" TargetMode="External" Id="rId289" /><Relationship Type="http://schemas.openxmlformats.org/officeDocument/2006/relationships/hyperlink" Target="https://www.yesterdaysmathsexam.com/_files/ugd/1ba96f_be9d0430ee804751a010650f256781fc.pdf" TargetMode="External" Id="rId290" /><Relationship Type="http://schemas.openxmlformats.org/officeDocument/2006/relationships/hyperlink" Target="https://mathsgenie.co.uk/a-level/maths/edexcel/a-level-statistics-hypothesis-testing-for-zero-correlation" TargetMode="External" Id="rId291" /><Relationship Type="http://schemas.openxmlformats.org/officeDocument/2006/relationships/hyperlink" Target="https://assets.mathsgenie.co.uk/content/worksheets/a_level_maths/regression-correlation-and-hypothesis-testing-955d4f0c.pdf#page=2" TargetMode="External" Id="rId292" /><Relationship Type="http://schemas.openxmlformats.org/officeDocument/2006/relationships/hyperlink" Target="https://assets.mathsgenie.co.uk/content/worksheets/a_level_maths/regression-correlation-and-hypothesis-testing-ans-c55c04e4.pdf" TargetMode="External" Id="rId293" /><Relationship Type="http://schemas.openxmlformats.org/officeDocument/2006/relationships/hyperlink" Target="https://pmt.physicsandmathstutor.com/download/Maths/A-level/Statistics/Data-Presentation-and-Interpretation-2/Edexcel-Set-C/QP/Regression%20and%20Correlation%20QP.pdf#page=1" TargetMode="External" Id="rId294" /><Relationship Type="http://schemas.openxmlformats.org/officeDocument/2006/relationships/hyperlink" Target="https://pmt.physicsandmathstutor.com/download/Maths/A-level/Statistics/Data-Presentation-and-Interpretation-2/Edexcel-Set-C/MS/Regression%20and%20Correlation%20MS.pdf" TargetMode="External" Id="rId295" /><Relationship Type="http://schemas.openxmlformats.org/officeDocument/2006/relationships/hyperlink" Target="https://pmt.physicsandmathstutor.com/download/Maths/A-level/Statistics/Data-Presentation-and-Interpretation-2/Edexcel-Set-C/MA/Regression%20and%20Correlation%20MA.pdf" TargetMode="External" Id="rId296" /><Relationship Type="http://schemas.openxmlformats.org/officeDocument/2006/relationships/hyperlink" Target="https://www.yesterdaysmathsexam.com/_files/ugd/1ba96f_6a49bd268f8c4da99e57af29beb09d87.pdf#page=1" TargetMode="External" Id="rId297" /><Relationship Type="http://schemas.openxmlformats.org/officeDocument/2006/relationships/hyperlink" Target="https://www.yesterdaysmathsexam.com/_files/ugd/1ba96f_be9d0430ee804751a010650f256781fc.pdf" TargetMode="External" Id="rId298" /><Relationship Type="http://schemas.openxmlformats.org/officeDocument/2006/relationships/hyperlink" Target="https://mathsgenie.co.uk/a-level/maths/edexcel/a-level-statistics-hypothesis-testing-with-the-normal-distribution" TargetMode="External" Id="rId299" /><Relationship Type="http://schemas.openxmlformats.org/officeDocument/2006/relationships/hyperlink" Target="https://assets.mathsgenie.co.uk/content/worksheets/a_level_maths/the-normal-distribution-7b1fc0c3.pdf#page=6" TargetMode="External" Id="rId300" /><Relationship Type="http://schemas.openxmlformats.org/officeDocument/2006/relationships/hyperlink" Target="https://assets.mathsgenie.co.uk/content/worksheets/a_level_maths/the-normal-distribution-ans-02388df7.pdf" TargetMode="External" Id="rId301" /><Relationship Type="http://schemas.openxmlformats.org/officeDocument/2006/relationships/hyperlink" Target="https://pmt.physicsandmathstutor.com/download/Maths/A-level/Statistics/Statistical-Distributions-2/Edexcel-Set-C/QP/Normal%20Distribution%20QP.pdf#page=1" TargetMode="External" Id="rId302" /><Relationship Type="http://schemas.openxmlformats.org/officeDocument/2006/relationships/hyperlink" Target="https://pmt.physicsandmathstutor.com/download/Maths/A-level/Statistics/Statistical-Distributions-2/Edexcel-Set-C/MS/Normal%20Distribution%20MS.pdf" TargetMode="External" Id="rId303" /><Relationship Type="http://schemas.openxmlformats.org/officeDocument/2006/relationships/hyperlink" Target="https://pmt.physicsandmathstutor.com/download/Maths/A-level/Statistics/Statistical-Distributions-2/Edexcel-Set-C/MA/Normal%20Distribution%20MA.pdf" TargetMode="External" Id="rId304" /><Relationship Type="http://schemas.openxmlformats.org/officeDocument/2006/relationships/hyperlink" Target="https://www.yesterdaysmathsexam.com/_files/ugd/1ba96f_8ea21053b8474cc7a8e93aaa72a172bc.pdf#page=1" TargetMode="External" Id="rId305" /><Relationship Type="http://schemas.openxmlformats.org/officeDocument/2006/relationships/hyperlink" Target="https://www.yesterdaysmathsexam.com/_files/ugd/1ba96f_281e76280539458f9b6630abf7660997.pdf" TargetMode="External" Id="rId30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mathsgenie.co.uk/a-level/maths/edexcel/as-mechanics-quantities-and-units" TargetMode="External" Id="rId1" /><Relationship Type="http://schemas.openxmlformats.org/officeDocument/2006/relationships/hyperlink" Target="https://assets.mathsgenie.co.uk/content/worksheets/a_level_maths/constant-acceleration-e79b95b1.pdf#page=5" TargetMode="External" Id="rId2" /><Relationship Type="http://schemas.openxmlformats.org/officeDocument/2006/relationships/hyperlink" Target="https://assets.mathsgenie.co.uk/content/worksheets/a_level_maths/constant-acceleration-ans-ed4f0764.pdf" TargetMode="External" Id="rId3" /><Relationship Type="http://schemas.openxmlformats.org/officeDocument/2006/relationships/hyperlink" Target="https://pmt.physicsandmathstutor.com/download/Maths/A-level/Mechanics/Kinematics-2/Edexcel-Set-C/QP/Kinematics%20-%20by%20Graphical%20Methods%20QP.pdf#page=1" TargetMode="External" Id="rId4" /><Relationship Type="http://schemas.openxmlformats.org/officeDocument/2006/relationships/hyperlink" Target="https://pmt.physicsandmathstutor.com/download/Maths/A-level/Mechanics/Kinematics-2/Edexcel-Set-C/MS/Kinematics%20-%20by%20Graphical%20Methods%20MS.pdf" TargetMode="External" Id="rId5" /><Relationship Type="http://schemas.openxmlformats.org/officeDocument/2006/relationships/hyperlink" Target="https://pmt.physicsandmathstutor.com/download/Maths/A-level/Mechanics/Kinematics-2/Edexcel-Set-C/MA/Kinematics%20-%20by%20Graphical%20Methods%20MA.pdf" TargetMode="External" Id="rId6" /><Relationship Type="http://schemas.openxmlformats.org/officeDocument/2006/relationships/hyperlink" Target="https://www.yesterdaysmathsexam.com/_files/ugd/1ba96f_ca5b2e753db74712a58a19f43cd20632.pdf#page=11" TargetMode="External" Id="rId7" /><Relationship Type="http://schemas.openxmlformats.org/officeDocument/2006/relationships/hyperlink" Target="https://www.yesterdaysmathsexam.com/_files/ugd/1ba96f_09e49e6ba51c4072a93a223aa3914a7a.pdf" TargetMode="External" Id="rId8" /><Relationship Type="http://schemas.openxmlformats.org/officeDocument/2006/relationships/hyperlink" Target="https://mathsgenie.co.uk/a-level/maths/edexcel/as-mechanics-modelling-assumptions" TargetMode="External" Id="rId9" /><Relationship Type="http://schemas.openxmlformats.org/officeDocument/2006/relationships/hyperlink" Target="https://assets.mathsgenie.co.uk/content/worksheets/a_level_maths/constant-acceleration-e79b95b1.pdf#page=22" TargetMode="External" Id="rId10" /><Relationship Type="http://schemas.openxmlformats.org/officeDocument/2006/relationships/hyperlink" Target="https://assets.mathsgenie.co.uk/content/worksheets/a_level_maths/constant-acceleration-ans-ed4f0764.pdf" TargetMode="External" Id="rId11" /><Relationship Type="http://schemas.openxmlformats.org/officeDocument/2006/relationships/hyperlink" Target="https://pmt.physicsandmathstutor.com/download/Maths/A-level/Mechanics/Kinematics-1/Edexcel-Set-C/QP/Kinematics%20-%20Uniform%20Acceleration%20Formulae%20QP.pdf#page=1" TargetMode="External" Id="rId12" /><Relationship Type="http://schemas.openxmlformats.org/officeDocument/2006/relationships/hyperlink" Target="https://pmt.physicsandmathstutor.com/download/Maths/A-level/Mechanics/Kinematics-1/Edexcel-Set-C/MS/Kinematics%20-%20Uniform%20Acceleration%20Formulae%20MS.pdf" TargetMode="External" Id="rId13" /><Relationship Type="http://schemas.openxmlformats.org/officeDocument/2006/relationships/hyperlink" Target="https://pmt.physicsandmathstutor.com/download/Maths/A-level/Mechanics/Kinematics-1/Edexcel-Set-C/MA/Kinematics%20-%20Uniform%20Acceleration%20Formulae%20MA.pdf" TargetMode="External" Id="rId14" /><Relationship Type="http://schemas.openxmlformats.org/officeDocument/2006/relationships/hyperlink" Target="https://www.yesterdaysmathsexam.com/_files/ugd/1ba96f_b315f5201a2b4e32bf0713e9977cf16c.pdf#page=2" TargetMode="External" Id="rId15" /><Relationship Type="http://schemas.openxmlformats.org/officeDocument/2006/relationships/hyperlink" Target="https://www.yesterdaysmathsexam.com/_files/ugd/1ba96f_fc703295344d450dacbb5487e067849c.pdf" TargetMode="External" Id="rId16" /><Relationship Type="http://schemas.openxmlformats.org/officeDocument/2006/relationships/hyperlink" Target="https://mathsgenie.co.uk/a-level/maths/edexcel/as-mechanics-displacement-time-graphs" TargetMode="External" Id="rId17" /><Relationship Type="http://schemas.openxmlformats.org/officeDocument/2006/relationships/hyperlink" Target="https://pmt.physicsandmathstutor.com/download/Maths/A-level/Mechanics/Kinematics-1/Edexcel-Set-C/QP/Kinematics%20-%20Uniform%20Acceleration%20Formulae%20QP.pdf#page=1" TargetMode="External" Id="rId18" /><Relationship Type="http://schemas.openxmlformats.org/officeDocument/2006/relationships/hyperlink" Target="https://pmt.physicsandmathstutor.com/download/Maths/A-level/Mechanics/Kinematics-1/Edexcel-Set-C/MS/Kinematics%20-%20Uniform%20Acceleration%20Formulae%20MS.pdf" TargetMode="External" Id="rId19" /><Relationship Type="http://schemas.openxmlformats.org/officeDocument/2006/relationships/hyperlink" Target="https://pmt.physicsandmathstutor.com/download/Maths/A-level/Mechanics/Kinematics-1/Edexcel-Set-C/MA/Kinematics%20-%20Uniform%20Acceleration%20Formulae%20MA.pdf" TargetMode="External" Id="rId20" /><Relationship Type="http://schemas.openxmlformats.org/officeDocument/2006/relationships/hyperlink" Target="https://www.yesterdaysmathsexam.com/_files/ugd/1ba96f_b315f5201a2b4e32bf0713e9977cf16c.pdf#page=9" TargetMode="External" Id="rId21" /><Relationship Type="http://schemas.openxmlformats.org/officeDocument/2006/relationships/hyperlink" Target="https://www.yesterdaysmathsexam.com/_files/ugd/1ba96f_fc703295344d450dacbb5487e067849c.pdf" TargetMode="External" Id="rId22" /><Relationship Type="http://schemas.openxmlformats.org/officeDocument/2006/relationships/hyperlink" Target="https://mathsgenie.co.uk/a-level/maths/edexcel/as-mechanics-displacement-time-graphs" TargetMode="External" Id="rId23" /><Relationship Type="http://schemas.openxmlformats.org/officeDocument/2006/relationships/hyperlink" Target="https://mathsgenie.co.uk/a-level/maths/edexcel/as-mechanics-velocity-time-graphs" TargetMode="External" Id="rId24" /><Relationship Type="http://schemas.openxmlformats.org/officeDocument/2006/relationships/hyperlink" Target="https://assets.mathsgenie.co.uk/content/worksheets/a_level_maths/as-mechanics-velocity-time-graphs-d54c1f70.pdf#page=1" TargetMode="External" Id="rId25" /><Relationship Type="http://schemas.openxmlformats.org/officeDocument/2006/relationships/hyperlink" Target="https://assets.mathsgenie.co.uk/content/worksheets/a_level_maths/as-mechanics-velocity-time-graphs-ans-086aa1f1.pdf" TargetMode="External" Id="rId26" /><Relationship Type="http://schemas.openxmlformats.org/officeDocument/2006/relationships/hyperlink" Target="https://pmt.physicsandmathstutor.com/download/Maths/A-level/Mechanics/Kinematics-1/Edexcel-Set-C/QP/Kinematics%20-%20by%20Graphical%20Methods%20QP.pdf#page=1" TargetMode="External" Id="rId27" /><Relationship Type="http://schemas.openxmlformats.org/officeDocument/2006/relationships/hyperlink" Target="https://pmt.physicsandmathstutor.com/download/Maths/A-level/Mechanics/Kinematics-1/Edexcel-Set-C/MS/Kinematics%20-%20by%20Graphical%20Methods%20MS.pdf" TargetMode="External" Id="rId28" /><Relationship Type="http://schemas.openxmlformats.org/officeDocument/2006/relationships/hyperlink" Target="https://pmt.physicsandmathstutor.com/download/Maths/A-level/Mechanics/Kinematics-1/Edexcel-Set-C/MA/Kinematics%20-%20by%20Graphical%20Methods%20MA.pdf" TargetMode="External" Id="rId29" /><Relationship Type="http://schemas.openxmlformats.org/officeDocument/2006/relationships/hyperlink" Target="https://www.yesterdaysmathsexam.com/_files/ugd/1ba96f_ca5b2e753db74712a58a19f43cd20632.pdf#page=2" TargetMode="External" Id="rId30" /><Relationship Type="http://schemas.openxmlformats.org/officeDocument/2006/relationships/hyperlink" Target="https://www.yesterdaysmathsexam.com/_files/ugd/1ba96f_09e49e6ba51c4072a93a223aa3914a7a.pdf" TargetMode="External" Id="rId31" /><Relationship Type="http://schemas.openxmlformats.org/officeDocument/2006/relationships/hyperlink" Target="https://mathsgenie.co.uk/a-level/maths/edexcel/as-mechanics-constant-acceleration-formulae-1" TargetMode="External" Id="rId32" /><Relationship Type="http://schemas.openxmlformats.org/officeDocument/2006/relationships/hyperlink" Target="https://assets.mathsgenie.co.uk/content/worksheets/a_level_maths/constant-acceleration-e79b95b1.pdf#page=2" TargetMode="External" Id="rId33" /><Relationship Type="http://schemas.openxmlformats.org/officeDocument/2006/relationships/hyperlink" Target="https://assets.mathsgenie.co.uk/content/worksheets/a_level_maths/constant-acceleration-ans-ed4f0764.pdf" TargetMode="External" Id="rId34" /><Relationship Type="http://schemas.openxmlformats.org/officeDocument/2006/relationships/hyperlink" Target="https://pmt.physicsandmathstutor.com/download/Maths/A-level/Mechanics/Kinematics-1/Edexcel-Set-C/QP/Kinematics%20-%20Uniform%20Acceleration%20Formulae%20QP.pdf#page=1" TargetMode="External" Id="rId35" /><Relationship Type="http://schemas.openxmlformats.org/officeDocument/2006/relationships/hyperlink" Target="https://pmt.physicsandmathstutor.com/download/Maths/A-level/Mechanics/Kinematics-1/Edexcel-Set-C/MS/Kinematics%20-%20Uniform%20Acceleration%20Formulae%20MS.pdf" TargetMode="External" Id="rId36" /><Relationship Type="http://schemas.openxmlformats.org/officeDocument/2006/relationships/hyperlink" Target="https://pmt.physicsandmathstutor.com/download/Maths/A-level/Mechanics/Kinematics-1/Edexcel-Set-C/MA/Kinematics%20-%20Uniform%20Acceleration%20Formulae%20MA.pdf" TargetMode="External" Id="rId37" /><Relationship Type="http://schemas.openxmlformats.org/officeDocument/2006/relationships/hyperlink" Target="https://www.yesterdaysmathsexam.com/_files/ugd/1ba96f_b315f5201a2b4e32bf0713e9977cf16c.pdf#page=1" TargetMode="External" Id="rId38" /><Relationship Type="http://schemas.openxmlformats.org/officeDocument/2006/relationships/hyperlink" Target="https://www.yesterdaysmathsexam.com/_files/ugd/1ba96f_fc703295344d450dacbb5487e067849c.pdf" TargetMode="External" Id="rId39" /><Relationship Type="http://schemas.openxmlformats.org/officeDocument/2006/relationships/hyperlink" Target="https://mathsgenie.co.uk/a-level/maths/edexcel/as-mechanics-constant-acceleration-formulae-2" TargetMode="External" Id="rId40" /><Relationship Type="http://schemas.openxmlformats.org/officeDocument/2006/relationships/hyperlink" Target="https://assets.mathsgenie.co.uk/content/worksheets/a_level_maths/constant-acceleration-e79b95b1.pdf#page=16" TargetMode="External" Id="rId41" /><Relationship Type="http://schemas.openxmlformats.org/officeDocument/2006/relationships/hyperlink" Target="https://assets.mathsgenie.co.uk/content/worksheets/a_level_maths/constant-acceleration-ans-ed4f0764.pdf" TargetMode="External" Id="rId42" /><Relationship Type="http://schemas.openxmlformats.org/officeDocument/2006/relationships/hyperlink" Target="https://pmt.physicsandmathstutor.com/download/Maths/A-level/Mechanics/Kinematics-1/Edexcel-Set-C/QP/Kinematics%20-%20by%20Graphical%20Methods%20QP.pdf#page=1" TargetMode="External" Id="rId43" /><Relationship Type="http://schemas.openxmlformats.org/officeDocument/2006/relationships/hyperlink" Target="https://pmt.physicsandmathstutor.com/download/Maths/A-level/Mechanics/Kinematics-1/Edexcel-Set-C/MS/Kinematics%20-%20by%20Graphical%20Methods%20MS.pdf" TargetMode="External" Id="rId44" /><Relationship Type="http://schemas.openxmlformats.org/officeDocument/2006/relationships/hyperlink" Target="https://pmt.physicsandmathstutor.com/download/Maths/A-level/Mechanics/Kinematics-1/Edexcel-Set-C/MA/Kinematics%20-%20by%20Graphical%20Methods%20MA.pdf" TargetMode="External" Id="rId45" /><Relationship Type="http://schemas.openxmlformats.org/officeDocument/2006/relationships/hyperlink" Target="https://www.yesterdaysmathsexam.com/_files/ugd/1ba96f_ca5b2e753db74712a58a19f43cd20632.pdf#page=2" TargetMode="External" Id="rId46" /><Relationship Type="http://schemas.openxmlformats.org/officeDocument/2006/relationships/hyperlink" Target="https://www.yesterdaysmathsexam.com/_files/ugd/1ba96f_09e49e6ba51c4072a93a223aa3914a7a.pdf" TargetMode="External" Id="rId47" /><Relationship Type="http://schemas.openxmlformats.org/officeDocument/2006/relationships/hyperlink" Target="https://mathsgenie.co.uk/a-level/maths/edexcel/as-mechanics-vertical-motion-under-gravity" TargetMode="External" Id="rId48" /><Relationship Type="http://schemas.openxmlformats.org/officeDocument/2006/relationships/hyperlink" Target="https://assets.mathsgenie.co.uk/content/worksheets/a_level_maths/constant-acceleration-e79b95b1.pdf#page=4" TargetMode="External" Id="rId49" /><Relationship Type="http://schemas.openxmlformats.org/officeDocument/2006/relationships/hyperlink" Target="https://assets.mathsgenie.co.uk/content/worksheets/a_level_maths/constant-acceleration-ans-ed4f0764.pdf" TargetMode="External" Id="rId50" /><Relationship Type="http://schemas.openxmlformats.org/officeDocument/2006/relationships/hyperlink" Target="https://pmt.physicsandmathstutor.com/download/Maths/A-level/Mechanics/Kinematics-1/Edexcel-Set-C/QP/Kinematics%20-%20Uniform%20Acceleration%20Formulae%20QP.pdf#page=1" TargetMode="External" Id="rId51" /><Relationship Type="http://schemas.openxmlformats.org/officeDocument/2006/relationships/hyperlink" Target="https://pmt.physicsandmathstutor.com/download/Maths/A-level/Mechanics/Kinematics-1/Edexcel-Set-C/MS/Kinematics%20-%20Uniform%20Acceleration%20Formulae%20MS.pdf" TargetMode="External" Id="rId52" /><Relationship Type="http://schemas.openxmlformats.org/officeDocument/2006/relationships/hyperlink" Target="https://pmt.physicsandmathstutor.com/download/Maths/A-level/Mechanics/Kinematics-1/Edexcel-Set-C/MA/Kinematics%20-%20Uniform%20Acceleration%20Formulae%20MA.pdf" TargetMode="External" Id="rId53" /><Relationship Type="http://schemas.openxmlformats.org/officeDocument/2006/relationships/hyperlink" Target="https://www.yesterdaysmathsexam.com/_files/ugd/1ba96f_b315f5201a2b4e32bf0713e9977cf16c.pdf#page=1" TargetMode="External" Id="rId54" /><Relationship Type="http://schemas.openxmlformats.org/officeDocument/2006/relationships/hyperlink" Target="https://www.yesterdaysmathsexam.com/_files/ugd/1ba96f_fc703295344d450dacbb5487e067849c.pdf" TargetMode="External" Id="rId55" /><Relationship Type="http://schemas.openxmlformats.org/officeDocument/2006/relationships/hyperlink" Target="https://mathsgenie.co.uk/a-level/maths/edexcel/as-mechanics-using-differentiation" TargetMode="External" Id="rId56" /><Relationship Type="http://schemas.openxmlformats.org/officeDocument/2006/relationships/hyperlink" Target="https://assets.mathsgenie.co.uk/content/worksheets/as_level_maths/as-mechanics-variable-acceleration-229d3a0e.pdf#page=5" TargetMode="External" Id="rId57" /><Relationship Type="http://schemas.openxmlformats.org/officeDocument/2006/relationships/hyperlink" Target="https://assets.mathsgenie.co.uk/content/worksheets/as_level_maths/variable-acceleration-ans-23257282.pdf" TargetMode="External" Id="rId58" /><Relationship Type="http://schemas.openxmlformats.org/officeDocument/2006/relationships/hyperlink" Target="https://pmt.physicsandmathstutor.com/download/Maths/A-level/Mechanics/Kinematics-1/Edexcel-Set-C/QP/Kinematics%20-%20Problems%20in%20Calculus%20QP.pdf#page=1" TargetMode="External" Id="rId59" /><Relationship Type="http://schemas.openxmlformats.org/officeDocument/2006/relationships/hyperlink" Target="https://pmt.physicsandmathstutor.com/download/Maths/A-level/Mechanics/Kinematics-1/Edexcel-Set-C/MS/Kinematics%20-%20Problems%20in%20Calculus%20MS.pdf" TargetMode="External" Id="rId60" /><Relationship Type="http://schemas.openxmlformats.org/officeDocument/2006/relationships/hyperlink" Target="https://pmt.physicsandmathstutor.com/download/Maths/A-level/Mechanics/Kinematics-1/Edexcel-Set-C/MA/Kinematics%20-%20Problems%20in%20Calculus%20MA.pdf" TargetMode="External" Id="rId61" /><Relationship Type="http://schemas.openxmlformats.org/officeDocument/2006/relationships/hyperlink" Target="https://www.yesterdaysmathsexam.com/_files/ugd/1ba96f_03293376581b4798885139a1f84f1fcf.pdf#page=1" TargetMode="External" Id="rId62" /><Relationship Type="http://schemas.openxmlformats.org/officeDocument/2006/relationships/hyperlink" Target="https://www.yesterdaysmathsexam.com/_files/ugd/1ba96f_a0fe1265d5b14750ba99d38ec48aca2a.pdf" TargetMode="External" Id="rId63" /><Relationship Type="http://schemas.openxmlformats.org/officeDocument/2006/relationships/hyperlink" Target="https://mathsgenie.co.uk/a-level/maths/edexcel/as-mechanics-maxima-and-minima-problems" TargetMode="External" Id="rId64" /><Relationship Type="http://schemas.openxmlformats.org/officeDocument/2006/relationships/hyperlink" Target="https://assets.mathsgenie.co.uk/content/worksheets/as_level_maths/as-mechanics-variable-acceleration-229d3a0e.pdf#page=6" TargetMode="External" Id="rId65" /><Relationship Type="http://schemas.openxmlformats.org/officeDocument/2006/relationships/hyperlink" Target="https://assets.mathsgenie.co.uk/content/worksheets/as_level_maths/variable-acceleration-ans-23257282.pdf" TargetMode="External" Id="rId66" /><Relationship Type="http://schemas.openxmlformats.org/officeDocument/2006/relationships/hyperlink" Target="https://pmt.physicsandmathstutor.com/download/Maths/A-level/Mechanics/Kinematics-1/Edexcel-Set-A/Kinematics%20-%20Problems%20with%20calculus.pdf#page=1" TargetMode="External" Id="rId67" /><Relationship Type="http://schemas.openxmlformats.org/officeDocument/2006/relationships/hyperlink" Target="https://www.yesterdaysmathsexam.com/_files/ugd/1ba96f_03293376581b4798885139a1f84f1fcf.pdf#page=1" TargetMode="External" Id="rId68" /><Relationship Type="http://schemas.openxmlformats.org/officeDocument/2006/relationships/hyperlink" Target="https://www.yesterdaysmathsexam.com/_files/ugd/1ba96f_a0fe1265d5b14750ba99d38ec48aca2a.pdf" TargetMode="External" Id="rId69" /><Relationship Type="http://schemas.openxmlformats.org/officeDocument/2006/relationships/hyperlink" Target="https://mathsgenie.co.uk/a-level/maths/edexcel/as-mechanics-using-integration" TargetMode="External" Id="rId70" /><Relationship Type="http://schemas.openxmlformats.org/officeDocument/2006/relationships/hyperlink" Target="https://assets.mathsgenie.co.uk/content/worksheets/as_level_maths/as-mechanics-variable-acceleration-229d3a0e.pdf#page=2" TargetMode="External" Id="rId71" /><Relationship Type="http://schemas.openxmlformats.org/officeDocument/2006/relationships/hyperlink" Target="https://assets.mathsgenie.co.uk/content/worksheets/as_level_maths/variable-acceleration-ans-23257282.pdf" TargetMode="External" Id="rId72" /><Relationship Type="http://schemas.openxmlformats.org/officeDocument/2006/relationships/hyperlink" Target="https://pmt.physicsandmathstutor.com/download/Maths/A-level/Mechanics/Kinematics-1/Edexcel-Set-C/QP/Kinematics%20-%20Problems%20in%20Calculus%20QP.pdf#page=1" TargetMode="External" Id="rId73" /><Relationship Type="http://schemas.openxmlformats.org/officeDocument/2006/relationships/hyperlink" Target="https://pmt.physicsandmathstutor.com/download/Maths/A-level/Mechanics/Kinematics-1/Edexcel-Set-C/MS/Kinematics%20-%20Problems%20in%20Calculus%20MS.pdf" TargetMode="External" Id="rId74" /><Relationship Type="http://schemas.openxmlformats.org/officeDocument/2006/relationships/hyperlink" Target="https://pmt.physicsandmathstutor.com/download/Maths/A-level/Mechanics/Kinematics-1/Edexcel-Set-C/MA/Kinematics%20-%20Problems%20in%20Calculus%20MA.pdf" TargetMode="External" Id="rId75" /><Relationship Type="http://schemas.openxmlformats.org/officeDocument/2006/relationships/hyperlink" Target="https://www.yesterdaysmathsexam.com/_files/ugd/1ba96f_6797340efb45461d82d40b09003d7b87.pdf#page=5" TargetMode="External" Id="rId76" /><Relationship Type="http://schemas.openxmlformats.org/officeDocument/2006/relationships/hyperlink" Target="https://www.yesterdaysmathsexam.com/_files/ugd/1ba96f_1be075b9bf254ea9af9b6a1ae5e869d1.pdf" TargetMode="External" Id="rId77" /><Relationship Type="http://schemas.openxmlformats.org/officeDocument/2006/relationships/hyperlink" Target="https://mathsgenie.co.uk/a-level/maths/edexcel/as-mechanics-constant-acceleration-formulae" TargetMode="External" Id="rId78" /><Relationship Type="http://schemas.openxmlformats.org/officeDocument/2006/relationships/hyperlink" Target="https://pmt.physicsandmathstutor.com/download/Maths/A-level/Mechanics/Kinematics-1/Edexcel-Set-B/Kinematics%20-%20by%20Graphical%20Methods.pdf#page=1" TargetMode="External" Id="rId79" /><Relationship Type="http://schemas.openxmlformats.org/officeDocument/2006/relationships/hyperlink" Target="https://pmt.physicsandmathstutor.com/download/Maths/A-level/Mechanics/Kinematics-1/Edexcel-Set-B/MA/Kinematics%20-%20Problems%20in%20Calculus%20MA.pdf" TargetMode="External" Id="rId80" /><Relationship Type="http://schemas.openxmlformats.org/officeDocument/2006/relationships/hyperlink" Target="https://www.yesterdaysmathsexam.com/_files/ugd/1ba96f_ca5b2e753db74712a58a19f43cd20632.pdf#page=1" TargetMode="External" Id="rId81" /><Relationship Type="http://schemas.openxmlformats.org/officeDocument/2006/relationships/hyperlink" Target="https://www.yesterdaysmathsexam.com/_files/ugd/1ba96f_09e49e6ba51c4072a93a223aa3914a7a.pdf" TargetMode="External" Id="rId82" /><Relationship Type="http://schemas.openxmlformats.org/officeDocument/2006/relationships/hyperlink" Target="https://mathsgenie.co.uk/a-level/maths/edexcel/a-level-mechanics-vectors-in-kinematics" TargetMode="External" Id="rId83" /><Relationship Type="http://schemas.openxmlformats.org/officeDocument/2006/relationships/hyperlink" Target="https://assets.mathsgenie.co.uk/content/worksheets/a_level_maths/further-kinematics-0e6d3c8b.pdf#page=1" TargetMode="External" Id="rId84" /><Relationship Type="http://schemas.openxmlformats.org/officeDocument/2006/relationships/hyperlink" Target="https://assets.mathsgenie.co.uk/content/worksheets/a_level_maths/further-kinematics-ans-18f15cf2.pdf" TargetMode="External" Id="rId85" /><Relationship Type="http://schemas.openxmlformats.org/officeDocument/2006/relationships/hyperlink" Target="https://pmt.physicsandmathstutor.com/download/Maths/A-level/Mechanics/Kinematics-2/Edexcel-Set-C/QP/Kinematics%20-%20Uniform%20Acceleration%20Formulae%20QP.pdf#page=1" TargetMode="External" Id="rId86" /><Relationship Type="http://schemas.openxmlformats.org/officeDocument/2006/relationships/hyperlink" Target="https://pmt.physicsandmathstutor.com/download/Maths/A-level/Mechanics/Kinematics-2/Edexcel-Set-C/MS/Kinematics%20-%20Uniform%20Acceleration%20Formulae%20MS.pdf" TargetMode="External" Id="rId87" /><Relationship Type="http://schemas.openxmlformats.org/officeDocument/2006/relationships/hyperlink" Target="https://pmt.physicsandmathstutor.com/download/Maths/A-level/Mechanics/Kinematics-2/Edexcel-Set-C/MA/Kinematics%20-%20Uniform%20Acceleration%20Formulae%20MA.pdf" TargetMode="External" Id="rId88" /><Relationship Type="http://schemas.openxmlformats.org/officeDocument/2006/relationships/hyperlink" Target="https://www.yesterdaysmathsexam.com/_files/ugd/1ba96f_bb55c2e7c1c04f78b0d03d8be585f3b0.pdf#page=1" TargetMode="External" Id="rId89" /><Relationship Type="http://schemas.openxmlformats.org/officeDocument/2006/relationships/hyperlink" Target="https://www.yesterdaysmathsexam.com/_files/ugd/1ba96f_f2cbcccfe8e14f97a3d041f3b2013b71.pdf" TargetMode="External" Id="rId90" /><Relationship Type="http://schemas.openxmlformats.org/officeDocument/2006/relationships/hyperlink" Target="https://mathsgenie.co.uk/a-level/maths/edexcel/a-level-mechanics-differentiating-vectors" TargetMode="External" Id="rId91" /><Relationship Type="http://schemas.openxmlformats.org/officeDocument/2006/relationships/hyperlink" Target="https://assets.mathsgenie.co.uk/content/worksheets/a_level_maths/further-kinematics-0e6d3c8b.pdf#page=15" TargetMode="External" Id="rId92" /><Relationship Type="http://schemas.openxmlformats.org/officeDocument/2006/relationships/hyperlink" Target="https://assets.mathsgenie.co.uk/content/worksheets/a_level_maths/further-kinematics-ans-18f15cf2.pdf" TargetMode="External" Id="rId93" /><Relationship Type="http://schemas.openxmlformats.org/officeDocument/2006/relationships/hyperlink" Target="https://pmt.physicsandmathstutor.com/download/Maths/A-level/Mechanics/Kinematics-2/Edexcel-Set-C/QP/Kinematics%20-%20Problems%20in%20Calculus%20QP.pdf#page=1" TargetMode="External" Id="rId94" /><Relationship Type="http://schemas.openxmlformats.org/officeDocument/2006/relationships/hyperlink" Target="https://pmt.physicsandmathstutor.com/download/Maths/A-level/Mechanics/Kinematics-2/Edexcel-Set-C/MS/Kinematics%20-%20Problems%20in%20Calculus%20MS.pdf" TargetMode="External" Id="rId95" /><Relationship Type="http://schemas.openxmlformats.org/officeDocument/2006/relationships/hyperlink" Target="https://pmt.physicsandmathstutor.com/download/Maths/A-level/Mechanics/Kinematics-2/Edexcel-Set-C/MA/Kinematics%20-%20Problems%20in%20Calculus%20MA.pdf" TargetMode="External" Id="rId96" /><Relationship Type="http://schemas.openxmlformats.org/officeDocument/2006/relationships/hyperlink" Target="https://www.yesterdaysmathsexam.com/_files/ugd/1ba96f_6797340efb45461d82d40b09003d7b87.pdf#page=1" TargetMode="External" Id="rId97" /><Relationship Type="http://schemas.openxmlformats.org/officeDocument/2006/relationships/hyperlink" Target="https://www.yesterdaysmathsexam.com/_files/ugd/1ba96f_1be075b9bf254ea9af9b6a1ae5e869d1.pdf" TargetMode="External" Id="rId98" /><Relationship Type="http://schemas.openxmlformats.org/officeDocument/2006/relationships/hyperlink" Target="https://mathsgenie.co.uk/a-level/maths/edexcel/a-level-mechanics-horizontal-projection" TargetMode="External" Id="rId99" /><Relationship Type="http://schemas.openxmlformats.org/officeDocument/2006/relationships/hyperlink" Target="https://pmt.physicsandmathstutor.com/download/Maths/A-level/Mechanics/Kinematics-2/Edexcel-Set-A/Kinematics%20-%20Projectiles%202.pdf#page=9" TargetMode="External" Id="rId100" /><Relationship Type="http://schemas.openxmlformats.org/officeDocument/2006/relationships/hyperlink" Target="https://www.yesterdaysmathsexam.com/_files/ugd/1ba96f_b07a482d94fc4ddab9a44221dec61693.pdf#page=6" TargetMode="External" Id="rId101" /><Relationship Type="http://schemas.openxmlformats.org/officeDocument/2006/relationships/hyperlink" Target="https://www.yesterdaysmathsexam.com/_files/ugd/1ba96f_dc75bd77c5d0434bbe8bba090a9ea2a9.pdf" TargetMode="External" Id="rId102" /><Relationship Type="http://schemas.openxmlformats.org/officeDocument/2006/relationships/hyperlink" Target="https://mathsgenie.co.uk/a-level/maths/edexcel/a-level-mechanics-projection-at-any-angle" TargetMode="External" Id="rId103" /><Relationship Type="http://schemas.openxmlformats.org/officeDocument/2006/relationships/hyperlink" Target="https://assets.mathsgenie.co.uk/content/worksheets/a_level_maths/projectiles-892f2e50.pdf#page=1" TargetMode="External" Id="rId104" /><Relationship Type="http://schemas.openxmlformats.org/officeDocument/2006/relationships/hyperlink" Target="https://assets.mathsgenie.co.uk/content/worksheets/a_level_maths/projectiles-ans-97e24b40.pdf" TargetMode="External" Id="rId105" /><Relationship Type="http://schemas.openxmlformats.org/officeDocument/2006/relationships/hyperlink" Target="https://pmt.physicsandmathstutor.com/download/Maths/A-level/Mechanics/Kinematics-2/Edexcel-Set-C/QP/Kinematics%20-%20Projectiles%20QP.pdf#page=1" TargetMode="External" Id="rId106" /><Relationship Type="http://schemas.openxmlformats.org/officeDocument/2006/relationships/hyperlink" Target="https://pmt.physicsandmathstutor.com/download/Maths/A-level/Mechanics/Kinematics-2/Edexcel-Set-C/MS/Kinematics%20-%20Projectiles%20MS.pdf" TargetMode="External" Id="rId107" /><Relationship Type="http://schemas.openxmlformats.org/officeDocument/2006/relationships/hyperlink" Target="https://pmt.physicsandmathstutor.com/download/Maths/A-level/Mechanics/Kinematics-2/Edexcel-Set-C/MA/Kinematics%20-%20Projectiles%20MA.pdf" TargetMode="External" Id="rId108" /><Relationship Type="http://schemas.openxmlformats.org/officeDocument/2006/relationships/hyperlink" Target="https://www.yesterdaysmathsexam.com/_files/ugd/1ba96f_b07a482d94fc4ddab9a44221dec61693.pdf#page=1" TargetMode="External" Id="rId109" /><Relationship Type="http://schemas.openxmlformats.org/officeDocument/2006/relationships/hyperlink" Target="https://www.yesterdaysmathsexam.com/_files/ugd/1ba96f_dc75bd77c5d0434bbe8bba090a9ea2a9.pdf" TargetMode="External" Id="rId110" /><Relationship Type="http://schemas.openxmlformats.org/officeDocument/2006/relationships/hyperlink" Target="https://mathsgenie.co.uk/a-level/maths/edexcel/a-level-mechanics-projectile-motion-formulae" TargetMode="External" Id="rId111" /><Relationship Type="http://schemas.openxmlformats.org/officeDocument/2006/relationships/hyperlink" Target="https://assets.mathsgenie.co.uk/content/worksheets/a_level_maths/projectiles-892f2e50.pdf#page=1" TargetMode="External" Id="rId112" /><Relationship Type="http://schemas.openxmlformats.org/officeDocument/2006/relationships/hyperlink" Target="https://assets.mathsgenie.co.uk/content/worksheets/a_level_maths/projectiles-ans-97e24b40.pdf" TargetMode="External" Id="rId113" /><Relationship Type="http://schemas.openxmlformats.org/officeDocument/2006/relationships/hyperlink" Target="https://pmt.physicsandmathstutor.com/download/Maths/A-level/Mechanics/Kinematics-2/Edexcel-Set-C/QP/Kinematics%20-%20Projectiles%20QP.pdf#page=1" TargetMode="External" Id="rId114" /><Relationship Type="http://schemas.openxmlformats.org/officeDocument/2006/relationships/hyperlink" Target="https://pmt.physicsandmathstutor.com/download/Maths/A-level/Mechanics/Kinematics-2/Edexcel-Set-C/MS/Kinematics%20-%20Projectiles%20MS.pdf" TargetMode="External" Id="rId115" /><Relationship Type="http://schemas.openxmlformats.org/officeDocument/2006/relationships/hyperlink" Target="https://pmt.physicsandmathstutor.com/download/Maths/A-level/Mechanics/Kinematics-2/Edexcel-Set-C/MA/Kinematics%20-%20Projectiles%20MA.pdf" TargetMode="External" Id="rId116" /><Relationship Type="http://schemas.openxmlformats.org/officeDocument/2006/relationships/hyperlink" Target="https://www.yesterdaysmathsexam.com/_files/ugd/1ba96f_b07a482d94fc4ddab9a44221dec61693.pdf#page=1" TargetMode="External" Id="rId117" /><Relationship Type="http://schemas.openxmlformats.org/officeDocument/2006/relationships/hyperlink" Target="https://www.yesterdaysmathsexam.com/_files/ugd/1ba96f_dc75bd77c5d0434bbe8bba090a9ea2a9.pdf" TargetMode="External" Id="rId118" /><Relationship Type="http://schemas.openxmlformats.org/officeDocument/2006/relationships/hyperlink" Target="https://mathsgenie.co.uk/a-level/maths/edexcel/as-mechanics-force-diagrams" TargetMode="External" Id="rId119" /><Relationship Type="http://schemas.openxmlformats.org/officeDocument/2006/relationships/hyperlink" Target="https://assets.mathsgenie.co.uk/content/worksheets/as_level_maths/forces-and-motion-44ac0226.pdf#page=12" TargetMode="External" Id="rId120" /><Relationship Type="http://schemas.openxmlformats.org/officeDocument/2006/relationships/hyperlink" Target="https://assets.mathsgenie.co.uk/content/worksheets/as_level_maths/forces-and-motion-ans-54858836.pdf" TargetMode="External" Id="rId121" /><Relationship Type="http://schemas.openxmlformats.org/officeDocument/2006/relationships/hyperlink" Target="https://mathsgenie.co.uk/a-level/maths/edexcel/as-mechanics-forces-as-vectors" TargetMode="External" Id="rId122" /><Relationship Type="http://schemas.openxmlformats.org/officeDocument/2006/relationships/hyperlink" Target="https://assets.mathsgenie.co.uk/content/worksheets/as_level_maths/forces-and-motion-44ac0226.pdf#page=12" TargetMode="External" Id="rId123" /><Relationship Type="http://schemas.openxmlformats.org/officeDocument/2006/relationships/hyperlink" Target="https://assets.mathsgenie.co.uk/content/worksheets/as_level_maths/forces-and-motion-ans-54858836.pdf" TargetMode="External" Id="rId124" /><Relationship Type="http://schemas.openxmlformats.org/officeDocument/2006/relationships/hyperlink" Target="https://pmt.physicsandmathstutor.com/download/Maths/A-level/Mechanics/Forces-and-Newtons-Laws-1/Edexcel-Set-C/QP/Forces%20and%20Newton%27s%20Laws%20of%20Motion%20QP.pdf#page=4" TargetMode="External" Id="rId125" /><Relationship Type="http://schemas.openxmlformats.org/officeDocument/2006/relationships/hyperlink" Target="https://pmt.physicsandmathstutor.com/download/Maths/A-level/Mechanics/Forces-and-Newtons-Laws-1/Edexcel-Set-C/MS/Forces%20and%20Newton%27s%20Laws%20of%20Motion%20MS.pdf" TargetMode="External" Id="rId126" /><Relationship Type="http://schemas.openxmlformats.org/officeDocument/2006/relationships/hyperlink" Target="https://pmt.physicsandmathstutor.com/download/Maths/A-level/Mechanics/Forces-and-Newtons-Laws-1/Edexcel-Set-C/MA/Forces%20and%20Newton%27s%20Laws%20of%20Motion%20MA.pdf" TargetMode="External" Id="rId127" /><Relationship Type="http://schemas.openxmlformats.org/officeDocument/2006/relationships/hyperlink" Target="https://www.yesterdaysmathsexam.com/_files/ugd/1ba96f_bb55c2e7c1c04f78b0d03d8be585f3b0.pdf#page=6" TargetMode="External" Id="rId128" /><Relationship Type="http://schemas.openxmlformats.org/officeDocument/2006/relationships/hyperlink" Target="https://www.yesterdaysmathsexam.com/_files/ugd/1ba96f_f2cbcccfe8e14f97a3d041f3b2013b71.pdf" TargetMode="External" Id="rId129" /><Relationship Type="http://schemas.openxmlformats.org/officeDocument/2006/relationships/hyperlink" Target="https://mathsgenie.co.uk/a-level/maths/edexcel/as-mechanics-forces-and-acceleration" TargetMode="External" Id="rId130" /><Relationship Type="http://schemas.openxmlformats.org/officeDocument/2006/relationships/hyperlink" Target="https://assets.mathsgenie.co.uk/content/worksheets/as_level_maths/forces-and-motion-44ac0226.pdf#page=6" TargetMode="External" Id="rId131" /><Relationship Type="http://schemas.openxmlformats.org/officeDocument/2006/relationships/hyperlink" Target="https://assets.mathsgenie.co.uk/content/worksheets/as_level_maths/forces-and-motion-ans-54858836.pdf" TargetMode="External" Id="rId132" /><Relationship Type="http://schemas.openxmlformats.org/officeDocument/2006/relationships/hyperlink" Target="https://pmt.physicsandmathstutor.com/download/Maths/A-level/Mechanics/Forces-and-Newtons-Laws-1/Edexcel-Set-C/QP/Forces%20and%20Newton%27s%20Laws%20of%20Motion%20QP.pdf#page=1" TargetMode="External" Id="rId133" /><Relationship Type="http://schemas.openxmlformats.org/officeDocument/2006/relationships/hyperlink" Target="https://pmt.physicsandmathstutor.com/download/Maths/A-level/Mechanics/Forces-and-Newtons-Laws-1/Edexcel-Set-C/MS/Forces%20and%20Newton%27s%20Laws%20of%20Motion%20MS.pdf" TargetMode="External" Id="rId134" /><Relationship Type="http://schemas.openxmlformats.org/officeDocument/2006/relationships/hyperlink" Target="https://pmt.physicsandmathstutor.com/download/Maths/A-level/Mechanics/Forces-and-Newtons-Laws-1/Edexcel-Set-C/MA/Forces%20and%20Newton%27s%20Laws%20of%20Motion%20MA.pdf" TargetMode="External" Id="rId135" /><Relationship Type="http://schemas.openxmlformats.org/officeDocument/2006/relationships/hyperlink" Target="https://www.yesterdaysmathsexam.com/_files/ugd/1ba96f_f4b7f4620bcf40dcba318fe559b4949a.pdf#page=10" TargetMode="External" Id="rId136" /><Relationship Type="http://schemas.openxmlformats.org/officeDocument/2006/relationships/hyperlink" Target="https://www.yesterdaysmathsexam.com/_files/ugd/1ba96f_fbd15a4c534c45a3b09ac76fbd95c2b1.pdf" TargetMode="External" Id="rId137" /><Relationship Type="http://schemas.openxmlformats.org/officeDocument/2006/relationships/hyperlink" Target="https://mathsgenie.co.uk/a-level/maths/edexcel/as-mechanics-motion-in-2-dimensions" TargetMode="External" Id="rId138" /><Relationship Type="http://schemas.openxmlformats.org/officeDocument/2006/relationships/hyperlink" Target="https://assets.mathsgenie.co.uk/content/worksheets/as_level_maths/forces-and-motion-44ac0226.pdf#page=13" TargetMode="External" Id="rId139" /><Relationship Type="http://schemas.openxmlformats.org/officeDocument/2006/relationships/hyperlink" Target="https://assets.mathsgenie.co.uk/content/worksheets/as_level_maths/forces-and-motion-ans-54858836.pdf" TargetMode="External" Id="rId140" /><Relationship Type="http://schemas.openxmlformats.org/officeDocument/2006/relationships/hyperlink" Target="https://pmt.physicsandmathstutor.com/download/Maths/A-level/Mechanics/Forces-and-Newtons-Laws-1/Edexcel-Set-C/QP/Forces%20and%20Newton%27s%20Laws%20of%20Motion%20QP.pdf#page=4" TargetMode="External" Id="rId141" /><Relationship Type="http://schemas.openxmlformats.org/officeDocument/2006/relationships/hyperlink" Target="https://pmt.physicsandmathstutor.com/download/Maths/A-level/Mechanics/Forces-and-Newtons-Laws-1/Edexcel-Set-C/MS/Forces%20and%20Newton%27s%20Laws%20of%20Motion%20MS.pdf" TargetMode="External" Id="rId142" /><Relationship Type="http://schemas.openxmlformats.org/officeDocument/2006/relationships/hyperlink" Target="https://pmt.physicsandmathstutor.com/download/Maths/A-level/Mechanics/Forces-and-Newtons-Laws-1/Edexcel-Set-C/MA/Forces%20and%20Newton%27s%20Laws%20of%20Motion%20MA.pdf" TargetMode="External" Id="rId143" /><Relationship Type="http://schemas.openxmlformats.org/officeDocument/2006/relationships/hyperlink" Target="https://www.yesterdaysmathsexam.com/_files/ugd/1ba96f_bb55c2e7c1c04f78b0d03d8be585f3b0.pdf#page=6" TargetMode="External" Id="rId144" /><Relationship Type="http://schemas.openxmlformats.org/officeDocument/2006/relationships/hyperlink" Target="https://www.yesterdaysmathsexam.com/_files/ugd/1ba96f_f2cbcccfe8e14f97a3d041f3b2013b71.pdf" TargetMode="External" Id="rId145" /><Relationship Type="http://schemas.openxmlformats.org/officeDocument/2006/relationships/hyperlink" Target="https://mathsgenie.co.uk/a-level/maths/edexcel/as-mechanics-connected-particles" TargetMode="External" Id="rId146" /><Relationship Type="http://schemas.openxmlformats.org/officeDocument/2006/relationships/hyperlink" Target="https://assets.mathsgenie.co.uk/content/worksheets/as_level_maths/forces-and-motion-44ac0226.pdf#page=6" TargetMode="External" Id="rId147" /><Relationship Type="http://schemas.openxmlformats.org/officeDocument/2006/relationships/hyperlink" Target="https://assets.mathsgenie.co.uk/content/worksheets/as_level_maths/forces-and-motion-ans-54858836.pdf" TargetMode="External" Id="rId148" /><Relationship Type="http://schemas.openxmlformats.org/officeDocument/2006/relationships/hyperlink" Target="https://pmt.physicsandmathstutor.com/download/Maths/A-level/Mechanics/Forces-and-Newtons-Laws-1/Edexcel-Set-C/QP/Forces%20and%20Newton%27s%20Laws%20of%20Motion%20QP.pdf#page=1" TargetMode="External" Id="rId149" /><Relationship Type="http://schemas.openxmlformats.org/officeDocument/2006/relationships/hyperlink" Target="https://pmt.physicsandmathstutor.com/download/Maths/A-level/Mechanics/Forces-and-Newtons-Laws-1/Edexcel-Set-C/MS/Forces%20and%20Newton%27s%20Laws%20of%20Motion%20MS.pdf" TargetMode="External" Id="rId150" /><Relationship Type="http://schemas.openxmlformats.org/officeDocument/2006/relationships/hyperlink" Target="https://pmt.physicsandmathstutor.com/download/Maths/A-level/Mechanics/Forces-and-Newtons-Laws-1/Edexcel-Set-C/MA/Forces%20and%20Newton%27s%20Laws%20of%20Motion%20MA.pdf" TargetMode="External" Id="rId151" /><Relationship Type="http://schemas.openxmlformats.org/officeDocument/2006/relationships/hyperlink" Target="https://www.yesterdaysmathsexam.com/_files/ugd/1ba96f_f4b7f4620bcf40dcba318fe559b4949a.pdf#page=11" TargetMode="External" Id="rId152" /><Relationship Type="http://schemas.openxmlformats.org/officeDocument/2006/relationships/hyperlink" Target="https://www.yesterdaysmathsexam.com/_files/ugd/1ba96f_fbd15a4c534c45a3b09ac76fbd95c2b1.pdf" TargetMode="External" Id="rId153" /><Relationship Type="http://schemas.openxmlformats.org/officeDocument/2006/relationships/hyperlink" Target="https://mathsgenie.co.uk/a-level/maths/edexcel/as-mechanics-pulleys" TargetMode="External" Id="rId154" /><Relationship Type="http://schemas.openxmlformats.org/officeDocument/2006/relationships/hyperlink" Target="https://assets.mathsgenie.co.uk/content/worksheets/as_level_maths/forces-and-motion-44ac0226.pdf#page=2" TargetMode="External" Id="rId155" /><Relationship Type="http://schemas.openxmlformats.org/officeDocument/2006/relationships/hyperlink" Target="https://assets.mathsgenie.co.uk/content/worksheets/as_level_maths/forces-and-motion-ans-54858836.pdf" TargetMode="External" Id="rId156" /><Relationship Type="http://schemas.openxmlformats.org/officeDocument/2006/relationships/hyperlink" Target="https://pmt.physicsandmathstutor.com/download/Maths/A-level/Mechanics/Forces-and-Newtons-Laws-2/Edexcel-Set-C/QP/Dynamics%20-%20Connected%20Particles%20QP.pdf#page=1" TargetMode="External" Id="rId157" /><Relationship Type="http://schemas.openxmlformats.org/officeDocument/2006/relationships/hyperlink" Target="https://pmt.physicsandmathstutor.com/download/Maths/A-level/Mechanics/Forces-and-Newtons-Laws-2/Edexcel-Set-C/MS/Dynamics%20-%20Connected%20Particles%20MS.pdf" TargetMode="External" Id="rId158" /><Relationship Type="http://schemas.openxmlformats.org/officeDocument/2006/relationships/hyperlink" Target="https://pmt.physicsandmathstutor.com/download/Maths/A-level/Mechanics/Forces-and-Newtons-Laws-2/Edexcel-Set-C/MA/Dynamics%20-%20Connected%20Particles%20MA.pdf" TargetMode="External" Id="rId159" /><Relationship Type="http://schemas.openxmlformats.org/officeDocument/2006/relationships/hyperlink" Target="https://www.yesterdaysmathsexam.com/_files/ugd/1ba96f_f4b7f4620bcf40dcba318fe559b4949a.pdf#page=1" TargetMode="External" Id="rId160" /><Relationship Type="http://schemas.openxmlformats.org/officeDocument/2006/relationships/hyperlink" Target="https://www.yesterdaysmathsexam.com/_files/ugd/1ba96f_fbd15a4c534c45a3b09ac76fbd95c2b1.pdf" TargetMode="External" Id="rId161" /><Relationship Type="http://schemas.openxmlformats.org/officeDocument/2006/relationships/hyperlink" Target="https://mathsgenie.co.uk/a-level/maths/edexcel/a-level-mechanics-resolving-forces" TargetMode="External" Id="rId162" /><Relationship Type="http://schemas.openxmlformats.org/officeDocument/2006/relationships/hyperlink" Target="https://assets.mathsgenie.co.uk/content/worksheets/a_level_maths/forces-and-friction-a67d1967.pdf#page=2" TargetMode="External" Id="rId163" /><Relationship Type="http://schemas.openxmlformats.org/officeDocument/2006/relationships/hyperlink" Target="https://assets.mathsgenie.co.uk/content/worksheets/a_level_maths/forces-and-friction-ans-702dd276.pdf" TargetMode="External" Id="rId164" /><Relationship Type="http://schemas.openxmlformats.org/officeDocument/2006/relationships/hyperlink" Target="https://pmt.physicsandmathstutor.com/download/Maths/A-level/Mechanics/Forces-and-Newtons-Laws-1/Edexcel-Set-C/QP/Forces%20and%20Newton%27s%20Laws%20of%20Motion%20QP.pdf#page=3" TargetMode="External" Id="rId165" /><Relationship Type="http://schemas.openxmlformats.org/officeDocument/2006/relationships/hyperlink" Target="https://pmt.physicsandmathstutor.com/download/Maths/A-level/Mechanics/Forces-and-Newtons-Laws-1/Edexcel-Set-C/MS/Forces%20and%20Newton%27s%20Laws%20of%20Motion%20MS.pdf" TargetMode="External" Id="rId166" /><Relationship Type="http://schemas.openxmlformats.org/officeDocument/2006/relationships/hyperlink" Target="https://pmt.physicsandmathstutor.com/download/Maths/A-level/Mechanics/Forces-and-Newtons-Laws-1/Edexcel-Set-C/MA/Forces%20and%20Newton%27s%20Laws%20of%20Motion%20MA.pdf" TargetMode="External" Id="rId167" /><Relationship Type="http://schemas.openxmlformats.org/officeDocument/2006/relationships/hyperlink" Target="https://www.yesterdaysmathsexam.com/_files/ugd/1ba96f_188b80f80c924a7bb79682e7b0cef99e.pdf#page=1" TargetMode="External" Id="rId168" /><Relationship Type="http://schemas.openxmlformats.org/officeDocument/2006/relationships/hyperlink" Target="https://www.yesterdaysmathsexam.com/_files/ugd/1ba96f_492f9020e4ef4563b32683b63932ae6d.pdf" TargetMode="External" Id="rId169" /><Relationship Type="http://schemas.openxmlformats.org/officeDocument/2006/relationships/hyperlink" Target="https://mathsgenie.co.uk/a-level/maths/edexcel/a-level-mechanics-inclined-planes" TargetMode="External" Id="rId170" /><Relationship Type="http://schemas.openxmlformats.org/officeDocument/2006/relationships/hyperlink" Target="https://assets.mathsgenie.co.uk/content/worksheets/a_level_maths/forces-and-friction-a67d1967.pdf#page=7" TargetMode="External" Id="rId171" /><Relationship Type="http://schemas.openxmlformats.org/officeDocument/2006/relationships/hyperlink" Target="https://assets.mathsgenie.co.uk/content/worksheets/a_level_maths/forces-and-friction-ans-702dd276.pdf" TargetMode="External" Id="rId172" /><Relationship Type="http://schemas.openxmlformats.org/officeDocument/2006/relationships/hyperlink" Target="https://pmt.physicsandmathstutor.com/download/Maths/A-level/Mechanics/Forces-and-Newtons-Laws-2/Edexcel-Set-C/QP/Dynamics%20-%20F%20%3D%20ma%20on%20a%20slope%20QP.pdf#page=1" TargetMode="External" Id="rId173" /><Relationship Type="http://schemas.openxmlformats.org/officeDocument/2006/relationships/hyperlink" Target="https://pmt.physicsandmathstutor.com/download/Maths/A-level/Mechanics/Forces-and-Newtons-Laws-2/Edexcel-Set-C/MS/Dynamics%20-%20F%20%3D%20ma%20on%20a%20slope%20MS.pdf" TargetMode="External" Id="rId174" /><Relationship Type="http://schemas.openxmlformats.org/officeDocument/2006/relationships/hyperlink" Target="https://pmt.physicsandmathstutor.com/download/Maths/A-level/Mechanics/Forces-and-Newtons-Laws-2/Edexcel-Set-C/MA/Dynamics%20-%20F%20%3D%20ma%20on%20a%20slope%20MA.pdf" TargetMode="External" Id="rId175" /><Relationship Type="http://schemas.openxmlformats.org/officeDocument/2006/relationships/hyperlink" Target="https://www.yesterdaysmathsexam.com/_files/ugd/1ba96f_188b80f80c924a7bb79682e7b0cef99e.pdf#page=3" TargetMode="External" Id="rId176" /><Relationship Type="http://schemas.openxmlformats.org/officeDocument/2006/relationships/hyperlink" Target="https://www.yesterdaysmathsexam.com/_files/ugd/1ba96f_492f9020e4ef4563b32683b63932ae6d.pdf" TargetMode="External" Id="rId177" /><Relationship Type="http://schemas.openxmlformats.org/officeDocument/2006/relationships/hyperlink" Target="https://mathsgenie.co.uk/a-level/maths/edexcel/a-level-mechanics-friction" TargetMode="External" Id="rId178" /><Relationship Type="http://schemas.openxmlformats.org/officeDocument/2006/relationships/hyperlink" Target="https://assets.mathsgenie.co.uk/content/worksheets/a_level_maths/forces-and-friction-a67d1967.pdf#page=6" TargetMode="External" Id="rId179" /><Relationship Type="http://schemas.openxmlformats.org/officeDocument/2006/relationships/hyperlink" Target="https://assets.mathsgenie.co.uk/content/worksheets/a_level_maths/forces-and-friction-ans-702dd276.pdf" TargetMode="External" Id="rId180" /><Relationship Type="http://schemas.openxmlformats.org/officeDocument/2006/relationships/hyperlink" Target="https://pmt.physicsandmathstutor.com/download/Maths/A-level/Mechanics/Forces-and-Newtons-Laws-1/Edexcel-Set-C/QP/Forces%20and%20Newton%27s%20Laws%20of%20Motion%20QP.pdf#page=3" TargetMode="External" Id="rId181" /><Relationship Type="http://schemas.openxmlformats.org/officeDocument/2006/relationships/hyperlink" Target="https://pmt.physicsandmathstutor.com/download/Maths/A-level/Mechanics/Forces-and-Newtons-Laws-1/Edexcel-Set-C/MS/Forces%20and%20Newton%27s%20Laws%20of%20Motion%20MS.pdf" TargetMode="External" Id="rId182" /><Relationship Type="http://schemas.openxmlformats.org/officeDocument/2006/relationships/hyperlink" Target="https://pmt.physicsandmathstutor.com/download/Maths/A-level/Mechanics/Forces-and-Newtons-Laws-1/Edexcel-Set-C/MA/Forces%20and%20Newton%27s%20Laws%20of%20Motion%20MA.pdf" TargetMode="External" Id="rId183" /><Relationship Type="http://schemas.openxmlformats.org/officeDocument/2006/relationships/hyperlink" Target="https://www.yesterdaysmathsexam.com/_files/ugd/1ba96f_188b80f80c924a7bb79682e7b0cef99e.pdf#page=1" TargetMode="External" Id="rId184" /><Relationship Type="http://schemas.openxmlformats.org/officeDocument/2006/relationships/hyperlink" Target="https://www.yesterdaysmathsexam.com/_files/ugd/1ba96f_492f9020e4ef4563b32683b63932ae6d.pdf" TargetMode="External" Id="rId185" /><Relationship Type="http://schemas.openxmlformats.org/officeDocument/2006/relationships/hyperlink" Target="https://mathsgenie.co.uk/a-level/maths/edexcel/a-level-mechanics-static-particles" TargetMode="External" Id="rId186" /><Relationship Type="http://schemas.openxmlformats.org/officeDocument/2006/relationships/hyperlink" Target="https://assets.mathsgenie.co.uk/content/worksheets/a_level_maths/forces-and-friction-a67d1967.pdf#page=2" TargetMode="External" Id="rId187" /><Relationship Type="http://schemas.openxmlformats.org/officeDocument/2006/relationships/hyperlink" Target="https://assets.mathsgenie.co.uk/content/worksheets/a_level_maths/forces-and-friction-ans-702dd276.pdf" TargetMode="External" Id="rId188" /><Relationship Type="http://schemas.openxmlformats.org/officeDocument/2006/relationships/hyperlink" Target="https://pmt.physicsandmathstutor.com/download/Maths/A-level/Mechanics/Forces-and-Newtons-Laws-1/Edexcel-Set-C/QP/Forces%20and%20Newton%27s%20Laws%20of%20Motion%20QP.pdf#page=3" TargetMode="External" Id="rId189" /><Relationship Type="http://schemas.openxmlformats.org/officeDocument/2006/relationships/hyperlink" Target="https://pmt.physicsandmathstutor.com/download/Maths/A-level/Mechanics/Forces-and-Newtons-Laws-1/Edexcel-Set-C/MS/Forces%20and%20Newton%27s%20Laws%20of%20Motion%20MS.pdf" TargetMode="External" Id="rId190" /><Relationship Type="http://schemas.openxmlformats.org/officeDocument/2006/relationships/hyperlink" Target="https://pmt.physicsandmathstutor.com/download/Maths/A-level/Mechanics/Forces-and-Newtons-Laws-1/Edexcel-Set-C/MA/Forces%20and%20Newton%27s%20Laws%20of%20Motion%20MA.pdf" TargetMode="External" Id="rId191" /><Relationship Type="http://schemas.openxmlformats.org/officeDocument/2006/relationships/hyperlink" Target="https://www.yesterdaysmathsexam.com/_files/ugd/1ba96f_188b80f80c924a7bb79682e7b0cef99e.pdf#page=3" TargetMode="External" Id="rId192" /><Relationship Type="http://schemas.openxmlformats.org/officeDocument/2006/relationships/hyperlink" Target="https://www.yesterdaysmathsexam.com/_files/ugd/1ba96f_492f9020e4ef4563b32683b63932ae6d.pdf" TargetMode="External" Id="rId193" /><Relationship Type="http://schemas.openxmlformats.org/officeDocument/2006/relationships/hyperlink" Target="https://mathsgenie.co.uk/a-level/maths/edexcel/a-level-mechanics-friction-and-static-particles" TargetMode="External" Id="rId194" /><Relationship Type="http://schemas.openxmlformats.org/officeDocument/2006/relationships/hyperlink" Target="https://assets.mathsgenie.co.uk/content/worksheets/a_level_maths/forces-and-friction-a67d1967.pdf#page=6" TargetMode="External" Id="rId195" /><Relationship Type="http://schemas.openxmlformats.org/officeDocument/2006/relationships/hyperlink" Target="https://assets.mathsgenie.co.uk/content/worksheets/a_level_maths/forces-and-friction-ans-702dd276.pdf" TargetMode="External" Id="rId196" /><Relationship Type="http://schemas.openxmlformats.org/officeDocument/2006/relationships/hyperlink" Target="https://pmt.physicsandmathstutor.com/download/Maths/A-level/Mechanics/Forces-and-Newtons-Laws-1/Edexcel-Set-C/QP/Forces%20and%20Newton%27s%20Laws%20of%20Motion%20QP.pdf#page=3" TargetMode="External" Id="rId197" /><Relationship Type="http://schemas.openxmlformats.org/officeDocument/2006/relationships/hyperlink" Target="https://pmt.physicsandmathstutor.com/download/Maths/A-level/Mechanics/Forces-and-Newtons-Laws-1/Edexcel-Set-C/MS/Forces%20and%20Newton%27s%20Laws%20of%20Motion%20MS.pdf" TargetMode="External" Id="rId198" /><Relationship Type="http://schemas.openxmlformats.org/officeDocument/2006/relationships/hyperlink" Target="https://pmt.physicsandmathstutor.com/download/Maths/A-level/Mechanics/Forces-and-Newtons-Laws-1/Edexcel-Set-C/MA/Forces%20and%20Newton%27s%20Laws%20of%20Motion%20MA.pdf" TargetMode="External" Id="rId199" /><Relationship Type="http://schemas.openxmlformats.org/officeDocument/2006/relationships/hyperlink" Target="https://www.yesterdaysmathsexam.com/_files/ugd/1ba96f_188b80f80c924a7bb79682e7b0cef99e.pdf#page=3" TargetMode="External" Id="rId200" /><Relationship Type="http://schemas.openxmlformats.org/officeDocument/2006/relationships/hyperlink" Target="https://www.yesterdaysmathsexam.com/_files/ugd/1ba96f_492f9020e4ef4563b32683b63932ae6d.pdf" TargetMode="External" Id="rId201" /><Relationship Type="http://schemas.openxmlformats.org/officeDocument/2006/relationships/hyperlink" Target="https://mathsgenie.co.uk/a-level/maths/edexcel/a-level-mechanics-dynamics-and-inclined-planes" TargetMode="External" Id="rId202" /><Relationship Type="http://schemas.openxmlformats.org/officeDocument/2006/relationships/hyperlink" Target="https://assets.mathsgenie.co.uk/content/worksheets/a_level_maths/forces-and-friction-a67d1967.pdf#page=8" TargetMode="External" Id="rId203" /><Relationship Type="http://schemas.openxmlformats.org/officeDocument/2006/relationships/hyperlink" Target="https://assets.mathsgenie.co.uk/content/worksheets/a_level_maths/forces-and-friction-ans-702dd276.pdf" TargetMode="External" Id="rId204" /><Relationship Type="http://schemas.openxmlformats.org/officeDocument/2006/relationships/hyperlink" Target="https://pmt.physicsandmathstutor.com/download/Maths/A-level/Mechanics/Forces-and-Newtons-Laws-2/Edexcel-Set-C/QP/Dynamics%20-%20F%20%3D%20ma%20on%20a%20slope%20QP.pdf#page=1" TargetMode="External" Id="rId205" /><Relationship Type="http://schemas.openxmlformats.org/officeDocument/2006/relationships/hyperlink" Target="https://pmt.physicsandmathstutor.com/download/Maths/A-level/Mechanics/Forces-and-Newtons-Laws-2/Edexcel-Set-C/MS/Dynamics%20-%20F%20%3D%20ma%20on%20a%20slope%20MS.pdf" TargetMode="External" Id="rId206" /><Relationship Type="http://schemas.openxmlformats.org/officeDocument/2006/relationships/hyperlink" Target="https://pmt.physicsandmathstutor.com/download/Maths/A-level/Mechanics/Forces-and-Newtons-Laws-2/Edexcel-Set-C/MA/Dynamics%20-%20F%20%3D%20ma%20on%20a%20slope%20MA.pdf" TargetMode="External" Id="rId207" /><Relationship Type="http://schemas.openxmlformats.org/officeDocument/2006/relationships/hyperlink" Target="https://www.yesterdaysmathsexam.com/_files/ugd/1ba96f_188b80f80c924a7bb79682e7b0cef99e.pdf#page=4" TargetMode="External" Id="rId208" /><Relationship Type="http://schemas.openxmlformats.org/officeDocument/2006/relationships/hyperlink" Target="https://www.yesterdaysmathsexam.com/_files/ugd/1ba96f_492f9020e4ef4563b32683b63932ae6d.pdf" TargetMode="External" Id="rId209" /><Relationship Type="http://schemas.openxmlformats.org/officeDocument/2006/relationships/hyperlink" Target="https://mathsgenie.co.uk/a-level/maths/edexcel/a-level-mechanics-connected-particles-2" TargetMode="External" Id="rId210" /><Relationship Type="http://schemas.openxmlformats.org/officeDocument/2006/relationships/hyperlink" Target="https://assets.mathsgenie.co.uk/content/worksheets/a_level_maths/applications-of-forces-457885b2.pdf#page=11" TargetMode="External" Id="rId211" /><Relationship Type="http://schemas.openxmlformats.org/officeDocument/2006/relationships/hyperlink" Target="https://assets.mathsgenie.co.uk/content/worksheets/a_level_maths/applications-of-forces-ans-863b54af.pdf" TargetMode="External" Id="rId212" /><Relationship Type="http://schemas.openxmlformats.org/officeDocument/2006/relationships/hyperlink" Target="https://pmt.physicsandmathstutor.com/download/Maths/A-level/Mechanics/Forces-and-Newtons-Laws-2/Edexcel-Set-C/QP/Dynamics%20-%20Connected%20Particles%20QP.pdf#page=2" TargetMode="External" Id="rId213" /><Relationship Type="http://schemas.openxmlformats.org/officeDocument/2006/relationships/hyperlink" Target="https://pmt.physicsandmathstutor.com/download/Maths/A-level/Mechanics/Forces-and-Newtons-Laws-2/Edexcel-Set-C/MS/Dynamics%20-%20Connected%20Particles%20MS.pdf" TargetMode="External" Id="rId214" /><Relationship Type="http://schemas.openxmlformats.org/officeDocument/2006/relationships/hyperlink" Target="https://pmt.physicsandmathstutor.com/download/Maths/A-level/Mechanics/Forces-and-Newtons-Laws-2/Edexcel-Set-C/MA/Dynamics%20-%20Connected%20Particles%20MA.pdf" TargetMode="External" Id="rId215" /><Relationship Type="http://schemas.openxmlformats.org/officeDocument/2006/relationships/hyperlink" Target="https://www.yesterdaysmathsexam.com/_files/ugd/1ba96f_188b80f80c924a7bb79682e7b0cef99e.pdf#page=6" TargetMode="External" Id="rId216" /><Relationship Type="http://schemas.openxmlformats.org/officeDocument/2006/relationships/hyperlink" Target="https://www.yesterdaysmathsexam.com/_files/ugd/1ba96f_492f9020e4ef4563b32683b63932ae6d.pdf" TargetMode="External" Id="rId217" /><Relationship Type="http://schemas.openxmlformats.org/officeDocument/2006/relationships/hyperlink" Target="https://mathsgenie.co.uk/a-level/maths/edexcel/a-level-mechanics-moments" TargetMode="External" Id="rId218" /><Relationship Type="http://schemas.openxmlformats.org/officeDocument/2006/relationships/hyperlink" Target="https://assets.mathsgenie.co.uk/content/worksheets/a_level_maths/a-level-mechanics-1-moments-medium-c6839ff9.pdf#page=1" TargetMode="External" Id="rId219" /><Relationship Type="http://schemas.openxmlformats.org/officeDocument/2006/relationships/hyperlink" Target="https://assets.mathsgenie.co.uk/content/worksheets/a_level_maths/a-level-mechanics-1-moments-medium-ans-7960b1bb.pdf" TargetMode="External" Id="rId220" /><Relationship Type="http://schemas.openxmlformats.org/officeDocument/2006/relationships/hyperlink" Target="https://pmt.physicsandmathstutor.com/download/Maths/A-level/Mechanics/Moments-2/Edexcel-Set-C/QP/Moments%20QP.pdf#page=3" TargetMode="External" Id="rId221" /><Relationship Type="http://schemas.openxmlformats.org/officeDocument/2006/relationships/hyperlink" Target="https://pmt.physicsandmathstutor.com/download/Maths/A-level/Mechanics/Moments-2/Edexcel-Set-C/MS/Moments%20MS.pdf" TargetMode="External" Id="rId222" /><Relationship Type="http://schemas.openxmlformats.org/officeDocument/2006/relationships/hyperlink" Target="https://pmt.physicsandmathstutor.com/download/Maths/A-level/Mechanics/Moments-2/Edexcel-Set-C/MA/Moments%20MA.pdf" TargetMode="External" Id="rId223" /><Relationship Type="http://schemas.openxmlformats.org/officeDocument/2006/relationships/hyperlink" Target="https://www.yesterdaysmathsexam.com/_files/ugd/1ba96f_100e3684264c4e1592f8ed2058699254.pdf#page=1" TargetMode="External" Id="rId224" /><Relationship Type="http://schemas.openxmlformats.org/officeDocument/2006/relationships/hyperlink" Target="https://www.yesterdaysmathsexam.com/_files/ugd/1ba96f_3422fa4bb48d4fc49389b56e479c5c41.pdf" TargetMode="External" Id="rId225" /><Relationship Type="http://schemas.openxmlformats.org/officeDocument/2006/relationships/hyperlink" Target="https://mathsgenie.co.uk/a-level/maths/edexcel/a-level-mechanics-resultant-moments" TargetMode="External" Id="rId226" /><Relationship Type="http://schemas.openxmlformats.org/officeDocument/2006/relationships/hyperlink" Target="https://mathsgenie.co.uk/a-level/maths/edexcel/a-level-mechanics-equilibrium" TargetMode="External" Id="rId227" /><Relationship Type="http://schemas.openxmlformats.org/officeDocument/2006/relationships/hyperlink" Target="https://assets.mathsgenie.co.uk/content/worksheets/a_level_maths/a-level-mechanics-1-moments-medium-c6839ff9.pdf#page=1" TargetMode="External" Id="rId228" /><Relationship Type="http://schemas.openxmlformats.org/officeDocument/2006/relationships/hyperlink" Target="https://assets.mathsgenie.co.uk/content/worksheets/a_level_maths/a-level-mechanics-1-moments-medium-ans-7960b1bb.pdf" TargetMode="External" Id="rId229" /><Relationship Type="http://schemas.openxmlformats.org/officeDocument/2006/relationships/hyperlink" Target="https://pmt.physicsandmathstutor.com/download/Maths/A-level/Mechanics/Moments-2/Edexcel-Set-C/QP/Moments%20QP.pdf#page=2" TargetMode="External" Id="rId230" /><Relationship Type="http://schemas.openxmlformats.org/officeDocument/2006/relationships/hyperlink" Target="https://pmt.physicsandmathstutor.com/download/Maths/A-level/Mechanics/Moments-2/Edexcel-Set-C/MS/Moments%20MS.pdf" TargetMode="External" Id="rId231" /><Relationship Type="http://schemas.openxmlformats.org/officeDocument/2006/relationships/hyperlink" Target="https://pmt.physicsandmathstutor.com/download/Maths/A-level/Mechanics/Moments-2/Edexcel-Set-C/MA/Moments%20MA.pdf" TargetMode="External" Id="rId232" /><Relationship Type="http://schemas.openxmlformats.org/officeDocument/2006/relationships/hyperlink" Target="https://www.yesterdaysmathsexam.com/_files/ugd/1ba96f_100e3684264c4e1592f8ed2058699254.pdf#page=1" TargetMode="External" Id="rId233" /><Relationship Type="http://schemas.openxmlformats.org/officeDocument/2006/relationships/hyperlink" Target="https://www.yesterdaysmathsexam.com/_files/ugd/1ba96f_3422fa4bb48d4fc49389b56e479c5c41.pdf" TargetMode="External" Id="rId234" /><Relationship Type="http://schemas.openxmlformats.org/officeDocument/2006/relationships/hyperlink" Target="https://mathsgenie.co.uk/a-level/maths/edexcel/a-level-mechanics-centres-of-mass" TargetMode="External" Id="rId235" /><Relationship Type="http://schemas.openxmlformats.org/officeDocument/2006/relationships/hyperlink" Target="https://assets.mathsgenie.co.uk/content/worksheets/a_level_maths/a-level-mechanics-1-moments-medium-c6839ff9.pdf#page=2" TargetMode="External" Id="rId236" /><Relationship Type="http://schemas.openxmlformats.org/officeDocument/2006/relationships/hyperlink" Target="https://assets.mathsgenie.co.uk/content/worksheets/a_level_maths/a-level-mechanics-1-moments-medium-ans-7960b1bb.pdf" TargetMode="External" Id="rId237" /><Relationship Type="http://schemas.openxmlformats.org/officeDocument/2006/relationships/hyperlink" Target="https://pmt.physicsandmathstutor.com/download/Maths/A-level/Mechanics/Moments-2/Edexcel-Set-A/Moments%20-%20Moments%20about%20a%20point%201.pdf#page=5" TargetMode="External" Id="rId238" /><Relationship Type="http://schemas.openxmlformats.org/officeDocument/2006/relationships/hyperlink" Target="https://www.yesterdaysmathsexam.com/_files/ugd/1ba96f_100e3684264c4e1592f8ed2058699254.pdf#page=7" TargetMode="External" Id="rId239" /><Relationship Type="http://schemas.openxmlformats.org/officeDocument/2006/relationships/hyperlink" Target="https://www.yesterdaysmathsexam.com/_files/ugd/1ba96f_3422fa4bb48d4fc49389b56e479c5c41.pdf" TargetMode="External" Id="rId240" /><Relationship Type="http://schemas.openxmlformats.org/officeDocument/2006/relationships/hyperlink" Target="https://mathsgenie.co.uk/a-level/maths/edexcel/a-level-mechanics-tilting" TargetMode="External" Id="rId241" /><Relationship Type="http://schemas.openxmlformats.org/officeDocument/2006/relationships/hyperlink" Target="https://assets.mathsgenie.co.uk/content/worksheets/a_level_maths/a-level-mechanics-1-moments-medium-c6839ff9.pdf#page=4" TargetMode="External" Id="rId242" /><Relationship Type="http://schemas.openxmlformats.org/officeDocument/2006/relationships/hyperlink" Target="https://assets.mathsgenie.co.uk/content/worksheets/a_level_maths/a-level-mechanics-1-moments-medium-ans-7960b1bb.pdf" TargetMode="External" Id="rId243" /><Relationship Type="http://schemas.openxmlformats.org/officeDocument/2006/relationships/hyperlink" Target="https://pmt.physicsandmathstutor.com/download/Maths/A-level/Mechanics/Moments-2/Edexcel-Set-A/Moments%20-%20Moments%20about%20a%20point%201.pdf#page=3" TargetMode="External" Id="rId244" /><Relationship Type="http://schemas.openxmlformats.org/officeDocument/2006/relationships/hyperlink" Target="https://www.yesterdaysmathsexam.com/_files/ugd/1ba96f_100e3684264c4e1592f8ed2058699254.pdf#page=5" TargetMode="External" Id="rId245" /><Relationship Type="http://schemas.openxmlformats.org/officeDocument/2006/relationships/hyperlink" Target="https://www.yesterdaysmathsexam.com/_files/ugd/1ba96f_3422fa4bb48d4fc49389b56e479c5c41.pdf" TargetMode="External" Id="rId246" /><Relationship Type="http://schemas.openxmlformats.org/officeDocument/2006/relationships/hyperlink" Target="https://mathsgenie.co.uk/a-level/maths/edexcel/a-level-mechanics-static-rigid-bodies" TargetMode="External" Id="rId247" /><Relationship Type="http://schemas.openxmlformats.org/officeDocument/2006/relationships/hyperlink" Target="https://assets.mathsgenie.co.uk/content/worksheets/a_level_maths/applications-of-forces-457885b2.pdf#page=2" TargetMode="External" Id="rId248" /><Relationship Type="http://schemas.openxmlformats.org/officeDocument/2006/relationships/hyperlink" Target="https://assets.mathsgenie.co.uk/content/worksheets/a_level_maths/applications-of-forces-ans-863b54af.pdf" TargetMode="External" Id="rId249" /><Relationship Type="http://schemas.openxmlformats.org/officeDocument/2006/relationships/hyperlink" Target="https://pmt.physicsandmathstutor.com/download/Maths/A-level/Mechanics/Moments-2/Edexcel-Set-C/QP/Moments%20QP.pdf#page=1" TargetMode="External" Id="rId250" /><Relationship Type="http://schemas.openxmlformats.org/officeDocument/2006/relationships/hyperlink" Target="https://pmt.physicsandmathstutor.com/download/Maths/A-level/Mechanics/Moments-2/Edexcel-Set-C/MS/Moments%20MS.pdf" TargetMode="External" Id="rId251" /><Relationship Type="http://schemas.openxmlformats.org/officeDocument/2006/relationships/hyperlink" Target="https://pmt.physicsandmathstutor.com/download/Maths/A-level/Mechanics/Moments-2/Edexcel-Set-C/MA/Moments%20MA.pdf" TargetMode="External" Id="rId252" /><Relationship Type="http://schemas.openxmlformats.org/officeDocument/2006/relationships/hyperlink" Target="https://www.yesterdaysmathsexam.com/_files/ugd/1ba96f_4d745904c08e492c940afadc7155065d.pdf#page=1" TargetMode="External" Id="rId253" /><Relationship Type="http://schemas.openxmlformats.org/officeDocument/2006/relationships/hyperlink" Target="https://www.yesterdaysmathsexam.com/_files/ugd/1ba96f_6b07c8c2e38b43f291366e6a5580d331.pdf" TargetMode="External" Id="rId254"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hyperlink" Target="https://www.yesterdaysmathsexam.com/_files/ugd/1ba96f_fa2129a09ecb4379a002f552e895091f.pdf" TargetMode="External" Id="rId1" /><Relationship Type="http://schemas.openxmlformats.org/officeDocument/2006/relationships/hyperlink" Target="https://www.yesterdaysmathsexam.com/_files/ugd/1ba96f_0aa87b014cec40aabcda0003f6f868c6.pdf" TargetMode="External" Id="rId2" /><Relationship Type="http://schemas.openxmlformats.org/officeDocument/2006/relationships/hyperlink" Target="https://www.yesterdaysmathsexam.com/_files/ugd/1ba96f_e22773086352449e8757f2f4f6601256.pdf" TargetMode="External" Id="rId3" /><Relationship Type="http://schemas.openxmlformats.org/officeDocument/2006/relationships/hyperlink" Target="https://www.yesterdaysmathsexam.com/_files/ugd/1ba96f_5d26dee8e05a4d68aeb30e40b3a3c9c1.pdf" TargetMode="External" Id="rId4" /><Relationship Type="http://schemas.openxmlformats.org/officeDocument/2006/relationships/hyperlink" Target="https://www.yesterdaysmathsexam.com/_files/ugd/1ba96f_0c034f6ab83040e294803ce31407d2a9.pdf" TargetMode="External" Id="rId5" /><Relationship Type="http://schemas.openxmlformats.org/officeDocument/2006/relationships/hyperlink" Target="https://www.yesterdaysmathsexam.com/_files/ugd/1ba96f_58c2b569086c4f6faecee67913c86a4d.pdf" TargetMode="External" Id="rId6" /><Relationship Type="http://schemas.openxmlformats.org/officeDocument/2006/relationships/hyperlink" Target="https://www.yesterdaysmathsexam.com/_files/ugd/1ba96f_137fddacd6a741eea1c38a996d8b2e17.pdf" TargetMode="External" Id="rId7" /><Relationship Type="http://schemas.openxmlformats.org/officeDocument/2006/relationships/hyperlink" Target="https://www.yesterdaysmathsexam.com/_files/ugd/1ba96f_28606260e6214f7998dbba87694ffce4.pdf" TargetMode="External" Id="rId8" /><Relationship Type="http://schemas.openxmlformats.org/officeDocument/2006/relationships/hyperlink" Target="https://www.yesterdaysmathsexam.com/_files/ugd/1ba96f_91854f91ca9c48c9b4a14ae5451ccf7c.pdf" TargetMode="External" Id="rId9" /><Relationship Type="http://schemas.openxmlformats.org/officeDocument/2006/relationships/hyperlink" Target="https://www.yesterdaysmathsexam.com/_files/ugd/1ba96f_91d88e11265c464f93c3640439b79bdd.pdf" TargetMode="External" Id="rId10" /><Relationship Type="http://schemas.openxmlformats.org/officeDocument/2006/relationships/hyperlink" Target="https://www.yesterdaysmathsexam.com/_files/ugd/1ba96f_ae7d646be5fb43adb23666d6e5a4bb68.pdf" TargetMode="External" Id="rId11" /><Relationship Type="http://schemas.openxmlformats.org/officeDocument/2006/relationships/hyperlink" Target="https://www.yesterdaysmathsexam.com/_files/ugd/1ba96f_35c823c6efcc4f4398d172fc162f3a9b.pdf" TargetMode="External" Id="rId12" /><Relationship Type="http://schemas.openxmlformats.org/officeDocument/2006/relationships/hyperlink" Target="https://www.yesterdaysmathsexam.com/_files/ugd/1ba96f_c8544a0f89ba4828b541a6ab457e337a.pdf" TargetMode="External" Id="rId13" /><Relationship Type="http://schemas.openxmlformats.org/officeDocument/2006/relationships/hyperlink" Target="https://www.yesterdaysmathsexam.com/_files/ugd/1ba96f_5b057af81a504c6ab4848b1752a0ebae.pdf" TargetMode="External" Id="rId14" /><Relationship Type="http://schemas.openxmlformats.org/officeDocument/2006/relationships/hyperlink" Target="https://www.yesterdaysmathsexam.com/_files/ugd/1ba96f_5870fbb9c6ae429abe50bd076b5da130.pdf" TargetMode="External" Id="rId15" /><Relationship Type="http://schemas.openxmlformats.org/officeDocument/2006/relationships/hyperlink" Target="https://www.yesterdaysmathsexam.com/_files/ugd/1ba96f_c1a210161a45417495e5ca00d2b219ce.pdf" TargetMode="External" Id="rId16" /><Relationship Type="http://schemas.openxmlformats.org/officeDocument/2006/relationships/hyperlink" Target="https://www.yesterdaysmathsexam.com/_files/ugd/1ba96f_2c311df40fa8428eb48c8c67a6585999.pdf" TargetMode="External" Id="rId17" /><Relationship Type="http://schemas.openxmlformats.org/officeDocument/2006/relationships/hyperlink" Target="https://www.yesterdaysmathsexam.com/_files/ugd/1ba96f_67d05bced5e54e638c5a51e9d32efa6c.pdf" TargetMode="External" Id="rId18" /><Relationship Type="http://schemas.openxmlformats.org/officeDocument/2006/relationships/hyperlink" Target="https://www.yesterdaysmathsexam.com/_files/ugd/1ba96f_f7438ab96b614afdb09879de1c330acd.pdf" TargetMode="External" Id="rId19" /><Relationship Type="http://schemas.openxmlformats.org/officeDocument/2006/relationships/hyperlink" Target="https://www.yesterdaysmathsexam.com/_files/ugd/1ba96f_3d6d5d43c835497484d6aa06a4c913bb.pdf" TargetMode="External" Id="rId20" /><Relationship Type="http://schemas.openxmlformats.org/officeDocument/2006/relationships/hyperlink" Target="https://www.yesterdaysmathsexam.com/_files/ugd/1ba96f_ffb72e9d0b7845f1a341a2217b83af59.pdf" TargetMode="External" Id="rId21" /><Relationship Type="http://schemas.openxmlformats.org/officeDocument/2006/relationships/hyperlink" Target="https://www.yesterdaysmathsexam.com/_files/ugd/1ba96f_b935bc166b204d05bb5714796394db5f.pdf" TargetMode="External" Id="rId22" /><Relationship Type="http://schemas.openxmlformats.org/officeDocument/2006/relationships/hyperlink" Target="https://www.yesterdaysmathsexam.com/_files/ugd/1ba96f_7d54ed6700224b36b9c7a8664f6b4bcc.pdf" TargetMode="External" Id="rId23" /><Relationship Type="http://schemas.openxmlformats.org/officeDocument/2006/relationships/hyperlink" Target="https://www.yesterdaysmathsexam.com/_files/ugd/1ba96f_2ed7e13af425482b8c310ce85a457447.pdf" TargetMode="External" Id="rId24" /><Relationship Type="http://schemas.openxmlformats.org/officeDocument/2006/relationships/hyperlink" Target="https://www.yesterdaysmathsexam.com/_files/ugd/1ba96f_9f9d72e2a57840bf98a2ba7ea444bf03.pdf" TargetMode="External" Id="rId25" /><Relationship Type="http://schemas.openxmlformats.org/officeDocument/2006/relationships/hyperlink" Target="https://www.yesterdaysmathsexam.com/_files/ugd/1ba96f_01c1277301f94c9c908e2ad7bf50f8a0.pdf" TargetMode="External" Id="rId26" /><Relationship Type="http://schemas.openxmlformats.org/officeDocument/2006/relationships/hyperlink" Target="https://www.yesterdaysmathsexam.com/_files/ugd/1ba96f_6ff07a7e39ae42b89ec4ef14b04e9423.pdf" TargetMode="External" Id="rId27" /><Relationship Type="http://schemas.openxmlformats.org/officeDocument/2006/relationships/hyperlink" Target="https://www.yesterdaysmathsexam.com/_files/ugd/1ba96f_c4b9ccdb696e47c7875bb53e0f6ccc1c.pdf" TargetMode="External" Id="rId28" /><Relationship Type="http://schemas.openxmlformats.org/officeDocument/2006/relationships/hyperlink" Target="https://www.yesterdaysmathsexam.com/_files/ugd/1ba96f_88aaa09bb4484011916313ee5242f4a0.pdf" TargetMode="External" Id="rId29" /><Relationship Type="http://schemas.openxmlformats.org/officeDocument/2006/relationships/hyperlink" Target="https://www.yesterdaysmathsexam.com/_files/ugd/1ba96f_700f3c6395b64fb2afb220b5c2da6267.pdf" TargetMode="External" Id="rId30" /><Relationship Type="http://schemas.openxmlformats.org/officeDocument/2006/relationships/hyperlink" Target="https://www.yesterdaysmathsexam.com/_files/ugd/1ba96f_202f299f34b448afb234a795116475aa.pdf" TargetMode="External" Id="rId31" /><Relationship Type="http://schemas.openxmlformats.org/officeDocument/2006/relationships/hyperlink" Target="https://www.yesterdaysmathsexam.com/_files/ugd/1ba96f_34dfb5236a424b94be30b9f91a3a8571.pdf" TargetMode="External" Id="rId32" /><Relationship Type="http://schemas.openxmlformats.org/officeDocument/2006/relationships/hyperlink" Target="https://www.yesterdaysmathsexam.com/_files/ugd/1ba96f_aabff9387fa64b2bb34c007c086f1967.pdf" TargetMode="External" Id="rId33" /><Relationship Type="http://schemas.openxmlformats.org/officeDocument/2006/relationships/hyperlink" Target="https://www.yesterdaysmathsexam.com/_files/ugd/1ba96f_32378d56df784deaabe0fa8114e895ca.pdf" TargetMode="External" Id="rId34" /><Relationship Type="http://schemas.openxmlformats.org/officeDocument/2006/relationships/hyperlink" Target="https://www.yesterdaysmathsexam.com/_files/ugd/1ba96f_a9f3634701054587ae7be34b00180611.pdf" TargetMode="External" Id="rId35" /><Relationship Type="http://schemas.openxmlformats.org/officeDocument/2006/relationships/hyperlink" Target="https://www.yesterdaysmathsexam.com/_files/ugd/1ba96f_81d9c2a1da7e40f5a21e201f93946696.pdf" TargetMode="External" Id="rId36" /><Relationship Type="http://schemas.openxmlformats.org/officeDocument/2006/relationships/hyperlink" Target="https://www.yesterdaysmathsexam.com/_files/ugd/1ba96f_c8483dcf58004b1788d3fc2e0b878c56.pdf" TargetMode="External" Id="rId37" /><Relationship Type="http://schemas.openxmlformats.org/officeDocument/2006/relationships/hyperlink" Target="https://www.yesterdaysmathsexam.com/_files/ugd/1ba96f_fac388da48db4f569812a159a4adbb82.pdf" TargetMode="External" Id="rId38" /><Relationship Type="http://schemas.openxmlformats.org/officeDocument/2006/relationships/hyperlink" Target="https://www.yesterdaysmathsexam.com/_files/ugd/1ba96f_b281254b2034434f8cca0ded8588ed7f.pdf" TargetMode="External" Id="rId39" /><Relationship Type="http://schemas.openxmlformats.org/officeDocument/2006/relationships/hyperlink" Target="https://www.yesterdaysmathsexam.com/_files/ugd/1ba96f_6bbd83b88c124be599744fc7f0dd0416.pdf" TargetMode="External" Id="rId40" /><Relationship Type="http://schemas.openxmlformats.org/officeDocument/2006/relationships/hyperlink" Target="https://www.yesterdaysmathsexam.com/_files/ugd/1ba96f_48b8d9b94c8b4430af8cd8dfa59dac51.pdf" TargetMode="External" Id="rId41" /><Relationship Type="http://schemas.openxmlformats.org/officeDocument/2006/relationships/hyperlink" Target="https://www.yesterdaysmathsexam.com/_files/ugd/1ba96f_9fd76f9ea7cf46eb8074280c46213e06.pdf" TargetMode="External" Id="rId42" /><Relationship Type="http://schemas.openxmlformats.org/officeDocument/2006/relationships/hyperlink" Target="https://www.yesterdaysmathsexam.com/_files/ugd/1ba96f_80a3205f20de4fe989d20572dfcb6f06.pdf" TargetMode="External" Id="rId43" /><Relationship Type="http://schemas.openxmlformats.org/officeDocument/2006/relationships/hyperlink" Target="https://www.yesterdaysmathsexam.com/_files/ugd/1ba96f_813e46e578db4eb2879882398c80e3c4.pdf" TargetMode="External" Id="rId44" /><Relationship Type="http://schemas.openxmlformats.org/officeDocument/2006/relationships/hyperlink" Target="https://www.yesterdaysmathsexam.com/_files/ugd/1ba96f_cb4a9bc0fd524170be7067e2770f5a77.pdf" TargetMode="External" Id="rId45" /><Relationship Type="http://schemas.openxmlformats.org/officeDocument/2006/relationships/hyperlink" Target="https://www.yesterdaysmathsexam.com/_files/ugd/1ba96f_06c6eb8bbc49417cb617ed1a17b0ec31.pdf" TargetMode="External" Id="rId46" /><Relationship Type="http://schemas.openxmlformats.org/officeDocument/2006/relationships/hyperlink" Target="https://www.yesterdaysmathsexam.com/_files/ugd/1ba96f_4a46a9fa0c07461b97ddf62f897d5464.pdf" TargetMode="External" Id="rId47" /><Relationship Type="http://schemas.openxmlformats.org/officeDocument/2006/relationships/hyperlink" Target="https://www.yesterdaysmathsexam.com/_files/ugd/1ba96f_73cb3a284cb4426e98f4d6371973d180.pdf" TargetMode="External" Id="rId48" /><Relationship Type="http://schemas.openxmlformats.org/officeDocument/2006/relationships/hyperlink" Target="https://www.yesterdaysmathsexam.com/_files/ugd/1ba96f_814e620dfe4648c684796a46e5dac697.pdf" TargetMode="External" Id="rId49" /><Relationship Type="http://schemas.openxmlformats.org/officeDocument/2006/relationships/hyperlink" Target="https://www.yesterdaysmathsexam.com/_files/ugd/1ba96f_4204150e65994886a18f7897dc4e8975.pdf" TargetMode="External" Id="rId50" /><Relationship Type="http://schemas.openxmlformats.org/officeDocument/2006/relationships/hyperlink" Target="https://www.yesterdaysmathsexam.com/_files/ugd/1ba96f_15aac9787f364dd2bcb8272f1faaf96c.pdf" TargetMode="External" Id="rId51" /><Relationship Type="http://schemas.openxmlformats.org/officeDocument/2006/relationships/hyperlink" Target="https://www.yesterdaysmathsexam.com/_files/ugd/1ba96f_52583e3d2e264e018ee395d9ae3f992e.pdf" TargetMode="External" Id="rId52" /><Relationship Type="http://schemas.openxmlformats.org/officeDocument/2006/relationships/hyperlink" Target="https://www.yesterdaysmathsexam.com/_files/ugd/1ba96f_7c748a76bde946f58a74d25ddf9a185a.pdf" TargetMode="External" Id="rId53" /><Relationship Type="http://schemas.openxmlformats.org/officeDocument/2006/relationships/hyperlink" Target="https://www.yesterdaysmathsexam.com/_files/ugd/1ba96f_39265d7fdc7e4a2cb82e20ebb2547b48.pdf" TargetMode="External" Id="rId54" /><Relationship Type="http://schemas.openxmlformats.org/officeDocument/2006/relationships/hyperlink" Target="https://www.yesterdaysmathsexam.com/_files/ugd/1ba96f_246f6fc138e54b5ea0ee8f4d861d3084.pdf" TargetMode="External" Id="rId55" /><Relationship Type="http://schemas.openxmlformats.org/officeDocument/2006/relationships/hyperlink" Target="https://www.yesterdaysmathsexam.com/_files/ugd/1ba96f_3778726d26a74080a3d371b325ddf02f.pdf" TargetMode="External" Id="rId56" /><Relationship Type="http://schemas.openxmlformats.org/officeDocument/2006/relationships/hyperlink" Target="https://www.yesterdaysmathsexam.com/_files/ugd/1ba96f_721ef4ec342744798afc38eee8ba0d3b.pdf" TargetMode="External" Id="rId57" /><Relationship Type="http://schemas.openxmlformats.org/officeDocument/2006/relationships/hyperlink" Target="https://www.yesterdaysmathsexam.com/_files/ugd/1ba96f_77ba3b7f67e842ea93e4d7381116a3ce.pdf" TargetMode="External" Id="rId58" /><Relationship Type="http://schemas.openxmlformats.org/officeDocument/2006/relationships/hyperlink" Target="https://www.yesterdaysmathsexam.com/_files/ugd/1ba96f_aa7d703a24f2497f8102a0e30806c55f.pdf" TargetMode="External" Id="rId59" /><Relationship Type="http://schemas.openxmlformats.org/officeDocument/2006/relationships/hyperlink" Target="https://www.yesterdaysmathsexam.com/_files/ugd/1ba96f_3c940af8cffa4cad940bbd3375c6337d.pdf" TargetMode="External" Id="rId60" /><Relationship Type="http://schemas.openxmlformats.org/officeDocument/2006/relationships/hyperlink" Target="https://www.yesterdaysmathsexam.com/_files/ugd/1ba96f_ae20a0be0c6043a18aff99d79c09ba98.pdf" TargetMode="External" Id="rId61" /><Relationship Type="http://schemas.openxmlformats.org/officeDocument/2006/relationships/hyperlink" Target="https://www.yesterdaysmathsexam.com/_files/ugd/1ba96f_6f7f4058adcf4c598f6176505e3ee32a.pdf" TargetMode="External" Id="rId62" /><Relationship Type="http://schemas.openxmlformats.org/officeDocument/2006/relationships/hyperlink" Target="https://www.yesterdaysmathsexam.com/_files/ugd/1ba96f_f2d17d94e5c64a5991b28cffde4d004e.pdf" TargetMode="External" Id="rId63" /><Relationship Type="http://schemas.openxmlformats.org/officeDocument/2006/relationships/hyperlink" Target="https://www.yesterdaysmathsexam.com/_files/ugd/1ba96f_d8db080ca04f438598b2ff46c5401518.pdf" TargetMode="External" Id="rId64" /><Relationship Type="http://schemas.openxmlformats.org/officeDocument/2006/relationships/hyperlink" Target="https://www.yesterdaysmathsexam.com/_files/ugd/1ba96f_ed01c186ad834beba163b5d976445ff7.pdf" TargetMode="External" Id="rId65" /><Relationship Type="http://schemas.openxmlformats.org/officeDocument/2006/relationships/hyperlink" Target="https://www.yesterdaysmathsexam.com/_files/ugd/1ba96f_90891fdca7714ce88ac6d9323a9c1770.pdf" TargetMode="External" Id="rId66" /><Relationship Type="http://schemas.openxmlformats.org/officeDocument/2006/relationships/hyperlink" Target="https://www.yesterdaysmathsexam.com/_files/ugd/1ba96f_65f81240f9db4d2285c1202ff209a6f4.pdf" TargetMode="External" Id="rId67" /><Relationship Type="http://schemas.openxmlformats.org/officeDocument/2006/relationships/hyperlink" Target="https://www.yesterdaysmathsexam.com/_files/ugd/1ba96f_3455b68d40b840d7b1f4f4ba406a03de.pdf" TargetMode="External" Id="rId68" /><Relationship Type="http://schemas.openxmlformats.org/officeDocument/2006/relationships/hyperlink" Target="https://www.yesterdaysmathsexam.com/_files/ugd/1ba96f_5f23bdaa89ca499a9baf440ec66703a3.pdf" TargetMode="External" Id="rId69" /><Relationship Type="http://schemas.openxmlformats.org/officeDocument/2006/relationships/hyperlink" Target="https://www.yesterdaysmathsexam.com/_files/ugd/1ba96f_ed618757efba4c6dbf26ec788ee2a1d7.pdf" TargetMode="External" Id="rId70" /><Relationship Type="http://schemas.openxmlformats.org/officeDocument/2006/relationships/hyperlink" Target="https://www.yesterdaysmathsexam.com/_files/ugd/1ba96f_2e8e13ab7ba149ae98e184013ef23684.pdf" TargetMode="External" Id="rId71" /><Relationship Type="http://schemas.openxmlformats.org/officeDocument/2006/relationships/hyperlink" Target="https://www.yesterdaysmathsexam.com/_files/ugd/1ba96f_5d54bf42ea074dc89292461bd32ca80e.pdf" TargetMode="External" Id="rId72" /><Relationship Type="http://schemas.openxmlformats.org/officeDocument/2006/relationships/hyperlink" Target="https://www.yesterdaysmathsexam.com/_files/ugd/1ba96f_6b8b5da8f13a4a25b33a744329409571.pdf" TargetMode="External" Id="rId73" /><Relationship Type="http://schemas.openxmlformats.org/officeDocument/2006/relationships/hyperlink" Target="https://www.yesterdaysmathsexam.com/_files/ugd/1ba96f_ae6001c8146345e3859382ba631913c1.pdf" TargetMode="External" Id="rId74" /><Relationship Type="http://schemas.openxmlformats.org/officeDocument/2006/relationships/hyperlink" Target="https://www.yesterdaysmathsexam.com/_files/ugd/1ba96f_adbe4528a54544dfb83eceef712324fc.pdf" TargetMode="External" Id="rId75" /><Relationship Type="http://schemas.openxmlformats.org/officeDocument/2006/relationships/hyperlink" Target="https://www.yesterdaysmathsexam.com/_files/ugd/1ba96f_6a49bd268f8c4da99e57af29beb09d87.pdf" TargetMode="External" Id="rId76" /><Relationship Type="http://schemas.openxmlformats.org/officeDocument/2006/relationships/hyperlink" Target="https://www.yesterdaysmathsexam.com/_files/ugd/1ba96f_be9d0430ee804751a010650f256781fc.pdf" TargetMode="External" Id="rId77" /><Relationship Type="http://schemas.openxmlformats.org/officeDocument/2006/relationships/hyperlink" Target="https://www.yesterdaysmathsexam.com/_files/ugd/1ba96f_4cd6cf32b92f4bc0b9a7367d0234224c.pdf" TargetMode="External" Id="rId78" /><Relationship Type="http://schemas.openxmlformats.org/officeDocument/2006/relationships/hyperlink" Target="https://www.yesterdaysmathsexam.com/_files/ugd/1ba96f_fd18f78d55f040c2946d08a7022983ff.pdf" TargetMode="External" Id="rId79" /><Relationship Type="http://schemas.openxmlformats.org/officeDocument/2006/relationships/hyperlink" Target="https://www.yesterdaysmathsexam.com/_files/ugd/1ba96f_8ea21053b8474cc7a8e93aaa72a172bc.pdf" TargetMode="External" Id="rId80" /><Relationship Type="http://schemas.openxmlformats.org/officeDocument/2006/relationships/hyperlink" Target="https://www.yesterdaysmathsexam.com/_files/ugd/1ba96f_281e76280539458f9b6630abf7660997.pdf" TargetMode="External" Id="rId81" /><Relationship Type="http://schemas.openxmlformats.org/officeDocument/2006/relationships/hyperlink" Target="https://www.yesterdaysmathsexam.com/_files/ugd/1ba96f_ca5b2e753db74712a58a19f43cd20632.pdf" TargetMode="External" Id="rId82" /><Relationship Type="http://schemas.openxmlformats.org/officeDocument/2006/relationships/hyperlink" Target="https://www.yesterdaysmathsexam.com/_files/ugd/1ba96f_09e49e6ba51c4072a93a223aa3914a7a.pdf" TargetMode="External" Id="rId83" /><Relationship Type="http://schemas.openxmlformats.org/officeDocument/2006/relationships/hyperlink" Target="https://www.yesterdaysmathsexam.com/_files/ugd/1ba96f_b315f5201a2b4e32bf0713e9977cf16c.pdf" TargetMode="External" Id="rId84" /><Relationship Type="http://schemas.openxmlformats.org/officeDocument/2006/relationships/hyperlink" Target="https://www.yesterdaysmathsexam.com/_files/ugd/1ba96f_fc703295344d450dacbb5487e067849c.pdf" TargetMode="External" Id="rId85" /><Relationship Type="http://schemas.openxmlformats.org/officeDocument/2006/relationships/hyperlink" Target="https://www.yesterdaysmathsexam.com/_files/ugd/1ba96f_f4b7f4620bcf40dcba318fe559b4949a.pdf" TargetMode="External" Id="rId86" /><Relationship Type="http://schemas.openxmlformats.org/officeDocument/2006/relationships/hyperlink" Target="https://www.yesterdaysmathsexam.com/_files/ugd/1ba96f_fbd15a4c534c45a3b09ac76fbd95c2b1.pdf" TargetMode="External" Id="rId87" /><Relationship Type="http://schemas.openxmlformats.org/officeDocument/2006/relationships/hyperlink" Target="https://www.yesterdaysmathsexam.com/_files/ugd/1ba96f_03293376581b4798885139a1f84f1fcf.pdf" TargetMode="External" Id="rId88" /><Relationship Type="http://schemas.openxmlformats.org/officeDocument/2006/relationships/hyperlink" Target="https://www.yesterdaysmathsexam.com/_files/ugd/1ba96f_a0fe1265d5b14750ba99d38ec48aca2a.pdf" TargetMode="External" Id="rId89" /><Relationship Type="http://schemas.openxmlformats.org/officeDocument/2006/relationships/hyperlink" Target="https://www.yesterdaysmathsexam.com/_files/ugd/1ba96f_100e3684264c4e1592f8ed2058699254.pdf" TargetMode="External" Id="rId90" /><Relationship Type="http://schemas.openxmlformats.org/officeDocument/2006/relationships/hyperlink" Target="https://www.yesterdaysmathsexam.com/_files/ugd/1ba96f_3422fa4bb48d4fc49389b56e479c5c41.pdf" TargetMode="External" Id="rId91" /><Relationship Type="http://schemas.openxmlformats.org/officeDocument/2006/relationships/hyperlink" Target="https://www.yesterdaysmathsexam.com/_files/ugd/1ba96f_b07a482d94fc4ddab9a44221dec61693.pdf" TargetMode="External" Id="rId92" /><Relationship Type="http://schemas.openxmlformats.org/officeDocument/2006/relationships/hyperlink" Target="https://www.yesterdaysmathsexam.com/_files/ugd/1ba96f_dc75bd77c5d0434bbe8bba090a9ea2a9.pdf" TargetMode="External" Id="rId93" /><Relationship Type="http://schemas.openxmlformats.org/officeDocument/2006/relationships/hyperlink" Target="https://www.yesterdaysmathsexam.com/_files/ugd/1ba96f_188b80f80c924a7bb79682e7b0cef99e.pdf" TargetMode="External" Id="rId94" /><Relationship Type="http://schemas.openxmlformats.org/officeDocument/2006/relationships/hyperlink" Target="https://www.yesterdaysmathsexam.com/_files/ugd/1ba96f_492f9020e4ef4563b32683b63932ae6d.pdf" TargetMode="External" Id="rId95" /><Relationship Type="http://schemas.openxmlformats.org/officeDocument/2006/relationships/hyperlink" Target="https://www.yesterdaysmathsexam.com/_files/ugd/1ba96f_4d745904c08e492c940afadc7155065d.pdf" TargetMode="External" Id="rId96" /><Relationship Type="http://schemas.openxmlformats.org/officeDocument/2006/relationships/hyperlink" Target="https://www.yesterdaysmathsexam.com/_files/ugd/1ba96f_6b07c8c2e38b43f291366e6a5580d331.pdf" TargetMode="External" Id="rId97" /><Relationship Type="http://schemas.openxmlformats.org/officeDocument/2006/relationships/hyperlink" Target="https://www.yesterdaysmathsexam.com/_files/ugd/1ba96f_6797340efb45461d82d40b09003d7b87.pdf" TargetMode="External" Id="rId98" /><Relationship Type="http://schemas.openxmlformats.org/officeDocument/2006/relationships/hyperlink" Target="https://www.yesterdaysmathsexam.com/_files/ugd/1ba96f_1be075b9bf254ea9af9b6a1ae5e869d1.pdf" TargetMode="External" Id="rId99" /><Relationship Type="http://schemas.openxmlformats.org/officeDocument/2006/relationships/hyperlink" Target="https://www.yesterdaysmathsexam.com/_files/ugd/1ba96f_bb55c2e7c1c04f78b0d03d8be585f3b0.pdf" TargetMode="External" Id="rId100" /><Relationship Type="http://schemas.openxmlformats.org/officeDocument/2006/relationships/hyperlink" Target="https://www.yesterdaysmathsexam.com/_files/ugd/1ba96f_f2cbcccfe8e14f97a3d041f3b2013b71.pdf" TargetMode="External" Id="rId101" /></Relationships>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2937"/>
    <outlinePr summaryBelow="1" summaryRight="1"/>
    <pageSetUpPr fitToPage="1"/>
  </sheetPr>
  <dimension ref="A1:C33"/>
  <sheetViews>
    <sheetView showGridLines="0" zoomScale="110" workbookViewId="0">
      <selection activeCell="A1" sqref="A1"/>
    </sheetView>
  </sheetViews>
  <sheetFormatPr baseColWidth="8" defaultRowHeight="15"/>
  <cols>
    <col width="5" customWidth="1" min="1" max="1"/>
    <col width="24" customWidth="1" min="2" max="2"/>
    <col width="62" customWidth="1" min="3" max="3"/>
    <col width="4" customWidth="1" min="4" max="4"/>
    <col width="4" customWidth="1" min="5" max="5"/>
  </cols>
  <sheetData>
    <row r="1" ht="38" customHeight="1">
      <c r="B1" s="1" t="inlineStr">
        <is>
          <t>Edexcel A Level Maths</t>
        </is>
      </c>
    </row>
    <row r="2">
      <c r="B2" s="2" t="inlineStr">
        <is>
          <t>A quick check of how confident you feel on every topic, so revision goes where it's needed most.</t>
        </is>
      </c>
    </row>
    <row r="4">
      <c r="B4" s="3" t="inlineStr">
        <is>
          <t>How it works</t>
        </is>
      </c>
    </row>
    <row r="5" ht="36" customHeight="1">
      <c r="A5" s="4" t="n">
        <v>1</v>
      </c>
      <c r="B5" s="5" t="inlineStr">
        <is>
          <t>Open the Pure / Statistics / Mechanics tabs</t>
        </is>
      </c>
      <c r="C5" s="6" t="inlineStr">
        <is>
          <t>Each topic has a yellow Rating box. Click it and pick R, A or G. That's the only thing to fill in (Notes are optional).</t>
        </is>
      </c>
    </row>
    <row r="6" ht="6" customHeight="1"/>
    <row r="7" ht="36" customHeight="1">
      <c r="A7" s="4" t="n">
        <v>2</v>
      </c>
      <c r="B7" s="5" t="inlineStr">
        <is>
          <t>Be honest, not kind</t>
        </is>
      </c>
      <c r="C7" s="6" t="inlineStr">
        <is>
          <t>If you're torn between two colours, pick the lower one. A Green topic gets almost no time, so only use it when you're sure.</t>
        </is>
      </c>
    </row>
    <row r="8" ht="6" customHeight="1"/>
    <row r="9" ht="36" customHeight="1">
      <c r="A9" s="4" t="n">
        <v>3</v>
      </c>
      <c r="B9" s="5" t="inlineStr">
        <is>
          <t>Take your time</t>
        </is>
      </c>
      <c r="C9" s="6" t="inlineStr">
        <is>
          <t>236 topics, most take a glance. About 45 minutes, and it's fine to do one tab at a time.</t>
        </is>
      </c>
    </row>
    <row r="10" ht="6" customHeight="1"/>
    <row r="12">
      <c r="B12" s="3" t="inlineStr">
        <is>
          <t>What the colours mean</t>
        </is>
      </c>
    </row>
    <row r="13" ht="26" customHeight="1">
      <c r="B13" s="7" t="inlineStr">
        <is>
          <t>R  ·  Red</t>
        </is>
      </c>
      <c r="C13" s="8" t="inlineStr">
        <is>
          <t>I can't do this yet, or I'd probably get it wrong.</t>
        </is>
      </c>
    </row>
    <row r="14" ht="26" customHeight="1">
      <c r="B14" s="9" t="inlineStr">
        <is>
          <t>A  ·  Amber</t>
        </is>
      </c>
      <c r="C14" s="8" t="inlineStr">
        <is>
          <t>I can do some of it, or I'm slow and make mistakes.</t>
        </is>
      </c>
    </row>
    <row r="15" ht="26" customHeight="1">
      <c r="B15" s="10" t="inlineStr">
        <is>
          <t>G  ·  Green</t>
        </is>
      </c>
      <c r="C15" s="8" t="inlineStr">
        <is>
          <t>I can do this confidently in exam conditions.</t>
        </is>
      </c>
    </row>
    <row r="17">
      <c r="B17" s="3" t="inlineStr">
        <is>
          <t>The tabs</t>
        </is>
      </c>
    </row>
    <row r="18" ht="24" customHeight="1">
      <c r="B18" s="11" t="inlineStr">
        <is>
          <t>Pure</t>
        </is>
      </c>
      <c r="C18" s="8" t="inlineStr">
        <is>
          <t>158 topics for Paper 1 and Paper 2.</t>
        </is>
      </c>
    </row>
    <row r="19" ht="24" customHeight="1">
      <c r="B19" s="12" t="inlineStr">
        <is>
          <t>Statistics</t>
        </is>
      </c>
      <c r="C19" s="8" t="inlineStr">
        <is>
          <t>42 topics for Paper 3, Section A.</t>
        </is>
      </c>
    </row>
    <row r="20" ht="24" customHeight="1">
      <c r="B20" s="13" t="inlineStr">
        <is>
          <t>Mechanics</t>
        </is>
      </c>
      <c r="C20" s="8" t="inlineStr">
        <is>
          <t>36 topics for Paper 3, Section B.</t>
        </is>
      </c>
    </row>
    <row r="21" ht="24" customHeight="1">
      <c r="B21" s="14" t="inlineStr">
        <is>
          <t>Chapter tests</t>
        </is>
      </c>
      <c r="C21" s="8" t="inlineStr">
        <is>
          <t>Real exam questions for each textbook chapter. Mark them Done as you go.</t>
        </is>
      </c>
    </row>
    <row r="22" ht="24" customHeight="1">
      <c r="B22" s="15" t="inlineStr">
        <is>
          <t>Progress</t>
        </is>
      </c>
      <c r="C22" s="8" t="inlineStr">
        <is>
          <t>Fills itself in: your Red / Amber / Green totals and a practice plan.</t>
        </is>
      </c>
    </row>
    <row r="24">
      <c r="B24" s="3" t="inlineStr">
        <is>
          <t>Want to check a topic first?</t>
        </is>
      </c>
    </row>
    <row r="25" ht="20" customHeight="1">
      <c r="B25" s="16" t="inlineStr">
        <is>
          <t>▶ Watch</t>
        </is>
      </c>
      <c r="C25" s="17" t="inlineStr">
        <is>
          <t>A short Maths Genie video lesson on the topic.</t>
        </is>
      </c>
    </row>
    <row r="26" ht="30" customHeight="1">
      <c r="B26" s="16" t="inlineStr">
        <is>
          <t>Questions links</t>
        </is>
      </c>
      <c r="C26" s="17" t="inlineStr">
        <is>
          <t>Each link lists the questions on that topic. 'Q 3, 7' means questions 3 and 7; 'Q 4–11' means questions 4 to 11. Past-paper sheets use pages instead, e.g. 'Pages 2, 5' (their question numbers can repeat). Click to open the PDF at the first one; hover to see which parts. 'none on this topic' means that source has no question on it.</t>
        </is>
      </c>
    </row>
    <row r="27" ht="20" customHeight="1">
      <c r="B27" s="16" t="inlineStr">
        <is>
          <t>Maths Genie</t>
        </is>
      </c>
      <c r="C27" s="17" t="inlineStr">
        <is>
          <t>Exam-style questions written by Maths Genie, with worked answers.</t>
        </is>
      </c>
    </row>
    <row r="28" ht="30" customHeight="1">
      <c r="B28" s="16" t="inlineStr">
        <is>
          <t>PMT worksheet</t>
        </is>
      </c>
      <c r="C28" s="17" t="inlineStr">
        <is>
          <t>Physics &amp; Maths Tutor sheets: Edexcel past-paper questions (with mark scheme and model answers), or a Solomon topic worksheet (with answers) where that covers the topic better. Set A sheets have the mark scheme at the back of the same PDF.</t>
        </is>
      </c>
    </row>
    <row r="29" ht="30" customHeight="1">
      <c r="B29" s="16" t="inlineStr">
        <is>
          <t>Textbook</t>
        </is>
      </c>
      <c r="C29" s="17" t="inlineStr">
        <is>
          <t>Where it is in the Pearson textbooks (Pure 1 and 2, Applied 1 and 2), plus the questions on that topic from the chapter test (real Edexcel exam questions).</t>
        </is>
      </c>
    </row>
    <row r="30" ht="30" customHeight="1">
      <c r="B30" s="16" t="inlineStr">
        <is>
          <t>Ref and Year</t>
        </is>
      </c>
      <c r="C30" s="17" t="inlineStr">
        <is>
          <t>The official specification reference (e.g. P7.4). Y1 = AS / first-year content, Y2 = second year.</t>
        </is>
      </c>
    </row>
    <row r="32">
      <c r="B32" s="3" t="inlineStr">
        <is>
          <t>The exams</t>
        </is>
      </c>
    </row>
    <row r="33" ht="48" customHeight="1">
      <c r="C33" s="18" t="inlineStr">
        <is>
          <t>Three 2-hour papers, 100 marks each, each worth a third: Paper 1 and Paper 2 are Pure; Paper 3 is Statistics (Section A) and Mechanics (Section B). Year 1 content is examined too, and Pure can come up on Paper 3.</t>
        </is>
      </c>
    </row>
  </sheetData>
  <pageMargins left="0.75" right="0.75" top="1" bottom="1" header="0.5" footer="0.5"/>
  <pageSetup fitToHeight="0" fitToWidth="1"/>
</worksheet>
</file>

<file path=xl/worksheets/sheet2.xml><?xml version="1.0" encoding="utf-8"?>
<worksheet xmlns="http://schemas.openxmlformats.org/spreadsheetml/2006/main">
  <sheetPr>
    <tabColor rgb="003B5BDB"/>
    <outlinePr summaryBelow="0"/>
    <pageSetUpPr fitToPage="1"/>
  </sheetPr>
  <dimension ref="A1:P184"/>
  <sheetViews>
    <sheetView showGridLines="0" zoomScale="110" workbookViewId="0">
      <pane xSplit="2" ySplit="6" topLeftCell="C7" activePane="bottomRight" state="frozen"/>
      <selection pane="topRight"/>
      <selection pane="bottomLeft"/>
      <selection pane="bottomRight" activeCell="A1" sqref="A1"/>
    </sheetView>
  </sheetViews>
  <sheetFormatPr baseColWidth="8" defaultRowHeight="15"/>
  <cols>
    <col width="7" customWidth="1" min="1" max="1"/>
    <col width="54" customWidth="1" min="2" max="2"/>
    <col width="6" customWidth="1" min="3" max="3"/>
    <col width="9" customWidth="1" min="4" max="4"/>
    <col width="30" customWidth="1" min="5" max="5"/>
    <col width="10" customWidth="1" min="6" max="6"/>
    <col width="19" customWidth="1" min="7" max="7"/>
    <col width="10" customWidth="1" min="8" max="8"/>
    <col width="30" customWidth="1" min="9" max="9"/>
    <col width="19" customWidth="1" min="10" max="10"/>
    <col width="11" customWidth="1" min="11" max="11"/>
    <col width="9" customWidth="1" min="12" max="12"/>
    <col width="13" customWidth="1" min="13" max="13"/>
    <col width="19" customWidth="1" min="14" max="14"/>
    <col width="11" customWidth="1" min="15" max="15"/>
    <col hidden="1" width="13" customWidth="1" min="16" max="16"/>
  </cols>
  <sheetData>
    <row r="1" ht="34" customHeight="1">
      <c r="A1" s="19" t="inlineStr">
        <is>
          <t>Pure maths</t>
        </is>
      </c>
    </row>
    <row r="2">
      <c r="A2" s="20" t="inlineStr">
        <is>
          <t>Paper 1 and Paper 2  ·  158 topics  ·  pick R, A or G in the yellow Rating column for each one</t>
        </is>
      </c>
    </row>
    <row r="3">
      <c r="A3" s="21">
        <f>"Rated so far: "&amp;(COUNTIF($D$7:$D$184,"R")+COUNTIF($D$7:$D$184,"A")+COUNTIF($D$7:$D$184,"G"))&amp;" of 158     Red "&amp;COUNTIF($D$7:$D$184,"R")&amp;"   ·   Amber "&amp;COUNTIF($D$7:$D$184,"A")&amp;"   ·   Green "&amp;COUNTIF($D$7:$D$184,"G")</f>
        <v/>
      </c>
    </row>
    <row r="4" ht="8" customHeight="1"/>
    <row r="5">
      <c r="A5" s="22" t="inlineStr">
        <is>
          <t>Your check</t>
        </is>
      </c>
      <c r="B5" s="23" t="n"/>
      <c r="C5" s="23" t="n"/>
      <c r="D5" s="23" t="n"/>
      <c r="E5" s="23" t="n"/>
      <c r="F5" s="24" t="inlineStr">
        <is>
          <t>Maths Genie</t>
        </is>
      </c>
      <c r="G5" s="23" t="n"/>
      <c r="H5" s="23" t="n"/>
      <c r="I5" s="24" t="inlineStr">
        <is>
          <t>PMT worksheet</t>
        </is>
      </c>
      <c r="J5" s="23" t="n"/>
      <c r="K5" s="23" t="n"/>
      <c r="L5" s="23" t="n"/>
      <c r="M5" s="24" t="inlineStr">
        <is>
          <t>Textbook chapter test</t>
        </is>
      </c>
      <c r="N5" s="23" t="n"/>
      <c r="O5" s="23" t="n"/>
    </row>
    <row r="6" ht="22" customHeight="1">
      <c r="A6" s="25" t="inlineStr">
        <is>
          <t>Ref</t>
        </is>
      </c>
      <c r="B6" s="26" t="inlineStr">
        <is>
          <t>Topic</t>
        </is>
      </c>
      <c r="C6" s="25" t="inlineStr">
        <is>
          <t>Year</t>
        </is>
      </c>
      <c r="D6" s="25" t="inlineStr">
        <is>
          <t>Rating</t>
        </is>
      </c>
      <c r="E6" s="26" t="inlineStr">
        <is>
          <t>Notes</t>
        </is>
      </c>
      <c r="F6" s="25" t="inlineStr">
        <is>
          <t>Video</t>
        </is>
      </c>
      <c r="G6" s="25" t="inlineStr">
        <is>
          <t>Questions</t>
        </is>
      </c>
      <c r="H6" s="25" t="inlineStr">
        <is>
          <t>Answers</t>
        </is>
      </c>
      <c r="I6" s="26" t="inlineStr">
        <is>
          <t>Worksheet</t>
        </is>
      </c>
      <c r="J6" s="25" t="inlineStr">
        <is>
          <t>Questions</t>
        </is>
      </c>
      <c r="K6" s="25" t="inlineStr">
        <is>
          <t>Mark scheme</t>
        </is>
      </c>
      <c r="L6" s="25" t="inlineStr">
        <is>
          <t>Answers</t>
        </is>
      </c>
      <c r="M6" s="25" t="inlineStr">
        <is>
          <t>Textbook</t>
        </is>
      </c>
      <c r="N6" s="25" t="inlineStr">
        <is>
          <t>Questions</t>
        </is>
      </c>
      <c r="O6" s="25" t="inlineStr">
        <is>
          <t>Mark scheme</t>
        </is>
      </c>
    </row>
    <row r="7" ht="10" customHeight="1"/>
    <row r="8" ht="26" customHeight="1">
      <c r="A8" s="27" t="inlineStr">
        <is>
          <t>1</t>
        </is>
      </c>
      <c r="B8" s="28" t="inlineStr">
        <is>
          <t>Proof</t>
        </is>
      </c>
      <c r="C8" s="29" t="n"/>
      <c r="D8" s="29" t="n"/>
      <c r="E8" s="30" t="inlineStr">
        <is>
          <t>3 topics  ·  Year 1: 2  ·  Year 2: 1</t>
        </is>
      </c>
      <c r="F8" s="29" t="n"/>
      <c r="G8" s="29" t="n"/>
      <c r="H8" s="29" t="n"/>
      <c r="I8" s="29" t="n"/>
      <c r="J8" s="29" t="n"/>
      <c r="K8" s="29" t="n"/>
      <c r="L8" s="29" t="n"/>
      <c r="M8" s="29" t="n"/>
      <c r="N8" s="29" t="n"/>
      <c r="O8" s="29" t="n"/>
    </row>
    <row r="9" outlineLevel="1" ht="32" customHeight="1">
      <c r="A9" s="31" t="inlineStr">
        <is>
          <t>P1.1</t>
        </is>
      </c>
      <c r="B9" s="32" t="inlineStr">
        <is>
          <t>Proof by deduction and proof by exhaustion</t>
        </is>
      </c>
      <c r="C9" s="33" t="n">
        <v>1</v>
      </c>
      <c r="D9" s="34" t="n"/>
      <c r="E9" s="35" t="n"/>
      <c r="F9" s="36" t="inlineStr">
        <is>
          <t>▶ Watch</t>
        </is>
      </c>
      <c r="G9" s="36" t="inlineStr">
        <is>
          <t>Q 11, 12, 14, 15, 17, 18, 28, 32</t>
        </is>
      </c>
      <c r="H9" s="36" t="inlineStr">
        <is>
          <t>Answers</t>
        </is>
      </c>
      <c r="I9" s="35" t="inlineStr">
        <is>
          <t>Proof</t>
        </is>
      </c>
      <c r="J9" s="36" t="inlineStr">
        <is>
          <t>Pages 1–5</t>
        </is>
      </c>
      <c r="K9" s="36" t="inlineStr">
        <is>
          <t>Marks</t>
        </is>
      </c>
      <c r="L9" s="36" t="inlineStr">
        <is>
          <t>Answers</t>
        </is>
      </c>
      <c r="M9" s="31" t="inlineStr">
        <is>
          <t>Pure 1 Ch7</t>
        </is>
      </c>
      <c r="N9" s="37" t="inlineStr">
        <is>
          <t>Pages 1–5</t>
        </is>
      </c>
      <c r="O9" s="37" t="inlineStr">
        <is>
          <t>Marks</t>
        </is>
      </c>
      <c r="P9" t="inlineStr">
        <is>
          <t>P1</t>
        </is>
      </c>
    </row>
    <row r="10" outlineLevel="1" ht="32" customHeight="1">
      <c r="A10" s="31" t="inlineStr">
        <is>
          <t>P1.1</t>
        </is>
      </c>
      <c r="B10" s="32" t="inlineStr">
        <is>
          <t>Disproof by counter-example</t>
        </is>
      </c>
      <c r="C10" s="33" t="n">
        <v>1</v>
      </c>
      <c r="D10" s="34" t="n"/>
      <c r="E10" s="35" t="n"/>
      <c r="F10" s="36" t="inlineStr">
        <is>
          <t>▶ Watch</t>
        </is>
      </c>
      <c r="G10" s="36" t="inlineStr">
        <is>
          <t>Q 8, 11, 13, 17, 18, 24, 32, 35</t>
        </is>
      </c>
      <c r="H10" s="36" t="inlineStr">
        <is>
          <t>Answers</t>
        </is>
      </c>
      <c r="I10" s="35" t="inlineStr">
        <is>
          <t>Solomon: Mixed exam-style questions on proof</t>
        </is>
      </c>
      <c r="J10" s="36" t="inlineStr">
        <is>
          <t>Q 1, 3, 7, 8</t>
        </is>
      </c>
      <c r="K10" s="38" t="inlineStr">
        <is>
          <t>none</t>
        </is>
      </c>
      <c r="L10" s="36" t="inlineStr">
        <is>
          <t>Answers</t>
        </is>
      </c>
      <c r="M10" s="31" t="inlineStr">
        <is>
          <t>Pure 1 Ch7</t>
        </is>
      </c>
      <c r="N10" s="37" t="inlineStr">
        <is>
          <t>Pages 1, 3</t>
        </is>
      </c>
      <c r="O10" s="37" t="inlineStr">
        <is>
          <t>Marks</t>
        </is>
      </c>
      <c r="P10" t="inlineStr">
        <is>
          <t>P1</t>
        </is>
      </c>
    </row>
    <row r="11" outlineLevel="1" ht="32" customHeight="1">
      <c r="A11" s="31" t="inlineStr">
        <is>
          <t>P1.1</t>
        </is>
      </c>
      <c r="B11" s="32" t="inlineStr">
        <is>
          <t>Proof by contradiction (incl. √2 irrational, infinitely many primes)</t>
        </is>
      </c>
      <c r="C11" s="39" t="n">
        <v>2</v>
      </c>
      <c r="D11" s="34" t="n"/>
      <c r="E11" s="35" t="n"/>
      <c r="F11" s="36" t="inlineStr">
        <is>
          <t>▶ Watch</t>
        </is>
      </c>
      <c r="G11" s="36" t="inlineStr">
        <is>
          <t>Q 13–18</t>
        </is>
      </c>
      <c r="H11" s="36" t="inlineStr">
        <is>
          <t>Answers</t>
        </is>
      </c>
      <c r="I11" s="35" t="inlineStr">
        <is>
          <t>Proof</t>
        </is>
      </c>
      <c r="J11" s="36" t="inlineStr">
        <is>
          <t>Page 4</t>
        </is>
      </c>
      <c r="K11" s="36" t="inlineStr">
        <is>
          <t>Marks</t>
        </is>
      </c>
      <c r="L11" s="36" t="inlineStr">
        <is>
          <t>Answers</t>
        </is>
      </c>
      <c r="M11" s="31" t="inlineStr">
        <is>
          <t>Pure 2 Ch1</t>
        </is>
      </c>
      <c r="N11" s="37" t="inlineStr">
        <is>
          <t>Page 4</t>
        </is>
      </c>
      <c r="O11" s="37" t="inlineStr">
        <is>
          <t>Marks</t>
        </is>
      </c>
      <c r="P11" t="inlineStr">
        <is>
          <t>P1</t>
        </is>
      </c>
    </row>
    <row r="12" ht="10" customHeight="1"/>
    <row r="13" ht="26" customHeight="1">
      <c r="A13" s="27" t="inlineStr">
        <is>
          <t>2</t>
        </is>
      </c>
      <c r="B13" s="28" t="inlineStr">
        <is>
          <t>Algebra and functions</t>
        </is>
      </c>
      <c r="C13" s="29" t="n"/>
      <c r="D13" s="29" t="n"/>
      <c r="E13" s="30" t="inlineStr">
        <is>
          <t>38 topics  ·  Year 1: 25  ·  Year 2: 13</t>
        </is>
      </c>
      <c r="F13" s="29" t="n"/>
      <c r="G13" s="29" t="n"/>
      <c r="H13" s="29" t="n"/>
      <c r="I13" s="29" t="n"/>
      <c r="J13" s="29" t="n"/>
      <c r="K13" s="29" t="n"/>
      <c r="L13" s="29" t="n"/>
      <c r="M13" s="29" t="n"/>
      <c r="N13" s="29" t="n"/>
      <c r="O13" s="29" t="n"/>
    </row>
    <row r="14" outlineLevel="1" ht="32" customHeight="1">
      <c r="A14" s="31" t="inlineStr">
        <is>
          <t>P2.1</t>
        </is>
      </c>
      <c r="B14" s="32" t="inlineStr">
        <is>
          <t>Laws of indices</t>
        </is>
      </c>
      <c r="C14" s="33" t="n">
        <v>1</v>
      </c>
      <c r="D14" s="34" t="n"/>
      <c r="E14" s="35" t="n"/>
      <c r="F14" s="36" t="inlineStr">
        <is>
          <t>▶ Watch</t>
        </is>
      </c>
      <c r="G14" s="36" t="inlineStr">
        <is>
          <t>Q 1–6, 8, 10</t>
        </is>
      </c>
      <c r="H14" s="36" t="inlineStr">
        <is>
          <t>Answers</t>
        </is>
      </c>
      <c r="I14" s="35" t="inlineStr">
        <is>
          <t>Exponential Equations</t>
        </is>
      </c>
      <c r="J14" s="36" t="inlineStr">
        <is>
          <t>Page 1</t>
        </is>
      </c>
      <c r="K14" s="36" t="inlineStr">
        <is>
          <t>Marks</t>
        </is>
      </c>
      <c r="L14" s="36" t="inlineStr">
        <is>
          <t>Answers</t>
        </is>
      </c>
      <c r="M14" s="31" t="inlineStr">
        <is>
          <t>Pure 1 Ch1</t>
        </is>
      </c>
      <c r="N14" s="37" t="inlineStr">
        <is>
          <t>Pages 1, 2, 4, 6, 7, 9</t>
        </is>
      </c>
      <c r="O14" s="37" t="inlineStr">
        <is>
          <t>Marks</t>
        </is>
      </c>
      <c r="P14" t="inlineStr">
        <is>
          <t>P2</t>
        </is>
      </c>
    </row>
    <row r="15" outlineLevel="1" ht="20" customHeight="1">
      <c r="A15" s="31" t="inlineStr">
        <is>
          <t>P2.1</t>
        </is>
      </c>
      <c r="B15" s="32" t="inlineStr">
        <is>
          <t>Negative and fractional indices</t>
        </is>
      </c>
      <c r="C15" s="33" t="n">
        <v>1</v>
      </c>
      <c r="D15" s="34" t="n"/>
      <c r="E15" s="35" t="n"/>
      <c r="F15" s="36" t="inlineStr">
        <is>
          <t>▶ Watch</t>
        </is>
      </c>
      <c r="G15" s="36" t="inlineStr">
        <is>
          <t>Q 1–3</t>
        </is>
      </c>
      <c r="H15" s="36" t="inlineStr">
        <is>
          <t>Answers</t>
        </is>
      </c>
      <c r="I15" s="35" t="inlineStr">
        <is>
          <t>Solomon: Indices</t>
        </is>
      </c>
      <c r="J15" s="36" t="inlineStr">
        <is>
          <t>Q 4–11</t>
        </is>
      </c>
      <c r="K15" s="38" t="inlineStr">
        <is>
          <t>none</t>
        </is>
      </c>
      <c r="L15" s="36" t="inlineStr">
        <is>
          <t>Answers</t>
        </is>
      </c>
      <c r="M15" s="31" t="inlineStr">
        <is>
          <t>Pure 1 Ch1</t>
        </is>
      </c>
      <c r="N15" s="37" t="inlineStr">
        <is>
          <t>Pages 4, 7, 8</t>
        </is>
      </c>
      <c r="O15" s="37" t="inlineStr">
        <is>
          <t>Marks</t>
        </is>
      </c>
      <c r="P15" t="inlineStr">
        <is>
          <t>P2</t>
        </is>
      </c>
    </row>
    <row r="16" outlineLevel="1" ht="32" customHeight="1">
      <c r="A16" s="31" t="inlineStr">
        <is>
          <t>P2.2</t>
        </is>
      </c>
      <c r="B16" s="32" t="inlineStr">
        <is>
          <t>Surds and rationalising the denominator</t>
        </is>
      </c>
      <c r="C16" s="33" t="n">
        <v>1</v>
      </c>
      <c r="D16" s="34" t="n"/>
      <c r="E16" s="35" t="n"/>
      <c r="F16" s="36" t="inlineStr">
        <is>
          <t>▶ Watch</t>
        </is>
      </c>
      <c r="G16" s="36" t="inlineStr">
        <is>
          <t>Q 2, 3, 5, 6, 8, 9, 11</t>
        </is>
      </c>
      <c r="H16" s="36" t="inlineStr">
        <is>
          <t>Answers</t>
        </is>
      </c>
      <c r="I16" s="35" t="inlineStr">
        <is>
          <t>Solomon: Surds</t>
        </is>
      </c>
      <c r="J16" s="36" t="inlineStr">
        <is>
          <t>Q 4, 5, 7–9, 11, 12, 15</t>
        </is>
      </c>
      <c r="K16" s="38" t="inlineStr">
        <is>
          <t>none</t>
        </is>
      </c>
      <c r="L16" s="36" t="inlineStr">
        <is>
          <t>Answers</t>
        </is>
      </c>
      <c r="M16" s="31" t="inlineStr">
        <is>
          <t>Pure 1 Ch1</t>
        </is>
      </c>
      <c r="N16" s="37" t="inlineStr">
        <is>
          <t>Pages 2, 5–7, 10–13</t>
        </is>
      </c>
      <c r="O16" s="37" t="inlineStr">
        <is>
          <t>Marks</t>
        </is>
      </c>
      <c r="P16" t="inlineStr">
        <is>
          <t>P2</t>
        </is>
      </c>
    </row>
    <row r="17" outlineLevel="1" ht="20" customHeight="1">
      <c r="A17" s="31" t="inlineStr">
        <is>
          <t>P2.3</t>
        </is>
      </c>
      <c r="B17" s="32" t="inlineStr">
        <is>
          <t>Solving quadratics (factorising, formula, calculator)</t>
        </is>
      </c>
      <c r="C17" s="33" t="n">
        <v>1</v>
      </c>
      <c r="D17" s="34" t="n"/>
      <c r="E17" s="35" t="n"/>
      <c r="F17" s="36" t="inlineStr">
        <is>
          <t>▶ Watch</t>
        </is>
      </c>
      <c r="G17" s="36" t="inlineStr">
        <is>
          <t>Q 11, 15</t>
        </is>
      </c>
      <c r="H17" s="36" t="inlineStr">
        <is>
          <t>Answers</t>
        </is>
      </c>
      <c r="I17" s="35" t="inlineStr">
        <is>
          <t>Quadratics</t>
        </is>
      </c>
      <c r="J17" s="36" t="inlineStr">
        <is>
          <t>Page 1</t>
        </is>
      </c>
      <c r="K17" s="36" t="inlineStr">
        <is>
          <t>Marks</t>
        </is>
      </c>
      <c r="L17" s="36" t="inlineStr">
        <is>
          <t>Answers</t>
        </is>
      </c>
      <c r="M17" s="31" t="inlineStr">
        <is>
          <t>Pure 1 Ch2</t>
        </is>
      </c>
      <c r="N17" s="38" t="inlineStr">
        <is>
          <t>none</t>
        </is>
      </c>
      <c r="O17" s="40" t="n"/>
      <c r="P17" t="inlineStr">
        <is>
          <t>P2</t>
        </is>
      </c>
    </row>
    <row r="18" outlineLevel="1" ht="20" customHeight="1">
      <c r="A18" s="31" t="inlineStr">
        <is>
          <t>P2.3</t>
        </is>
      </c>
      <c r="B18" s="32" t="inlineStr">
        <is>
          <t>Completing the square</t>
        </is>
      </c>
      <c r="C18" s="33" t="n">
        <v>1</v>
      </c>
      <c r="D18" s="34" t="n"/>
      <c r="E18" s="35" t="n"/>
      <c r="F18" s="36" t="inlineStr">
        <is>
          <t>▶ Watch</t>
        </is>
      </c>
      <c r="G18" s="36" t="inlineStr">
        <is>
          <t>Q 1–7</t>
        </is>
      </c>
      <c r="H18" s="36" t="inlineStr">
        <is>
          <t>Answers</t>
        </is>
      </c>
      <c r="I18" s="35" t="inlineStr">
        <is>
          <t>Quadratics</t>
        </is>
      </c>
      <c r="J18" s="36" t="inlineStr">
        <is>
          <t>Page 6</t>
        </is>
      </c>
      <c r="K18" s="36" t="inlineStr">
        <is>
          <t>Marks</t>
        </is>
      </c>
      <c r="L18" s="36" t="inlineStr">
        <is>
          <t>Answers</t>
        </is>
      </c>
      <c r="M18" s="31" t="inlineStr">
        <is>
          <t>Pure 1 Ch2</t>
        </is>
      </c>
      <c r="N18" s="37" t="inlineStr">
        <is>
          <t>Page 11</t>
        </is>
      </c>
      <c r="O18" s="37" t="inlineStr">
        <is>
          <t>Marks</t>
        </is>
      </c>
      <c r="P18" t="inlineStr">
        <is>
          <t>P2</t>
        </is>
      </c>
    </row>
    <row r="19" outlineLevel="1" ht="20" customHeight="1">
      <c r="A19" s="31" t="inlineStr">
        <is>
          <t>P2.3</t>
        </is>
      </c>
      <c r="B19" s="32" t="inlineStr">
        <is>
          <t>Sketching quadratic graphs and quadratic functions</t>
        </is>
      </c>
      <c r="C19" s="33" t="n">
        <v>1</v>
      </c>
      <c r="D19" s="34" t="n"/>
      <c r="E19" s="35" t="n"/>
      <c r="F19" s="36" t="inlineStr">
        <is>
          <t>▶ Watch</t>
        </is>
      </c>
      <c r="G19" s="36" t="inlineStr">
        <is>
          <t>Q 12, 14, 18, 19, 24</t>
        </is>
      </c>
      <c r="H19" s="36" t="inlineStr">
        <is>
          <t>Answers</t>
        </is>
      </c>
      <c r="I19" s="35" t="inlineStr">
        <is>
          <t>Quadratics</t>
        </is>
      </c>
      <c r="J19" s="36" t="inlineStr">
        <is>
          <t>Page 6</t>
        </is>
      </c>
      <c r="K19" s="36" t="inlineStr">
        <is>
          <t>Marks</t>
        </is>
      </c>
      <c r="L19" s="36" t="inlineStr">
        <is>
          <t>Answers</t>
        </is>
      </c>
      <c r="M19" s="31" t="inlineStr">
        <is>
          <t>Pure 1 Ch2</t>
        </is>
      </c>
      <c r="N19" s="37" t="inlineStr">
        <is>
          <t>Page 11</t>
        </is>
      </c>
      <c r="O19" s="37" t="inlineStr">
        <is>
          <t>Marks</t>
        </is>
      </c>
      <c r="P19" t="inlineStr">
        <is>
          <t>P2</t>
        </is>
      </c>
    </row>
    <row r="20" outlineLevel="1" ht="20" customHeight="1">
      <c r="A20" s="31" t="inlineStr">
        <is>
          <t>P2.3</t>
        </is>
      </c>
      <c r="B20" s="32" t="inlineStr">
        <is>
          <t>The discriminant (real, repeated and no roots)</t>
        </is>
      </c>
      <c r="C20" s="33" t="n">
        <v>1</v>
      </c>
      <c r="D20" s="34" t="n"/>
      <c r="E20" s="35" t="n"/>
      <c r="F20" s="36" t="inlineStr">
        <is>
          <t>▶ Watch</t>
        </is>
      </c>
      <c r="G20" s="36" t="inlineStr">
        <is>
          <t>Q 1–8</t>
        </is>
      </c>
      <c r="H20" s="36" t="inlineStr">
        <is>
          <t>Answers</t>
        </is>
      </c>
      <c r="I20" s="35" t="inlineStr">
        <is>
          <t>Circles</t>
        </is>
      </c>
      <c r="J20" s="36" t="inlineStr">
        <is>
          <t>Pages 3, 5</t>
        </is>
      </c>
      <c r="K20" s="36" t="inlineStr">
        <is>
          <t>Marks</t>
        </is>
      </c>
      <c r="L20" s="36" t="inlineStr">
        <is>
          <t>Answers</t>
        </is>
      </c>
      <c r="M20" s="31" t="inlineStr">
        <is>
          <t>Pure 1 Ch2</t>
        </is>
      </c>
      <c r="N20" s="37" t="inlineStr">
        <is>
          <t>Pages 3, 4, 6–10, 13</t>
        </is>
      </c>
      <c r="O20" s="37" t="inlineStr">
        <is>
          <t>Marks</t>
        </is>
      </c>
      <c r="P20" t="inlineStr">
        <is>
          <t>P2</t>
        </is>
      </c>
    </row>
    <row r="21" outlineLevel="1" ht="20" customHeight="1">
      <c r="A21" s="31" t="inlineStr">
        <is>
          <t>P2.3</t>
        </is>
      </c>
      <c r="B21" s="32" t="inlineStr">
        <is>
          <t>Hidden quadratics (quadratics in a function of x)</t>
        </is>
      </c>
      <c r="C21" s="33" t="n">
        <v>1</v>
      </c>
      <c r="D21" s="34" t="n"/>
      <c r="E21" s="35" t="n"/>
      <c r="F21" s="36" t="inlineStr">
        <is>
          <t>▶ Watch</t>
        </is>
      </c>
      <c r="G21" s="36" t="inlineStr">
        <is>
          <t>Q 6, 7, 9</t>
        </is>
      </c>
      <c r="H21" s="36" t="inlineStr">
        <is>
          <t>Answers</t>
        </is>
      </c>
      <c r="I21" s="35" t="inlineStr">
        <is>
          <t>Quadratics</t>
        </is>
      </c>
      <c r="J21" s="36" t="inlineStr">
        <is>
          <t>Pages 1, 4</t>
        </is>
      </c>
      <c r="K21" s="36" t="inlineStr">
        <is>
          <t>Marks</t>
        </is>
      </c>
      <c r="L21" s="36" t="inlineStr">
        <is>
          <t>Answers</t>
        </is>
      </c>
      <c r="M21" s="31" t="inlineStr">
        <is>
          <t>Pure 1 Ch2</t>
        </is>
      </c>
      <c r="N21" s="37" t="inlineStr">
        <is>
          <t>Pages 1, 3</t>
        </is>
      </c>
      <c r="O21" s="37" t="inlineStr">
        <is>
          <t>Marks</t>
        </is>
      </c>
      <c r="P21" t="inlineStr">
        <is>
          <t>P2</t>
        </is>
      </c>
    </row>
    <row r="22" outlineLevel="1" ht="32" customHeight="1">
      <c r="A22" s="31" t="inlineStr">
        <is>
          <t>P2.4</t>
        </is>
      </c>
      <c r="B22" s="32" t="inlineStr">
        <is>
          <t>Linear simultaneous equations</t>
        </is>
      </c>
      <c r="C22" s="33" t="n">
        <v>1</v>
      </c>
      <c r="D22" s="34" t="n"/>
      <c r="E22" s="35" t="n"/>
      <c r="F22" s="36" t="inlineStr">
        <is>
          <t>▶ Watch</t>
        </is>
      </c>
      <c r="G22" s="38" t="inlineStr">
        <is>
          <t>none on this topic</t>
        </is>
      </c>
      <c r="H22" s="41" t="n"/>
      <c r="I22" s="35" t="inlineStr">
        <is>
          <t>Solomon: Simultaneous equations</t>
        </is>
      </c>
      <c r="J22" s="36" t="inlineStr">
        <is>
          <t>Q 1</t>
        </is>
      </c>
      <c r="K22" s="38" t="inlineStr">
        <is>
          <t>none</t>
        </is>
      </c>
      <c r="L22" s="36" t="inlineStr">
        <is>
          <t>Answers</t>
        </is>
      </c>
      <c r="M22" s="31" t="inlineStr">
        <is>
          <t>Pure 1 Ch3</t>
        </is>
      </c>
      <c r="N22" s="38" t="inlineStr">
        <is>
          <t>none</t>
        </is>
      </c>
      <c r="O22" s="40" t="n"/>
      <c r="P22" t="inlineStr">
        <is>
          <t>P2</t>
        </is>
      </c>
    </row>
    <row r="23" outlineLevel="1" ht="32" customHeight="1">
      <c r="A23" s="31" t="inlineStr">
        <is>
          <t>P2.4</t>
        </is>
      </c>
      <c r="B23" s="32" t="inlineStr">
        <is>
          <t>Simultaneous equations: one linear, one quadratic</t>
        </is>
      </c>
      <c r="C23" s="33" t="n">
        <v>1</v>
      </c>
      <c r="D23" s="34" t="n"/>
      <c r="E23" s="35" t="n"/>
      <c r="F23" s="36" t="inlineStr">
        <is>
          <t>▶ Watch</t>
        </is>
      </c>
      <c r="G23" s="36" t="inlineStr">
        <is>
          <t>Q 3, 5–7, 12</t>
        </is>
      </c>
      <c r="H23" s="36" t="inlineStr">
        <is>
          <t>Answers</t>
        </is>
      </c>
      <c r="I23" s="35" t="inlineStr">
        <is>
          <t>Solomon: Simultaneous equations</t>
        </is>
      </c>
      <c r="J23" s="36" t="inlineStr">
        <is>
          <t>Q 2–5</t>
        </is>
      </c>
      <c r="K23" s="38" t="inlineStr">
        <is>
          <t>none</t>
        </is>
      </c>
      <c r="L23" s="36" t="inlineStr">
        <is>
          <t>Answers</t>
        </is>
      </c>
      <c r="M23" s="31" t="inlineStr">
        <is>
          <t>Pure 1 Ch3</t>
        </is>
      </c>
      <c r="N23" s="37" t="inlineStr">
        <is>
          <t>Page 8</t>
        </is>
      </c>
      <c r="O23" s="37" t="inlineStr">
        <is>
          <t>Marks</t>
        </is>
      </c>
      <c r="P23" t="inlineStr">
        <is>
          <t>P2</t>
        </is>
      </c>
    </row>
    <row r="24" outlineLevel="1" ht="20" customHeight="1">
      <c r="A24" s="31" t="inlineStr">
        <is>
          <t>P2.5</t>
        </is>
      </c>
      <c r="B24" s="32" t="inlineStr">
        <is>
          <t>Linear inequalities</t>
        </is>
      </c>
      <c r="C24" s="33" t="n">
        <v>1</v>
      </c>
      <c r="D24" s="34" t="n"/>
      <c r="E24" s="35" t="n"/>
      <c r="F24" s="36" t="inlineStr">
        <is>
          <t>▶ Watch</t>
        </is>
      </c>
      <c r="G24" s="36" t="inlineStr">
        <is>
          <t>Q 8, 13</t>
        </is>
      </c>
      <c r="H24" s="36" t="inlineStr">
        <is>
          <t>Answers</t>
        </is>
      </c>
      <c r="I24" s="35" t="inlineStr">
        <is>
          <t>Solomon: Inequalities</t>
        </is>
      </c>
      <c r="J24" s="36" t="inlineStr">
        <is>
          <t>Q 1, 2</t>
        </is>
      </c>
      <c r="K24" s="38" t="inlineStr">
        <is>
          <t>none</t>
        </is>
      </c>
      <c r="L24" s="36" t="inlineStr">
        <is>
          <t>Answers</t>
        </is>
      </c>
      <c r="M24" s="31" t="inlineStr">
        <is>
          <t>Pure 1 Ch3</t>
        </is>
      </c>
      <c r="N24" s="37" t="inlineStr">
        <is>
          <t>Page 5</t>
        </is>
      </c>
      <c r="O24" s="37" t="inlineStr">
        <is>
          <t>Marks</t>
        </is>
      </c>
      <c r="P24" t="inlineStr">
        <is>
          <t>P2</t>
        </is>
      </c>
    </row>
    <row r="25" outlineLevel="1" ht="32" customHeight="1">
      <c r="A25" s="31" t="inlineStr">
        <is>
          <t>P2.5</t>
        </is>
      </c>
      <c r="B25" s="32" t="inlineStr">
        <is>
          <t>Quadratic inequalities (incl. set notation answers)</t>
        </is>
      </c>
      <c r="C25" s="33" t="n">
        <v>1</v>
      </c>
      <c r="D25" s="34" t="n"/>
      <c r="E25" s="35" t="n"/>
      <c r="F25" s="36" t="inlineStr">
        <is>
          <t>▶ Watch</t>
        </is>
      </c>
      <c r="G25" s="36" t="inlineStr">
        <is>
          <t>Q 1, 2, 4, 8, 9, 11, 14, 15</t>
        </is>
      </c>
      <c r="H25" s="36" t="inlineStr">
        <is>
          <t>Answers</t>
        </is>
      </c>
      <c r="I25" s="35" t="inlineStr">
        <is>
          <t>Inequalities</t>
        </is>
      </c>
      <c r="J25" s="36" t="inlineStr">
        <is>
          <t>Page 1</t>
        </is>
      </c>
      <c r="K25" s="36" t="inlineStr">
        <is>
          <t>Marks</t>
        </is>
      </c>
      <c r="L25" s="36" t="inlineStr">
        <is>
          <t>Answers</t>
        </is>
      </c>
      <c r="M25" s="31" t="inlineStr">
        <is>
          <t>Pure 1 Ch3</t>
        </is>
      </c>
      <c r="N25" s="37" t="inlineStr">
        <is>
          <t>Pages 4–7, 9, 13</t>
        </is>
      </c>
      <c r="O25" s="37" t="inlineStr">
        <is>
          <t>Marks</t>
        </is>
      </c>
      <c r="P25" t="inlineStr">
        <is>
          <t>P2</t>
        </is>
      </c>
    </row>
    <row r="26" outlineLevel="1" ht="20" customHeight="1">
      <c r="A26" s="31" t="inlineStr">
        <is>
          <t>P2.5</t>
        </is>
      </c>
      <c r="B26" s="32" t="inlineStr">
        <is>
          <t>Inequalities on graphs (shading regions)</t>
        </is>
      </c>
      <c r="C26" s="33" t="n">
        <v>1</v>
      </c>
      <c r="D26" s="34" t="n"/>
      <c r="E26" s="35" t="n"/>
      <c r="F26" s="36" t="inlineStr">
        <is>
          <t>▶ Watch</t>
        </is>
      </c>
      <c r="G26" s="38" t="inlineStr">
        <is>
          <t>none on this topic</t>
        </is>
      </c>
      <c r="H26" s="41" t="n"/>
      <c r="I26" s="35" t="inlineStr">
        <is>
          <t>Inequalities</t>
        </is>
      </c>
      <c r="J26" s="36" t="inlineStr">
        <is>
          <t>Page 2</t>
        </is>
      </c>
      <c r="K26" s="36" t="inlineStr">
        <is>
          <t>Marks</t>
        </is>
      </c>
      <c r="L26" s="36" t="inlineStr">
        <is>
          <t>Answers</t>
        </is>
      </c>
      <c r="M26" s="31" t="inlineStr">
        <is>
          <t>Pure 1 Ch3</t>
        </is>
      </c>
      <c r="N26" s="37" t="inlineStr">
        <is>
          <t>Page 6</t>
        </is>
      </c>
      <c r="O26" s="37" t="inlineStr">
        <is>
          <t>Marks</t>
        </is>
      </c>
      <c r="P26" t="inlineStr">
        <is>
          <t>P2</t>
        </is>
      </c>
    </row>
    <row r="27" outlineLevel="1" ht="20" customHeight="1">
      <c r="A27" s="31" t="inlineStr">
        <is>
          <t>P2.6</t>
        </is>
      </c>
      <c r="B27" s="32" t="inlineStr">
        <is>
          <t>Expanding brackets and collecting like terms</t>
        </is>
      </c>
      <c r="C27" s="33" t="n">
        <v>1</v>
      </c>
      <c r="D27" s="34" t="n"/>
      <c r="E27" s="35" t="n"/>
      <c r="F27" s="36" t="inlineStr">
        <is>
          <t>▶ Watch</t>
        </is>
      </c>
      <c r="G27" s="36" t="inlineStr">
        <is>
          <t>Q 13, 14</t>
        </is>
      </c>
      <c r="H27" s="36" t="inlineStr">
        <is>
          <t>Answers</t>
        </is>
      </c>
      <c r="I27" s="35" t="inlineStr">
        <is>
          <t>Solomon: Polynomials</t>
        </is>
      </c>
      <c r="J27" s="36" t="inlineStr">
        <is>
          <t>Q 1–6</t>
        </is>
      </c>
      <c r="K27" s="38" t="inlineStr">
        <is>
          <t>none</t>
        </is>
      </c>
      <c r="L27" s="36" t="inlineStr">
        <is>
          <t>Answers</t>
        </is>
      </c>
      <c r="M27" s="31" t="inlineStr">
        <is>
          <t>Pure 1 Ch1</t>
        </is>
      </c>
      <c r="N27" s="38" t="inlineStr">
        <is>
          <t>none</t>
        </is>
      </c>
      <c r="O27" s="40" t="n"/>
      <c r="P27" t="inlineStr">
        <is>
          <t>P2</t>
        </is>
      </c>
    </row>
    <row r="28" outlineLevel="1" ht="20" customHeight="1">
      <c r="A28" s="31" t="inlineStr">
        <is>
          <t>P2.6</t>
        </is>
      </c>
      <c r="B28" s="32" t="inlineStr">
        <is>
          <t>Factorising (incl. cubics)</t>
        </is>
      </c>
      <c r="C28" s="33" t="n">
        <v>1</v>
      </c>
      <c r="D28" s="34" t="n"/>
      <c r="E28" s="35" t="n"/>
      <c r="F28" s="36" t="inlineStr">
        <is>
          <t>▶ Watch</t>
        </is>
      </c>
      <c r="G28" s="36" t="inlineStr">
        <is>
          <t>Q 11, 12</t>
        </is>
      </c>
      <c r="H28" s="36" t="inlineStr">
        <is>
          <t>Answers</t>
        </is>
      </c>
      <c r="I28" s="35" t="inlineStr">
        <is>
          <t>Stationary Points</t>
        </is>
      </c>
      <c r="J28" s="36" t="inlineStr">
        <is>
          <t>Page 2</t>
        </is>
      </c>
      <c r="K28" s="36" t="inlineStr">
        <is>
          <t>Marks</t>
        </is>
      </c>
      <c r="L28" s="36" t="inlineStr">
        <is>
          <t>Answers</t>
        </is>
      </c>
      <c r="M28" s="31" t="inlineStr">
        <is>
          <t>Pure 1 Ch1</t>
        </is>
      </c>
      <c r="N28" s="37" t="inlineStr">
        <is>
          <t>Page 5</t>
        </is>
      </c>
      <c r="O28" s="37" t="inlineStr">
        <is>
          <t>Marks</t>
        </is>
      </c>
      <c r="P28" t="inlineStr">
        <is>
          <t>P2</t>
        </is>
      </c>
    </row>
    <row r="29" outlineLevel="1" ht="32" customHeight="1">
      <c r="A29" s="31" t="inlineStr">
        <is>
          <t>P2.6</t>
        </is>
      </c>
      <c r="B29" s="32" t="inlineStr">
        <is>
          <t>Simplifying algebraic fractions (factorising and cancelling)</t>
        </is>
      </c>
      <c r="C29" s="39" t="n">
        <v>2</v>
      </c>
      <c r="D29" s="34" t="n"/>
      <c r="E29" s="35" t="n"/>
      <c r="F29" s="36" t="inlineStr">
        <is>
          <t>▶ Watch</t>
        </is>
      </c>
      <c r="G29" s="38" t="inlineStr">
        <is>
          <t>none on this topic</t>
        </is>
      </c>
      <c r="H29" s="41" t="n"/>
      <c r="I29" s="35" t="inlineStr">
        <is>
          <t>Solomon: Rational expressions (Yr 2)</t>
        </is>
      </c>
      <c r="J29" s="36" t="inlineStr">
        <is>
          <t>Q 1, 4</t>
        </is>
      </c>
      <c r="K29" s="38" t="inlineStr">
        <is>
          <t>none</t>
        </is>
      </c>
      <c r="L29" s="36" t="inlineStr">
        <is>
          <t>Answers</t>
        </is>
      </c>
      <c r="M29" s="31" t="inlineStr">
        <is>
          <t>Pure 1 Ch7</t>
        </is>
      </c>
      <c r="N29" s="38" t="inlineStr">
        <is>
          <t>none</t>
        </is>
      </c>
      <c r="O29" s="40" t="n"/>
      <c r="P29" t="inlineStr">
        <is>
          <t>P2</t>
        </is>
      </c>
    </row>
    <row r="30" outlineLevel="1" ht="32" customHeight="1">
      <c r="A30" s="31" t="inlineStr">
        <is>
          <t>P2.6</t>
        </is>
      </c>
      <c r="B30" s="32" t="inlineStr">
        <is>
          <t>Algebraic division</t>
        </is>
      </c>
      <c r="C30" s="33" t="n">
        <v>1</v>
      </c>
      <c r="D30" s="34" t="n"/>
      <c r="E30" s="35" t="n"/>
      <c r="F30" s="36" t="inlineStr">
        <is>
          <t>▶ Watch</t>
        </is>
      </c>
      <c r="G30" s="36" t="inlineStr">
        <is>
          <t>Q 1, 2, 25, 29, 33</t>
        </is>
      </c>
      <c r="H30" s="36" t="inlineStr">
        <is>
          <t>Answers</t>
        </is>
      </c>
      <c r="I30" s="35" t="inlineStr">
        <is>
          <t>Factor Theorem</t>
        </is>
      </c>
      <c r="J30" s="36" t="inlineStr">
        <is>
          <t>Page 1</t>
        </is>
      </c>
      <c r="K30" s="36" t="inlineStr">
        <is>
          <t>Marks</t>
        </is>
      </c>
      <c r="L30" s="36" t="inlineStr">
        <is>
          <t>Answers</t>
        </is>
      </c>
      <c r="M30" s="31" t="inlineStr">
        <is>
          <t>Pure 1 Ch7</t>
        </is>
      </c>
      <c r="N30" s="37" t="inlineStr">
        <is>
          <t>Pages 1, 3, 4, 6, 8, 13</t>
        </is>
      </c>
      <c r="O30" s="37" t="inlineStr">
        <is>
          <t>Marks</t>
        </is>
      </c>
      <c r="P30" t="inlineStr">
        <is>
          <t>P2</t>
        </is>
      </c>
    </row>
    <row r="31" outlineLevel="1" ht="32" customHeight="1">
      <c r="A31" s="31" t="inlineStr">
        <is>
          <t>P2.6</t>
        </is>
      </c>
      <c r="B31" s="32" t="inlineStr">
        <is>
          <t>The factor theorem</t>
        </is>
      </c>
      <c r="C31" s="33" t="n">
        <v>1</v>
      </c>
      <c r="D31" s="34" t="n"/>
      <c r="E31" s="35" t="n"/>
      <c r="F31" s="36" t="inlineStr">
        <is>
          <t>▶ Watch</t>
        </is>
      </c>
      <c r="G31" s="36" t="inlineStr">
        <is>
          <t>Q 1–6, 21, 33</t>
        </is>
      </c>
      <c r="H31" s="36" t="inlineStr">
        <is>
          <t>Answers</t>
        </is>
      </c>
      <c r="I31" s="35" t="inlineStr">
        <is>
          <t>Factor Theorem</t>
        </is>
      </c>
      <c r="J31" s="36" t="inlineStr">
        <is>
          <t>Pages 1–3, 5</t>
        </is>
      </c>
      <c r="K31" s="36" t="inlineStr">
        <is>
          <t>Marks</t>
        </is>
      </c>
      <c r="L31" s="36" t="inlineStr">
        <is>
          <t>Answers</t>
        </is>
      </c>
      <c r="M31" s="31" t="inlineStr">
        <is>
          <t>Pure 1 Ch7</t>
        </is>
      </c>
      <c r="N31" s="37" t="inlineStr">
        <is>
          <t>Pages 1, 3, 4, 6, 8, 13</t>
        </is>
      </c>
      <c r="O31" s="37" t="inlineStr">
        <is>
          <t>Marks</t>
        </is>
      </c>
      <c r="P31" t="inlineStr">
        <is>
          <t>P2</t>
        </is>
      </c>
    </row>
    <row r="32" outlineLevel="1" ht="32" customHeight="1">
      <c r="A32" s="31" t="inlineStr">
        <is>
          <t>P2.6</t>
        </is>
      </c>
      <c r="B32" s="32" t="inlineStr">
        <is>
          <t>Adding, subtracting, multiplying and dividing algebraic fractions</t>
        </is>
      </c>
      <c r="C32" s="39" t="n">
        <v>2</v>
      </c>
      <c r="D32" s="34" t="n"/>
      <c r="E32" s="35" t="n"/>
      <c r="F32" s="36" t="inlineStr">
        <is>
          <t>▶ Watch</t>
        </is>
      </c>
      <c r="G32" s="36" t="inlineStr">
        <is>
          <t>Q 18, 19</t>
        </is>
      </c>
      <c r="H32" s="36" t="inlineStr">
        <is>
          <t>Answers</t>
        </is>
      </c>
      <c r="I32" s="35" t="inlineStr">
        <is>
          <t>Solomon: Rational expressions (Yr 2)</t>
        </is>
      </c>
      <c r="J32" s="36" t="inlineStr">
        <is>
          <t>Q 2, 3, 5, 6, 8–10, 13</t>
        </is>
      </c>
      <c r="K32" s="38" t="inlineStr">
        <is>
          <t>none</t>
        </is>
      </c>
      <c r="L32" s="36" t="inlineStr">
        <is>
          <t>Answers</t>
        </is>
      </c>
      <c r="M32" s="31" t="inlineStr">
        <is>
          <t>Pure 2 Ch1</t>
        </is>
      </c>
      <c r="N32" s="37" t="inlineStr">
        <is>
          <t>Page 15</t>
        </is>
      </c>
      <c r="O32" s="37" t="inlineStr">
        <is>
          <t>Marks</t>
        </is>
      </c>
      <c r="P32" t="inlineStr">
        <is>
          <t>P2</t>
        </is>
      </c>
    </row>
    <row r="33" outlineLevel="1" ht="32" customHeight="1">
      <c r="A33" s="31" t="inlineStr">
        <is>
          <t>P2.6</t>
        </is>
      </c>
      <c r="B33" s="32" t="inlineStr">
        <is>
          <t>Algebraic division of improper fractions</t>
        </is>
      </c>
      <c r="C33" s="39" t="n">
        <v>2</v>
      </c>
      <c r="D33" s="34" t="n"/>
      <c r="E33" s="35" t="n"/>
      <c r="F33" s="36" t="inlineStr">
        <is>
          <t>▶ Watch</t>
        </is>
      </c>
      <c r="G33" s="36" t="inlineStr">
        <is>
          <t>Q 5–9</t>
        </is>
      </c>
      <c r="H33" s="36" t="inlineStr">
        <is>
          <t>Answers</t>
        </is>
      </c>
      <c r="I33" s="35" t="inlineStr">
        <is>
          <t>Composite &amp; Inverse Functions (Yr 2)</t>
        </is>
      </c>
      <c r="J33" s="36" t="inlineStr">
        <is>
          <t>Page 2</t>
        </is>
      </c>
      <c r="K33" s="36" t="inlineStr">
        <is>
          <t>Marks</t>
        </is>
      </c>
      <c r="L33" s="36" t="inlineStr">
        <is>
          <t>Answers</t>
        </is>
      </c>
      <c r="M33" s="31" t="inlineStr">
        <is>
          <t>Pure 2 Ch1</t>
        </is>
      </c>
      <c r="N33" s="37" t="inlineStr">
        <is>
          <t>Page 10</t>
        </is>
      </c>
      <c r="O33" s="37" t="inlineStr">
        <is>
          <t>Marks</t>
        </is>
      </c>
      <c r="P33" t="inlineStr">
        <is>
          <t>P2</t>
        </is>
      </c>
    </row>
    <row r="34" outlineLevel="1" ht="32" customHeight="1">
      <c r="A34" s="31" t="inlineStr">
        <is>
          <t>P2.7</t>
        </is>
      </c>
      <c r="B34" s="32" t="inlineStr">
        <is>
          <t>Sketching cubic graphs</t>
        </is>
      </c>
      <c r="C34" s="33" t="n">
        <v>1</v>
      </c>
      <c r="D34" s="34" t="n"/>
      <c r="E34" s="35" t="n"/>
      <c r="F34" s="36" t="inlineStr">
        <is>
          <t>▶ Watch</t>
        </is>
      </c>
      <c r="G34" s="36" t="inlineStr">
        <is>
          <t>Q 1, 7, 8, 15, 16, 18, 20, 21</t>
        </is>
      </c>
      <c r="H34" s="36" t="inlineStr">
        <is>
          <t>Answers</t>
        </is>
      </c>
      <c r="I34" s="35" t="inlineStr">
        <is>
          <t>Transformations &amp; Graphs</t>
        </is>
      </c>
      <c r="J34" s="36" t="inlineStr">
        <is>
          <t>Page 3</t>
        </is>
      </c>
      <c r="K34" s="36" t="inlineStr">
        <is>
          <t>Marks</t>
        </is>
      </c>
      <c r="L34" s="36" t="inlineStr">
        <is>
          <t>Answers</t>
        </is>
      </c>
      <c r="M34" s="31" t="inlineStr">
        <is>
          <t>Pure 1 Ch4</t>
        </is>
      </c>
      <c r="N34" s="37" t="inlineStr">
        <is>
          <t>Pages 5, 11</t>
        </is>
      </c>
      <c r="O34" s="37" t="inlineStr">
        <is>
          <t>Marks</t>
        </is>
      </c>
      <c r="P34" t="inlineStr">
        <is>
          <t>P2</t>
        </is>
      </c>
    </row>
    <row r="35" outlineLevel="1" ht="20" customHeight="1">
      <c r="A35" s="31" t="inlineStr">
        <is>
          <t>P2.7</t>
        </is>
      </c>
      <c r="B35" s="32" t="inlineStr">
        <is>
          <t>Sketching quartic graphs</t>
        </is>
      </c>
      <c r="C35" s="33" t="n">
        <v>1</v>
      </c>
      <c r="D35" s="34" t="n"/>
      <c r="E35" s="35" t="n"/>
      <c r="F35" s="36" t="inlineStr">
        <is>
          <t>▶ Watch</t>
        </is>
      </c>
      <c r="G35" s="38" t="inlineStr">
        <is>
          <t>none on this topic</t>
        </is>
      </c>
      <c r="H35" s="41" t="n"/>
      <c r="I35" s="35" t="inlineStr">
        <is>
          <t>Solomon: Graphs of functions</t>
        </is>
      </c>
      <c r="J35" s="36" t="inlineStr">
        <is>
          <t>Q 1</t>
        </is>
      </c>
      <c r="K35" s="38" t="inlineStr">
        <is>
          <t>none</t>
        </is>
      </c>
      <c r="L35" s="36" t="inlineStr">
        <is>
          <t>Answers</t>
        </is>
      </c>
      <c r="M35" s="31" t="inlineStr">
        <is>
          <t>Pure 1 Ch4</t>
        </is>
      </c>
      <c r="N35" s="38" t="inlineStr">
        <is>
          <t>none</t>
        </is>
      </c>
      <c r="O35" s="40" t="n"/>
      <c r="P35" t="inlineStr">
        <is>
          <t>P2</t>
        </is>
      </c>
    </row>
    <row r="36" outlineLevel="1" ht="32" customHeight="1">
      <c r="A36" s="31" t="inlineStr">
        <is>
          <t>P2.7</t>
        </is>
      </c>
      <c r="B36" s="32" t="inlineStr">
        <is>
          <t>Reciprocal graphs y = a/x and y = a/x² (asymptotes)</t>
        </is>
      </c>
      <c r="C36" s="33" t="n">
        <v>1</v>
      </c>
      <c r="D36" s="34" t="n"/>
      <c r="E36" s="35" t="n"/>
      <c r="F36" s="36" t="inlineStr">
        <is>
          <t>▶ Watch</t>
        </is>
      </c>
      <c r="G36" s="36" t="inlineStr">
        <is>
          <t>Q 2, 6, 13, 14, 16, 23</t>
        </is>
      </c>
      <c r="H36" s="36" t="inlineStr">
        <is>
          <t>Answers</t>
        </is>
      </c>
      <c r="I36" s="35" t="inlineStr">
        <is>
          <t>Transformations &amp; Graphs</t>
        </is>
      </c>
      <c r="J36" s="36" t="inlineStr">
        <is>
          <t>Page 1</t>
        </is>
      </c>
      <c r="K36" s="36" t="inlineStr">
        <is>
          <t>Marks</t>
        </is>
      </c>
      <c r="L36" s="36" t="inlineStr">
        <is>
          <t>Answers</t>
        </is>
      </c>
      <c r="M36" s="31" t="inlineStr">
        <is>
          <t>Pure 1 Ch4</t>
        </is>
      </c>
      <c r="N36" s="37" t="inlineStr">
        <is>
          <t>Page 2</t>
        </is>
      </c>
      <c r="O36" s="37" t="inlineStr">
        <is>
          <t>Marks</t>
        </is>
      </c>
      <c r="P36" t="inlineStr">
        <is>
          <t>P2</t>
        </is>
      </c>
    </row>
    <row r="37" outlineLevel="1" ht="20" customHeight="1">
      <c r="A37" s="31" t="inlineStr">
        <is>
          <t>P2.7</t>
        </is>
      </c>
      <c r="B37" s="32" t="inlineStr">
        <is>
          <t>Points of intersection and solving equations graphically</t>
        </is>
      </c>
      <c r="C37" s="33" t="n">
        <v>1</v>
      </c>
      <c r="D37" s="34" t="n"/>
      <c r="E37" s="35" t="n"/>
      <c r="F37" s="36" t="inlineStr">
        <is>
          <t>▶ Watch</t>
        </is>
      </c>
      <c r="G37" s="36" t="inlineStr">
        <is>
          <t>Q 2, 12, 23</t>
        </is>
      </c>
      <c r="H37" s="36" t="inlineStr">
        <is>
          <t>Answers</t>
        </is>
      </c>
      <c r="I37" s="35" t="inlineStr">
        <is>
          <t>Transformations &amp; Graphs</t>
        </is>
      </c>
      <c r="J37" s="36" t="inlineStr">
        <is>
          <t>Pages 3, 4</t>
        </is>
      </c>
      <c r="K37" s="36" t="inlineStr">
        <is>
          <t>Marks</t>
        </is>
      </c>
      <c r="L37" s="36" t="inlineStr">
        <is>
          <t>Answers</t>
        </is>
      </c>
      <c r="M37" s="31" t="inlineStr">
        <is>
          <t>Pure 1 Ch4</t>
        </is>
      </c>
      <c r="N37" s="37" t="inlineStr">
        <is>
          <t>Pages 2, 3, 11</t>
        </is>
      </c>
      <c r="O37" s="37" t="inlineStr">
        <is>
          <t>Marks</t>
        </is>
      </c>
      <c r="P37" t="inlineStr">
        <is>
          <t>P2</t>
        </is>
      </c>
    </row>
    <row r="38" outlineLevel="1" ht="20" customHeight="1">
      <c r="A38" s="31" t="inlineStr">
        <is>
          <t>P2.7</t>
        </is>
      </c>
      <c r="B38" s="32" t="inlineStr">
        <is>
          <t>Proportional relationships and their graphs</t>
        </is>
      </c>
      <c r="C38" s="33" t="n">
        <v>1</v>
      </c>
      <c r="D38" s="34" t="n"/>
      <c r="E38" s="35" t="n"/>
      <c r="F38" s="36" t="inlineStr">
        <is>
          <t>▶ Watch</t>
        </is>
      </c>
      <c r="G38" s="38" t="inlineStr">
        <is>
          <t>none on this topic</t>
        </is>
      </c>
      <c r="H38" s="41" t="n"/>
      <c r="I38" s="42" t="inlineStr">
        <is>
          <t>none for this topic</t>
        </is>
      </c>
      <c r="J38" s="38" t="inlineStr">
        <is>
          <t>none on this topic</t>
        </is>
      </c>
      <c r="K38" s="41" t="n"/>
      <c r="L38" s="41" t="n"/>
      <c r="M38" s="31" t="inlineStr">
        <is>
          <t>Pure 1 Ch4</t>
        </is>
      </c>
      <c r="N38" s="38" t="inlineStr">
        <is>
          <t>none</t>
        </is>
      </c>
      <c r="O38" s="40" t="n"/>
      <c r="P38" t="inlineStr">
        <is>
          <t>P2</t>
        </is>
      </c>
    </row>
    <row r="39" outlineLevel="1" ht="32" customHeight="1">
      <c r="A39" s="31" t="inlineStr">
        <is>
          <t>P2.7</t>
        </is>
      </c>
      <c r="B39" s="32" t="inlineStr">
        <is>
          <t>The modulus function and its graph y = |ax + b|</t>
        </is>
      </c>
      <c r="C39" s="39" t="n">
        <v>2</v>
      </c>
      <c r="D39" s="34" t="n"/>
      <c r="E39" s="35" t="n"/>
      <c r="F39" s="36" t="inlineStr">
        <is>
          <t>▶ Watch</t>
        </is>
      </c>
      <c r="G39" s="36" t="inlineStr">
        <is>
          <t>Q 7, 10, 16–18, 22, 30</t>
        </is>
      </c>
      <c r="H39" s="36" t="inlineStr">
        <is>
          <t>Answers</t>
        </is>
      </c>
      <c r="I39" s="35" t="inlineStr">
        <is>
          <t>Modulus of Functions (Yr 2)</t>
        </is>
      </c>
      <c r="J39" s="36" t="inlineStr">
        <is>
          <t>Page 1</t>
        </is>
      </c>
      <c r="K39" s="36" t="inlineStr">
        <is>
          <t>Marks</t>
        </is>
      </c>
      <c r="L39" s="36" t="inlineStr">
        <is>
          <t>Answers</t>
        </is>
      </c>
      <c r="M39" s="31" t="inlineStr">
        <is>
          <t>Pure 2 Ch2</t>
        </is>
      </c>
      <c r="N39" s="37" t="inlineStr">
        <is>
          <t>Pages 1, 3, 5, 6, 8, 10</t>
        </is>
      </c>
      <c r="O39" s="37" t="inlineStr">
        <is>
          <t>Marks</t>
        </is>
      </c>
      <c r="P39" t="inlineStr">
        <is>
          <t>P2</t>
        </is>
      </c>
    </row>
    <row r="40" outlineLevel="1" ht="32" customHeight="1">
      <c r="A40" s="31" t="inlineStr">
        <is>
          <t>P2.7</t>
        </is>
      </c>
      <c r="B40" s="32" t="inlineStr">
        <is>
          <t>Solving modulus equations and inequalities</t>
        </is>
      </c>
      <c r="C40" s="39" t="n">
        <v>2</v>
      </c>
      <c r="D40" s="34" t="n"/>
      <c r="E40" s="35" t="n"/>
      <c r="F40" s="36" t="inlineStr">
        <is>
          <t>▶ Watch</t>
        </is>
      </c>
      <c r="G40" s="36" t="inlineStr">
        <is>
          <t>Q 7, 8, 16, 22, 25, 28, 30, 34</t>
        </is>
      </c>
      <c r="H40" s="36" t="inlineStr">
        <is>
          <t>Answers</t>
        </is>
      </c>
      <c r="I40" s="35" t="inlineStr">
        <is>
          <t>Modulus of Functions (Yr 2)</t>
        </is>
      </c>
      <c r="J40" s="36" t="inlineStr">
        <is>
          <t>Pages 1–3</t>
        </is>
      </c>
      <c r="K40" s="36" t="inlineStr">
        <is>
          <t>Marks</t>
        </is>
      </c>
      <c r="L40" s="36" t="inlineStr">
        <is>
          <t>Answers</t>
        </is>
      </c>
      <c r="M40" s="31" t="inlineStr">
        <is>
          <t>Pure 2 Ch2</t>
        </is>
      </c>
      <c r="N40" s="37" t="inlineStr">
        <is>
          <t>Pages 1, 3, 5, 8–10</t>
        </is>
      </c>
      <c r="O40" s="37" t="inlineStr">
        <is>
          <t>Marks</t>
        </is>
      </c>
      <c r="P40" t="inlineStr">
        <is>
          <t>P2</t>
        </is>
      </c>
    </row>
    <row r="41" outlineLevel="1" ht="32" customHeight="1">
      <c r="A41" s="31" t="inlineStr">
        <is>
          <t>P2.8</t>
        </is>
      </c>
      <c r="B41" s="32" t="inlineStr">
        <is>
          <t>Functions and mappings: domain and range</t>
        </is>
      </c>
      <c r="C41" s="39" t="n">
        <v>2</v>
      </c>
      <c r="D41" s="34" t="n"/>
      <c r="E41" s="35" t="n"/>
      <c r="F41" s="36" t="inlineStr">
        <is>
          <t>▶ Watch</t>
        </is>
      </c>
      <c r="G41" s="36" t="inlineStr">
        <is>
          <t>Q 6, 11, 20, 21, 23, 24, 29</t>
        </is>
      </c>
      <c r="H41" s="36" t="inlineStr">
        <is>
          <t>Answers</t>
        </is>
      </c>
      <c r="I41" s="35" t="inlineStr">
        <is>
          <t>Composite &amp; Inverse Functions (Yr 2)</t>
        </is>
      </c>
      <c r="J41" s="36" t="inlineStr">
        <is>
          <t>Page 2</t>
        </is>
      </c>
      <c r="K41" s="36" t="inlineStr">
        <is>
          <t>Marks</t>
        </is>
      </c>
      <c r="L41" s="36" t="inlineStr">
        <is>
          <t>Answers</t>
        </is>
      </c>
      <c r="M41" s="31" t="inlineStr">
        <is>
          <t>Pure 2 Ch2</t>
        </is>
      </c>
      <c r="N41" s="37" t="inlineStr">
        <is>
          <t>Pages 3, 8–10, 13, 15</t>
        </is>
      </c>
      <c r="O41" s="37" t="inlineStr">
        <is>
          <t>Marks</t>
        </is>
      </c>
      <c r="P41" t="inlineStr">
        <is>
          <t>P2</t>
        </is>
      </c>
    </row>
    <row r="42" outlineLevel="1" ht="32" customHeight="1">
      <c r="A42" s="31" t="inlineStr">
        <is>
          <t>P2.8</t>
        </is>
      </c>
      <c r="B42" s="32" t="inlineStr">
        <is>
          <t>Composite functions</t>
        </is>
      </c>
      <c r="C42" s="39" t="n">
        <v>2</v>
      </c>
      <c r="D42" s="34" t="n"/>
      <c r="E42" s="35" t="n"/>
      <c r="F42" s="36" t="inlineStr">
        <is>
          <t>▶ Watch</t>
        </is>
      </c>
      <c r="G42" s="36" t="inlineStr">
        <is>
          <t>Q 1, 4, 8, 12, 26, 29, 32</t>
        </is>
      </c>
      <c r="H42" s="36" t="inlineStr">
        <is>
          <t>Answers</t>
        </is>
      </c>
      <c r="I42" s="35" t="inlineStr">
        <is>
          <t>Composite &amp; Inverse Functions (Yr 2)</t>
        </is>
      </c>
      <c r="J42" s="36" t="inlineStr">
        <is>
          <t>Pages 1–3</t>
        </is>
      </c>
      <c r="K42" s="36" t="inlineStr">
        <is>
          <t>Marks</t>
        </is>
      </c>
      <c r="L42" s="36" t="inlineStr">
        <is>
          <t>Answers</t>
        </is>
      </c>
      <c r="M42" s="31" t="inlineStr">
        <is>
          <t>Pure 2 Ch2</t>
        </is>
      </c>
      <c r="N42" s="37" t="inlineStr">
        <is>
          <t>Pages 1, 5, 7–9, 12, 14, 16</t>
        </is>
      </c>
      <c r="O42" s="37" t="inlineStr">
        <is>
          <t>Marks</t>
        </is>
      </c>
      <c r="P42" t="inlineStr">
        <is>
          <t>P2</t>
        </is>
      </c>
    </row>
    <row r="43" outlineLevel="1" ht="32" customHeight="1">
      <c r="A43" s="31" t="inlineStr">
        <is>
          <t>P2.8</t>
        </is>
      </c>
      <c r="B43" s="32" t="inlineStr">
        <is>
          <t>Inverse functions and their graphs</t>
        </is>
      </c>
      <c r="C43" s="39" t="n">
        <v>2</v>
      </c>
      <c r="D43" s="34" t="n"/>
      <c r="E43" s="35" t="n"/>
      <c r="F43" s="36" t="inlineStr">
        <is>
          <t>▶ Watch</t>
        </is>
      </c>
      <c r="G43" s="36" t="inlineStr">
        <is>
          <t>Q 2, 5, 8, 13, 19, 27, 31, 33</t>
        </is>
      </c>
      <c r="H43" s="36" t="inlineStr">
        <is>
          <t>Answers</t>
        </is>
      </c>
      <c r="I43" s="35" t="inlineStr">
        <is>
          <t>Composite &amp; Inverse Functions (Yr 2)</t>
        </is>
      </c>
      <c r="J43" s="36" t="inlineStr">
        <is>
          <t>Pages 1–3</t>
        </is>
      </c>
      <c r="K43" s="36" t="inlineStr">
        <is>
          <t>Marks</t>
        </is>
      </c>
      <c r="L43" s="36" t="inlineStr">
        <is>
          <t>Answers</t>
        </is>
      </c>
      <c r="M43" s="31" t="inlineStr">
        <is>
          <t>Pure 2 Ch2</t>
        </is>
      </c>
      <c r="N43" s="37" t="inlineStr">
        <is>
          <t>Pages 1, 4, 8–11, 14, 15</t>
        </is>
      </c>
      <c r="O43" s="37" t="inlineStr">
        <is>
          <t>Marks</t>
        </is>
      </c>
      <c r="P43" t="inlineStr">
        <is>
          <t>P2</t>
        </is>
      </c>
    </row>
    <row r="44" outlineLevel="1" ht="32" customHeight="1">
      <c r="A44" s="31" t="inlineStr">
        <is>
          <t>P2.9</t>
        </is>
      </c>
      <c r="B44" s="32" t="inlineStr">
        <is>
          <t>Translating graphs: y = f(x) + a and y = f(x + a)</t>
        </is>
      </c>
      <c r="C44" s="33" t="n">
        <v>1</v>
      </c>
      <c r="D44" s="34" t="n"/>
      <c r="E44" s="35" t="n"/>
      <c r="F44" s="36" t="inlineStr">
        <is>
          <t>▶ Watch</t>
        </is>
      </c>
      <c r="G44" s="36" t="inlineStr">
        <is>
          <t>Q 1, 7–9, 13, 14, 20, 24</t>
        </is>
      </c>
      <c r="H44" s="36" t="inlineStr">
        <is>
          <t>Answers</t>
        </is>
      </c>
      <c r="I44" s="35" t="inlineStr">
        <is>
          <t>Solomon: Transformations of graphs</t>
        </is>
      </c>
      <c r="J44" s="36" t="inlineStr">
        <is>
          <t>Q 1–4, 7, 9, 11, 12</t>
        </is>
      </c>
      <c r="K44" s="38" t="inlineStr">
        <is>
          <t>none</t>
        </is>
      </c>
      <c r="L44" s="36" t="inlineStr">
        <is>
          <t>Answers</t>
        </is>
      </c>
      <c r="M44" s="31" t="inlineStr">
        <is>
          <t>Pure 1 Ch4</t>
        </is>
      </c>
      <c r="N44" s="37" t="inlineStr">
        <is>
          <t>Pages 3, 5, 10</t>
        </is>
      </c>
      <c r="O44" s="37" t="inlineStr">
        <is>
          <t>Marks</t>
        </is>
      </c>
      <c r="P44" t="inlineStr">
        <is>
          <t>P2</t>
        </is>
      </c>
    </row>
    <row r="45" outlineLevel="1" ht="20" customHeight="1">
      <c r="A45" s="31" t="inlineStr">
        <is>
          <t>P2.9</t>
        </is>
      </c>
      <c r="B45" s="32" t="inlineStr">
        <is>
          <t>Stretching graphs: y = af(x) and y = f(ax)</t>
        </is>
      </c>
      <c r="C45" s="33" t="n">
        <v>1</v>
      </c>
      <c r="D45" s="34" t="n"/>
      <c r="E45" s="35" t="n"/>
      <c r="F45" s="36" t="inlineStr">
        <is>
          <t>▶ Watch</t>
        </is>
      </c>
      <c r="G45" s="36" t="inlineStr">
        <is>
          <t>Q 4, 5, 17, 19, 22</t>
        </is>
      </c>
      <c r="H45" s="36" t="inlineStr">
        <is>
          <t>Answers</t>
        </is>
      </c>
      <c r="I45" s="35" t="inlineStr">
        <is>
          <t>Stationary Points</t>
        </is>
      </c>
      <c r="J45" s="36" t="inlineStr">
        <is>
          <t>Page 1</t>
        </is>
      </c>
      <c r="K45" s="36" t="inlineStr">
        <is>
          <t>Marks</t>
        </is>
      </c>
      <c r="L45" s="36" t="inlineStr">
        <is>
          <t>Answers</t>
        </is>
      </c>
      <c r="M45" s="31" t="inlineStr">
        <is>
          <t>Pure 1 Ch4</t>
        </is>
      </c>
      <c r="N45" s="37" t="inlineStr">
        <is>
          <t>Pages 10, 12</t>
        </is>
      </c>
      <c r="O45" s="37" t="inlineStr">
        <is>
          <t>Marks</t>
        </is>
      </c>
      <c r="P45" t="inlineStr">
        <is>
          <t>P2</t>
        </is>
      </c>
    </row>
    <row r="46" outlineLevel="1" ht="32" customHeight="1">
      <c r="A46" s="31" t="inlineStr">
        <is>
          <t>P2.9</t>
        </is>
      </c>
      <c r="B46" s="32" t="inlineStr">
        <is>
          <t>Transforming functions (incl. reflections y = −f(x), y = f(−x))</t>
        </is>
      </c>
      <c r="C46" s="33" t="n">
        <v>1</v>
      </c>
      <c r="D46" s="34" t="n"/>
      <c r="E46" s="35" t="n"/>
      <c r="F46" s="36" t="inlineStr">
        <is>
          <t>▶ Watch</t>
        </is>
      </c>
      <c r="G46" s="36" t="inlineStr">
        <is>
          <t>Q 1, 3, 7</t>
        </is>
      </c>
      <c r="H46" s="36" t="inlineStr">
        <is>
          <t>Answers</t>
        </is>
      </c>
      <c r="I46" s="35" t="inlineStr">
        <is>
          <t>Solomon: Transformations of graphs</t>
        </is>
      </c>
      <c r="J46" s="36" t="inlineStr">
        <is>
          <t>Q 1–5, 7, 11, 13</t>
        </is>
      </c>
      <c r="K46" s="38" t="inlineStr">
        <is>
          <t>none</t>
        </is>
      </c>
      <c r="L46" s="36" t="inlineStr">
        <is>
          <t>Answers</t>
        </is>
      </c>
      <c r="M46" s="31" t="inlineStr">
        <is>
          <t>Pure 1 Ch4</t>
        </is>
      </c>
      <c r="N46" s="37" t="inlineStr">
        <is>
          <t>Page 9</t>
        </is>
      </c>
      <c r="O46" s="37" t="inlineStr">
        <is>
          <t>Marks</t>
        </is>
      </c>
      <c r="P46" t="inlineStr">
        <is>
          <t>P2</t>
        </is>
      </c>
    </row>
    <row r="47" outlineLevel="1" ht="32" customHeight="1">
      <c r="A47" s="31" t="inlineStr">
        <is>
          <t>P2.9</t>
        </is>
      </c>
      <c r="B47" s="32" t="inlineStr">
        <is>
          <t>y = |f(x)| and y = f(|x|)</t>
        </is>
      </c>
      <c r="C47" s="39" t="n">
        <v>2</v>
      </c>
      <c r="D47" s="34" t="n"/>
      <c r="E47" s="35" t="n"/>
      <c r="F47" s="36" t="inlineStr">
        <is>
          <t>▶ Watch</t>
        </is>
      </c>
      <c r="G47" s="36" t="inlineStr">
        <is>
          <t>Q 8, 35, 36</t>
        </is>
      </c>
      <c r="H47" s="36" t="inlineStr">
        <is>
          <t>Answers</t>
        </is>
      </c>
      <c r="I47" s="35" t="inlineStr">
        <is>
          <t>Solomon: The modulus function (Yr 2)</t>
        </is>
      </c>
      <c r="J47" s="36" t="inlineStr">
        <is>
          <t>Q 3, 4, 7</t>
        </is>
      </c>
      <c r="K47" s="38" t="inlineStr">
        <is>
          <t>none</t>
        </is>
      </c>
      <c r="L47" s="36" t="inlineStr">
        <is>
          <t>Answers</t>
        </is>
      </c>
      <c r="M47" s="31" t="inlineStr">
        <is>
          <t>Pure 2 Ch2</t>
        </is>
      </c>
      <c r="N47" s="37" t="inlineStr">
        <is>
          <t>Pages 4, 7, 9, 11, 14, 16</t>
        </is>
      </c>
      <c r="O47" s="37" t="inlineStr">
        <is>
          <t>Marks</t>
        </is>
      </c>
      <c r="P47" t="inlineStr">
        <is>
          <t>P2</t>
        </is>
      </c>
    </row>
    <row r="48" outlineLevel="1" ht="32" customHeight="1">
      <c r="A48" s="31" t="inlineStr">
        <is>
          <t>P2.9</t>
        </is>
      </c>
      <c r="B48" s="32" t="inlineStr">
        <is>
          <t>Combining transformations</t>
        </is>
      </c>
      <c r="C48" s="39" t="n">
        <v>2</v>
      </c>
      <c r="D48" s="34" t="n"/>
      <c r="E48" s="35" t="n"/>
      <c r="F48" s="36" t="inlineStr">
        <is>
          <t>▶ Watch</t>
        </is>
      </c>
      <c r="G48" s="36" t="inlineStr">
        <is>
          <t>Q 11, 28, 35, 36</t>
        </is>
      </c>
      <c r="H48" s="36" t="inlineStr">
        <is>
          <t>Answers</t>
        </is>
      </c>
      <c r="I48" s="35" t="inlineStr">
        <is>
          <t>Modulus of Functions (Yr 2)</t>
        </is>
      </c>
      <c r="J48" s="36" t="inlineStr">
        <is>
          <t>Page 1</t>
        </is>
      </c>
      <c r="K48" s="36" t="inlineStr">
        <is>
          <t>Marks</t>
        </is>
      </c>
      <c r="L48" s="36" t="inlineStr">
        <is>
          <t>Answers</t>
        </is>
      </c>
      <c r="M48" s="31" t="inlineStr">
        <is>
          <t>Pure 2 Ch2</t>
        </is>
      </c>
      <c r="N48" s="37" t="inlineStr">
        <is>
          <t>Pages 4, 6, 11, 14–16</t>
        </is>
      </c>
      <c r="O48" s="37" t="inlineStr">
        <is>
          <t>Marks</t>
        </is>
      </c>
      <c r="P48" t="inlineStr">
        <is>
          <t>P2</t>
        </is>
      </c>
    </row>
    <row r="49" outlineLevel="1" ht="20" customHeight="1">
      <c r="A49" s="31" t="inlineStr">
        <is>
          <t>P2.10</t>
        </is>
      </c>
      <c r="B49" s="32" t="inlineStr">
        <is>
          <t>Partial fractions (distinct linear factors)</t>
        </is>
      </c>
      <c r="C49" s="39" t="n">
        <v>2</v>
      </c>
      <c r="D49" s="34" t="n"/>
      <c r="E49" s="35" t="n"/>
      <c r="F49" s="36" t="inlineStr">
        <is>
          <t>▶ Watch</t>
        </is>
      </c>
      <c r="G49" s="36" t="inlineStr">
        <is>
          <t>Q 1, 2, 5, 6, 8</t>
        </is>
      </c>
      <c r="H49" s="36" t="inlineStr">
        <is>
          <t>Answers</t>
        </is>
      </c>
      <c r="I49" s="35" t="inlineStr">
        <is>
          <t>Partial Fractions (Yr 2)</t>
        </is>
      </c>
      <c r="J49" s="36" t="inlineStr">
        <is>
          <t>Pages 2, 3</t>
        </is>
      </c>
      <c r="K49" s="36" t="inlineStr">
        <is>
          <t>Marks</t>
        </is>
      </c>
      <c r="L49" s="36" t="inlineStr">
        <is>
          <t>Answers</t>
        </is>
      </c>
      <c r="M49" s="31" t="inlineStr">
        <is>
          <t>Pure 2 Ch1</t>
        </is>
      </c>
      <c r="N49" s="37" t="inlineStr">
        <is>
          <t>Pages 8, 11, 16</t>
        </is>
      </c>
      <c r="O49" s="37" t="inlineStr">
        <is>
          <t>Marks</t>
        </is>
      </c>
      <c r="P49" t="inlineStr">
        <is>
          <t>P2</t>
        </is>
      </c>
    </row>
    <row r="50" outlineLevel="1" ht="20" customHeight="1">
      <c r="A50" s="31" t="inlineStr">
        <is>
          <t>P2.10</t>
        </is>
      </c>
      <c r="B50" s="32" t="inlineStr">
        <is>
          <t>Partial fractions with repeated factors</t>
        </is>
      </c>
      <c r="C50" s="39" t="n">
        <v>2</v>
      </c>
      <c r="D50" s="34" t="n"/>
      <c r="E50" s="35" t="n"/>
      <c r="F50" s="36" t="inlineStr">
        <is>
          <t>▶ Watch</t>
        </is>
      </c>
      <c r="G50" s="36" t="inlineStr">
        <is>
          <t>Q 3, 4, 10, 12</t>
        </is>
      </c>
      <c r="H50" s="36" t="inlineStr">
        <is>
          <t>Answers</t>
        </is>
      </c>
      <c r="I50" s="35" t="inlineStr">
        <is>
          <t>Partial Fractions (Yr 2)</t>
        </is>
      </c>
      <c r="J50" s="36" t="inlineStr">
        <is>
          <t>Page 1</t>
        </is>
      </c>
      <c r="K50" s="36" t="inlineStr">
        <is>
          <t>Marks</t>
        </is>
      </c>
      <c r="L50" s="36" t="inlineStr">
        <is>
          <t>Answers</t>
        </is>
      </c>
      <c r="M50" s="31" t="inlineStr">
        <is>
          <t>Pure 2 Ch1</t>
        </is>
      </c>
      <c r="N50" s="37" t="inlineStr">
        <is>
          <t>Page 10</t>
        </is>
      </c>
      <c r="O50" s="37" t="inlineStr">
        <is>
          <t>Marks</t>
        </is>
      </c>
      <c r="P50" t="inlineStr">
        <is>
          <t>P2</t>
        </is>
      </c>
    </row>
    <row r="51" outlineLevel="1" ht="20" customHeight="1">
      <c r="A51" s="31" t="inlineStr">
        <is>
          <t>P2.11</t>
        </is>
      </c>
      <c r="B51" s="32" t="inlineStr">
        <is>
          <t>Using functions in modelling (limitations and refinements)</t>
        </is>
      </c>
      <c r="C51" s="39" t="n">
        <v>2</v>
      </c>
      <c r="D51" s="34" t="n"/>
      <c r="E51" s="35" t="n"/>
      <c r="F51" s="36" t="inlineStr">
        <is>
          <t>▶ Watch</t>
        </is>
      </c>
      <c r="G51" s="36" t="inlineStr">
        <is>
          <t>Q 17, 21, 25</t>
        </is>
      </c>
      <c r="H51" s="36" t="inlineStr">
        <is>
          <t>Answers</t>
        </is>
      </c>
      <c r="I51" s="35" t="inlineStr">
        <is>
          <t>Quadratics</t>
        </is>
      </c>
      <c r="J51" s="36" t="inlineStr">
        <is>
          <t>Pages 7, 8</t>
        </is>
      </c>
      <c r="K51" s="36" t="inlineStr">
        <is>
          <t>Marks</t>
        </is>
      </c>
      <c r="L51" s="36" t="inlineStr">
        <is>
          <t>Answers</t>
        </is>
      </c>
      <c r="M51" s="31" t="inlineStr">
        <is>
          <t>Pure 1 Ch2</t>
        </is>
      </c>
      <c r="N51" s="37" t="inlineStr">
        <is>
          <t>Pages 1, 2</t>
        </is>
      </c>
      <c r="O51" s="37" t="inlineStr">
        <is>
          <t>Marks</t>
        </is>
      </c>
      <c r="P51" t="inlineStr">
        <is>
          <t>P2</t>
        </is>
      </c>
    </row>
    <row r="52" ht="10" customHeight="1"/>
    <row r="53" ht="26" customHeight="1">
      <c r="A53" s="27" t="inlineStr">
        <is>
          <t>3</t>
        </is>
      </c>
      <c r="B53" s="28" t="inlineStr">
        <is>
          <t>Coordinate geometry in the (x, y) plane</t>
        </is>
      </c>
      <c r="C53" s="29" t="n"/>
      <c r="D53" s="29" t="n"/>
      <c r="E53" s="30" t="inlineStr">
        <is>
          <t>15 topics  ·  Year 1: 10  ·  Year 2: 5</t>
        </is>
      </c>
      <c r="F53" s="29" t="n"/>
      <c r="G53" s="29" t="n"/>
      <c r="H53" s="29" t="n"/>
      <c r="I53" s="29" t="n"/>
      <c r="J53" s="29" t="n"/>
      <c r="K53" s="29" t="n"/>
      <c r="L53" s="29" t="n"/>
      <c r="M53" s="29" t="n"/>
      <c r="N53" s="29" t="n"/>
      <c r="O53" s="29" t="n"/>
    </row>
    <row r="54" outlineLevel="1" ht="32" customHeight="1">
      <c r="A54" s="31" t="inlineStr">
        <is>
          <t>P3.1</t>
        </is>
      </c>
      <c r="B54" s="32" t="inlineStr">
        <is>
          <t>y = mx + c and gradients</t>
        </is>
      </c>
      <c r="C54" s="33" t="n">
        <v>1</v>
      </c>
      <c r="D54" s="34" t="n"/>
      <c r="E54" s="35" t="n"/>
      <c r="F54" s="36" t="inlineStr">
        <is>
          <t>▶ Watch</t>
        </is>
      </c>
      <c r="G54" s="36" t="inlineStr">
        <is>
          <t>Q 1, 4, 6, 10</t>
        </is>
      </c>
      <c r="H54" s="36" t="inlineStr">
        <is>
          <t>Answers</t>
        </is>
      </c>
      <c r="I54" s="35" t="inlineStr">
        <is>
          <t>Solomon: Equations of straight lines</t>
        </is>
      </c>
      <c r="J54" s="36" t="inlineStr">
        <is>
          <t>Q 1–3, 5, 7, 9, 12, 19</t>
        </is>
      </c>
      <c r="K54" s="38" t="inlineStr">
        <is>
          <t>none</t>
        </is>
      </c>
      <c r="L54" s="36" t="inlineStr">
        <is>
          <t>Answers</t>
        </is>
      </c>
      <c r="M54" s="31" t="inlineStr">
        <is>
          <t>Pure 1 Ch5</t>
        </is>
      </c>
      <c r="N54" s="37" t="inlineStr">
        <is>
          <t>Pages 5, 6, 10, 11</t>
        </is>
      </c>
      <c r="O54" s="37" t="inlineStr">
        <is>
          <t>Marks</t>
        </is>
      </c>
      <c r="P54" t="inlineStr">
        <is>
          <t>P3</t>
        </is>
      </c>
    </row>
    <row r="55" outlineLevel="1" ht="32" customHeight="1">
      <c r="A55" s="31" t="inlineStr">
        <is>
          <t>P3.1</t>
        </is>
      </c>
      <c r="B55" s="32" t="inlineStr">
        <is>
          <t>Equations of straight lines: y − y₁ = m(x − x₁) and ax + by + c = 0</t>
        </is>
      </c>
      <c r="C55" s="33" t="n">
        <v>1</v>
      </c>
      <c r="D55" s="34" t="n"/>
      <c r="E55" s="35" t="n"/>
      <c r="F55" s="36" t="inlineStr">
        <is>
          <t>▶ Watch</t>
        </is>
      </c>
      <c r="G55" s="36" t="inlineStr">
        <is>
          <t>Q 1, 3, 4, 6, 8–11</t>
        </is>
      </c>
      <c r="H55" s="36" t="inlineStr">
        <is>
          <t>Answers</t>
        </is>
      </c>
      <c r="I55" s="35" t="inlineStr">
        <is>
          <t>Straight Lines</t>
        </is>
      </c>
      <c r="J55" s="36" t="inlineStr">
        <is>
          <t>Page 1</t>
        </is>
      </c>
      <c r="K55" s="36" t="inlineStr">
        <is>
          <t>Marks</t>
        </is>
      </c>
      <c r="L55" s="36" t="inlineStr">
        <is>
          <t>Answers</t>
        </is>
      </c>
      <c r="M55" s="31" t="inlineStr">
        <is>
          <t>Pure 1 Ch5</t>
        </is>
      </c>
      <c r="N55" s="37" t="inlineStr">
        <is>
          <t>Pages 5, 6, 8–13</t>
        </is>
      </c>
      <c r="O55" s="37" t="inlineStr">
        <is>
          <t>Marks</t>
        </is>
      </c>
      <c r="P55" t="inlineStr">
        <is>
          <t>P3</t>
        </is>
      </c>
    </row>
    <row r="56" outlineLevel="1" ht="32" customHeight="1">
      <c r="A56" s="31" t="inlineStr">
        <is>
          <t>P3.1</t>
        </is>
      </c>
      <c r="B56" s="32" t="inlineStr">
        <is>
          <t>Parallel and perpendicular lines</t>
        </is>
      </c>
      <c r="C56" s="33" t="n">
        <v>1</v>
      </c>
      <c r="D56" s="34" t="n"/>
      <c r="E56" s="35" t="n"/>
      <c r="F56" s="36" t="inlineStr">
        <is>
          <t>▶ Watch</t>
        </is>
      </c>
      <c r="G56" s="36" t="inlineStr">
        <is>
          <t>Q 2, 6, 8, 10, 13, 15, 17, 18</t>
        </is>
      </c>
      <c r="H56" s="36" t="inlineStr">
        <is>
          <t>Answers</t>
        </is>
      </c>
      <c r="I56" s="35" t="inlineStr">
        <is>
          <t>Straight Lines</t>
        </is>
      </c>
      <c r="J56" s="36" t="inlineStr">
        <is>
          <t>Page 1</t>
        </is>
      </c>
      <c r="K56" s="36" t="inlineStr">
        <is>
          <t>Marks</t>
        </is>
      </c>
      <c r="L56" s="36" t="inlineStr">
        <is>
          <t>Answers</t>
        </is>
      </c>
      <c r="M56" s="31" t="inlineStr">
        <is>
          <t>Pure 1 Ch5</t>
        </is>
      </c>
      <c r="N56" s="37" t="inlineStr">
        <is>
          <t>Pages 1, 2, 6, 9–13</t>
        </is>
      </c>
      <c r="O56" s="37" t="inlineStr">
        <is>
          <t>Marks</t>
        </is>
      </c>
      <c r="P56" t="inlineStr">
        <is>
          <t>P3</t>
        </is>
      </c>
    </row>
    <row r="57" outlineLevel="1" ht="20" customHeight="1">
      <c r="A57" s="31" t="inlineStr">
        <is>
          <t>P3.1</t>
        </is>
      </c>
      <c r="B57" s="32" t="inlineStr">
        <is>
          <t>Length of a line segment and areas of shapes</t>
        </is>
      </c>
      <c r="C57" s="33" t="n">
        <v>1</v>
      </c>
      <c r="D57" s="34" t="n"/>
      <c r="E57" s="35" t="n"/>
      <c r="F57" s="36" t="inlineStr">
        <is>
          <t>▶ Watch</t>
        </is>
      </c>
      <c r="G57" s="36" t="inlineStr">
        <is>
          <t>Q 3, 5, 9, 11, 17</t>
        </is>
      </c>
      <c r="H57" s="36" t="inlineStr">
        <is>
          <t>Answers</t>
        </is>
      </c>
      <c r="I57" s="35" t="inlineStr">
        <is>
          <t>Straight Lines</t>
        </is>
      </c>
      <c r="J57" s="36" t="inlineStr">
        <is>
          <t>Page 1</t>
        </is>
      </c>
      <c r="K57" s="36" t="inlineStr">
        <is>
          <t>Marks</t>
        </is>
      </c>
      <c r="L57" s="36" t="inlineStr">
        <is>
          <t>Answers</t>
        </is>
      </c>
      <c r="M57" s="31" t="inlineStr">
        <is>
          <t>Pure 1 Ch5</t>
        </is>
      </c>
      <c r="N57" s="37" t="inlineStr">
        <is>
          <t>Pages 10, 13</t>
        </is>
      </c>
      <c r="O57" s="37" t="inlineStr">
        <is>
          <t>Marks</t>
        </is>
      </c>
      <c r="P57" t="inlineStr">
        <is>
          <t>P3</t>
        </is>
      </c>
    </row>
    <row r="58" outlineLevel="1" ht="20" customHeight="1">
      <c r="A58" s="31" t="inlineStr">
        <is>
          <t>P3.1</t>
        </is>
      </c>
      <c r="B58" s="32" t="inlineStr">
        <is>
          <t>Straight-line models in context</t>
        </is>
      </c>
      <c r="C58" s="33" t="n">
        <v>1</v>
      </c>
      <c r="D58" s="34" t="n"/>
      <c r="E58" s="35" t="n"/>
      <c r="F58" s="36" t="inlineStr">
        <is>
          <t>▶ Watch</t>
        </is>
      </c>
      <c r="G58" s="36" t="inlineStr">
        <is>
          <t>Q 19, 21</t>
        </is>
      </c>
      <c r="H58" s="36" t="inlineStr">
        <is>
          <t>Answers</t>
        </is>
      </c>
      <c r="I58" s="35" t="inlineStr">
        <is>
          <t>Linear Models</t>
        </is>
      </c>
      <c r="J58" s="36" t="inlineStr">
        <is>
          <t>Pages 2, 4</t>
        </is>
      </c>
      <c r="K58" s="36" t="inlineStr">
        <is>
          <t>Marks</t>
        </is>
      </c>
      <c r="L58" s="36" t="inlineStr">
        <is>
          <t>Answers</t>
        </is>
      </c>
      <c r="M58" s="31" t="inlineStr">
        <is>
          <t>Pure 1 Ch5</t>
        </is>
      </c>
      <c r="N58" s="37" t="inlineStr">
        <is>
          <t>Pages 3, 4</t>
        </is>
      </c>
      <c r="O58" s="37" t="inlineStr">
        <is>
          <t>Marks</t>
        </is>
      </c>
      <c r="P58" t="inlineStr">
        <is>
          <t>P3</t>
        </is>
      </c>
    </row>
    <row r="59" outlineLevel="1" ht="32" customHeight="1">
      <c r="A59" s="31" t="inlineStr">
        <is>
          <t>P3.2</t>
        </is>
      </c>
      <c r="B59" s="32" t="inlineStr">
        <is>
          <t>Midpoints and perpendicular bisectors</t>
        </is>
      </c>
      <c r="C59" s="33" t="n">
        <v>1</v>
      </c>
      <c r="D59" s="34" t="n"/>
      <c r="E59" s="35" t="n"/>
      <c r="F59" s="36" t="inlineStr">
        <is>
          <t>▶ Watch</t>
        </is>
      </c>
      <c r="G59" s="36" t="inlineStr">
        <is>
          <t>Q 4, 5, 14, 16, 22</t>
        </is>
      </c>
      <c r="H59" s="36" t="inlineStr">
        <is>
          <t>Answers</t>
        </is>
      </c>
      <c r="I59" s="35" t="inlineStr">
        <is>
          <t>Solomon: Coordinate geometry – further questions</t>
        </is>
      </c>
      <c r="J59" s="36" t="inlineStr">
        <is>
          <t>Q 2, 3, 5, 7</t>
        </is>
      </c>
      <c r="K59" s="38" t="inlineStr">
        <is>
          <t>none</t>
        </is>
      </c>
      <c r="L59" s="36" t="inlineStr">
        <is>
          <t>Answers</t>
        </is>
      </c>
      <c r="M59" s="31" t="inlineStr">
        <is>
          <t>Pure 1 Ch6</t>
        </is>
      </c>
      <c r="N59" s="37" t="inlineStr">
        <is>
          <t>Pages 8, 12, 14</t>
        </is>
      </c>
      <c r="O59" s="37" t="inlineStr">
        <is>
          <t>Marks</t>
        </is>
      </c>
      <c r="P59" t="inlineStr">
        <is>
          <t>P3</t>
        </is>
      </c>
    </row>
    <row r="60" outlineLevel="1" ht="32" customHeight="1">
      <c r="A60" s="31" t="inlineStr">
        <is>
          <t>P3.2</t>
        </is>
      </c>
      <c r="B60" s="32" t="inlineStr">
        <is>
          <t>Equation of a circle (completing the square for centre and radius)</t>
        </is>
      </c>
      <c r="C60" s="33" t="n">
        <v>1</v>
      </c>
      <c r="D60" s="34" t="n"/>
      <c r="E60" s="35" t="n"/>
      <c r="F60" s="36" t="inlineStr">
        <is>
          <t>▶ Watch</t>
        </is>
      </c>
      <c r="G60" s="36" t="inlineStr">
        <is>
          <t>Q 1, 2, 5, 7, 11, 12, 14, 20</t>
        </is>
      </c>
      <c r="H60" s="36" t="inlineStr">
        <is>
          <t>Answers</t>
        </is>
      </c>
      <c r="I60" s="35" t="inlineStr">
        <is>
          <t>Circles</t>
        </is>
      </c>
      <c r="J60" s="36" t="inlineStr">
        <is>
          <t>Pages 1–5</t>
        </is>
      </c>
      <c r="K60" s="36" t="inlineStr">
        <is>
          <t>Marks</t>
        </is>
      </c>
      <c r="L60" s="36" t="inlineStr">
        <is>
          <t>Answers</t>
        </is>
      </c>
      <c r="M60" s="31" t="inlineStr">
        <is>
          <t>Pure 1 Ch6</t>
        </is>
      </c>
      <c r="N60" s="37" t="inlineStr">
        <is>
          <t>Pages 1–3, 5–7, 9, 10</t>
        </is>
      </c>
      <c r="O60" s="37" t="inlineStr">
        <is>
          <t>Marks</t>
        </is>
      </c>
      <c r="P60" t="inlineStr">
        <is>
          <t>P3</t>
        </is>
      </c>
    </row>
    <row r="61" outlineLevel="1" ht="32" customHeight="1">
      <c r="A61" s="31" t="inlineStr">
        <is>
          <t>P3.2</t>
        </is>
      </c>
      <c r="B61" s="32" t="inlineStr">
        <is>
          <t>Intersections of straight lines and circles</t>
        </is>
      </c>
      <c r="C61" s="33" t="n">
        <v>1</v>
      </c>
      <c r="D61" s="34" t="n"/>
      <c r="E61" s="35" t="n"/>
      <c r="F61" s="36" t="inlineStr">
        <is>
          <t>▶ Watch</t>
        </is>
      </c>
      <c r="G61" s="36" t="inlineStr">
        <is>
          <t>Q 4, 7, 11, 15, 16, 18, 27, 28</t>
        </is>
      </c>
      <c r="H61" s="36" t="inlineStr">
        <is>
          <t>Answers</t>
        </is>
      </c>
      <c r="I61" s="35" t="inlineStr">
        <is>
          <t>Circles</t>
        </is>
      </c>
      <c r="J61" s="36" t="inlineStr">
        <is>
          <t>Pages 3, 5</t>
        </is>
      </c>
      <c r="K61" s="36" t="inlineStr">
        <is>
          <t>Marks</t>
        </is>
      </c>
      <c r="L61" s="36" t="inlineStr">
        <is>
          <t>Answers</t>
        </is>
      </c>
      <c r="M61" s="31" t="inlineStr">
        <is>
          <t>Pure 1 Ch6</t>
        </is>
      </c>
      <c r="N61" s="37" t="inlineStr">
        <is>
          <t>Pages 1, 5, 9, 10</t>
        </is>
      </c>
      <c r="O61" s="37" t="inlineStr">
        <is>
          <t>Marks</t>
        </is>
      </c>
      <c r="P61" t="inlineStr">
        <is>
          <t>P3</t>
        </is>
      </c>
    </row>
    <row r="62" outlineLevel="1" ht="32" customHeight="1">
      <c r="A62" s="31" t="inlineStr">
        <is>
          <t>P3.2</t>
        </is>
      </c>
      <c r="B62" s="32" t="inlineStr">
        <is>
          <t>Tangent and chord properties</t>
        </is>
      </c>
      <c r="C62" s="33" t="n">
        <v>1</v>
      </c>
      <c r="D62" s="34" t="n"/>
      <c r="E62" s="35" t="n"/>
      <c r="F62" s="36" t="inlineStr">
        <is>
          <t>▶ Watch</t>
        </is>
      </c>
      <c r="G62" s="36" t="inlineStr">
        <is>
          <t>Q 3, 5, 9, 10, 13, 17, 21, 24</t>
        </is>
      </c>
      <c r="H62" s="36" t="inlineStr">
        <is>
          <t>Answers</t>
        </is>
      </c>
      <c r="I62" s="35" t="inlineStr">
        <is>
          <t>Circles</t>
        </is>
      </c>
      <c r="J62" s="36" t="inlineStr">
        <is>
          <t>Page 3</t>
        </is>
      </c>
      <c r="K62" s="36" t="inlineStr">
        <is>
          <t>Marks</t>
        </is>
      </c>
      <c r="L62" s="36" t="inlineStr">
        <is>
          <t>Answers</t>
        </is>
      </c>
      <c r="M62" s="31" t="inlineStr">
        <is>
          <t>Pure 1 Ch6</t>
        </is>
      </c>
      <c r="N62" s="37" t="inlineStr">
        <is>
          <t>Pages 2–4, 6, 10, 12–14</t>
        </is>
      </c>
      <c r="O62" s="37" t="inlineStr">
        <is>
          <t>Marks</t>
        </is>
      </c>
      <c r="P62" t="inlineStr">
        <is>
          <t>P3</t>
        </is>
      </c>
    </row>
    <row r="63" outlineLevel="1" ht="32" customHeight="1">
      <c r="A63" s="31" t="inlineStr">
        <is>
          <t>P3.2</t>
        </is>
      </c>
      <c r="B63" s="32" t="inlineStr">
        <is>
          <t>Circles and triangles (circumcircles, angle in a semicircle)</t>
        </is>
      </c>
      <c r="C63" s="33" t="n">
        <v>1</v>
      </c>
      <c r="D63" s="34" t="n"/>
      <c r="E63" s="35" t="n"/>
      <c r="F63" s="36" t="inlineStr">
        <is>
          <t>▶ Watch</t>
        </is>
      </c>
      <c r="G63" s="36" t="inlineStr">
        <is>
          <t>Q 6</t>
        </is>
      </c>
      <c r="H63" s="36" t="inlineStr">
        <is>
          <t>Answers</t>
        </is>
      </c>
      <c r="I63" s="35" t="inlineStr">
        <is>
          <t>Solomon: Circles</t>
        </is>
      </c>
      <c r="J63" s="36" t="inlineStr">
        <is>
          <t>Q 6, 11</t>
        </is>
      </c>
      <c r="K63" s="38" t="inlineStr">
        <is>
          <t>none</t>
        </is>
      </c>
      <c r="L63" s="36" t="inlineStr">
        <is>
          <t>Answers</t>
        </is>
      </c>
      <c r="M63" s="31" t="inlineStr">
        <is>
          <t>Pure 1 Ch6</t>
        </is>
      </c>
      <c r="N63" s="38" t="inlineStr">
        <is>
          <t>none</t>
        </is>
      </c>
      <c r="O63" s="40" t="n"/>
      <c r="P63" t="inlineStr">
        <is>
          <t>P3</t>
        </is>
      </c>
    </row>
    <row r="64" outlineLevel="1" ht="20" customHeight="1">
      <c r="A64" s="31" t="inlineStr">
        <is>
          <t>P3.3</t>
        </is>
      </c>
      <c r="B64" s="32" t="inlineStr">
        <is>
          <t>Parametric equations: converting to Cartesian form</t>
        </is>
      </c>
      <c r="C64" s="39" t="n">
        <v>2</v>
      </c>
      <c r="D64" s="34" t="n"/>
      <c r="E64" s="35" t="n"/>
      <c r="F64" s="36" t="inlineStr">
        <is>
          <t>▶ Watch</t>
        </is>
      </c>
      <c r="G64" s="36" t="inlineStr">
        <is>
          <t>Q 1, 4, 5</t>
        </is>
      </c>
      <c r="H64" s="36" t="inlineStr">
        <is>
          <t>Answers</t>
        </is>
      </c>
      <c r="I64" s="35" t="inlineStr">
        <is>
          <t>Parametric Equations (Yr 2)</t>
        </is>
      </c>
      <c r="J64" s="36" t="inlineStr">
        <is>
          <t>Pages 1, 2</t>
        </is>
      </c>
      <c r="K64" s="36" t="inlineStr">
        <is>
          <t>Marks</t>
        </is>
      </c>
      <c r="L64" s="36" t="inlineStr">
        <is>
          <t>Answers</t>
        </is>
      </c>
      <c r="M64" s="31" t="inlineStr">
        <is>
          <t>Pure 2 Ch8</t>
        </is>
      </c>
      <c r="N64" s="37" t="inlineStr">
        <is>
          <t>Pages 7, 8, 10</t>
        </is>
      </c>
      <c r="O64" s="37" t="inlineStr">
        <is>
          <t>Marks</t>
        </is>
      </c>
      <c r="P64" t="inlineStr">
        <is>
          <t>P3</t>
        </is>
      </c>
    </row>
    <row r="65" outlineLevel="1" ht="32" customHeight="1">
      <c r="A65" s="31" t="inlineStr">
        <is>
          <t>P3.3</t>
        </is>
      </c>
      <c r="B65" s="32" t="inlineStr">
        <is>
          <t>Parametric equations using trig identities</t>
        </is>
      </c>
      <c r="C65" s="39" t="n">
        <v>2</v>
      </c>
      <c r="D65" s="34" t="n"/>
      <c r="E65" s="35" t="n"/>
      <c r="F65" s="36" t="inlineStr">
        <is>
          <t>▶ Watch</t>
        </is>
      </c>
      <c r="G65" s="36" t="inlineStr">
        <is>
          <t>Q 1, 4, 5, 7, 8</t>
        </is>
      </c>
      <c r="H65" s="36" t="inlineStr">
        <is>
          <t>Answers</t>
        </is>
      </c>
      <c r="I65" s="35" t="inlineStr">
        <is>
          <t>Parametric Differentiation (Yr 2)</t>
        </is>
      </c>
      <c r="J65" s="36" t="inlineStr">
        <is>
          <t>Page 2</t>
        </is>
      </c>
      <c r="K65" s="36" t="inlineStr">
        <is>
          <t>Marks</t>
        </is>
      </c>
      <c r="L65" s="36" t="inlineStr">
        <is>
          <t>Answers</t>
        </is>
      </c>
      <c r="M65" s="31" t="inlineStr">
        <is>
          <t>Pure 2 Ch8</t>
        </is>
      </c>
      <c r="N65" s="37" t="inlineStr">
        <is>
          <t>Pages 1, 5, 6, 12–14</t>
        </is>
      </c>
      <c r="O65" s="37" t="inlineStr">
        <is>
          <t>Marks</t>
        </is>
      </c>
      <c r="P65" t="inlineStr">
        <is>
          <t>P3</t>
        </is>
      </c>
    </row>
    <row r="66" outlineLevel="1" ht="32" customHeight="1">
      <c r="A66" s="31" t="inlineStr">
        <is>
          <t>P3.3</t>
        </is>
      </c>
      <c r="B66" s="32" t="inlineStr">
        <is>
          <t>Sketching parametric curves</t>
        </is>
      </c>
      <c r="C66" s="39" t="n">
        <v>2</v>
      </c>
      <c r="D66" s="34" t="n"/>
      <c r="E66" s="35" t="n"/>
      <c r="F66" s="36" t="inlineStr">
        <is>
          <t>▶ Watch</t>
        </is>
      </c>
      <c r="G66" s="36" t="inlineStr">
        <is>
          <t>Q 1, 5–8</t>
        </is>
      </c>
      <c r="H66" s="36" t="inlineStr">
        <is>
          <t>Answers</t>
        </is>
      </c>
      <c r="I66" s="35" t="inlineStr">
        <is>
          <t>Solomon: Parametric equations (Yr 2)</t>
        </is>
      </c>
      <c r="J66" s="36" t="inlineStr">
        <is>
          <t>Q 4, 6, 8</t>
        </is>
      </c>
      <c r="K66" s="38" t="inlineStr">
        <is>
          <t>none</t>
        </is>
      </c>
      <c r="L66" s="36" t="inlineStr">
        <is>
          <t>Answers</t>
        </is>
      </c>
      <c r="M66" s="31" t="inlineStr">
        <is>
          <t>Pure 2 Ch8</t>
        </is>
      </c>
      <c r="N66" s="37" t="inlineStr">
        <is>
          <t>Page 1</t>
        </is>
      </c>
      <c r="O66" s="37" t="inlineStr">
        <is>
          <t>Marks</t>
        </is>
      </c>
      <c r="P66" t="inlineStr">
        <is>
          <t>P3</t>
        </is>
      </c>
    </row>
    <row r="67" outlineLevel="1" ht="32" customHeight="1">
      <c r="A67" s="31" t="inlineStr">
        <is>
          <t>P3.3</t>
        </is>
      </c>
      <c r="B67" s="32" t="inlineStr">
        <is>
          <t>Points of intersection with parametric curves</t>
        </is>
      </c>
      <c r="C67" s="39" t="n">
        <v>2</v>
      </c>
      <c r="D67" s="34" t="n"/>
      <c r="E67" s="35" t="n"/>
      <c r="F67" s="36" t="inlineStr">
        <is>
          <t>▶ Watch</t>
        </is>
      </c>
      <c r="G67" s="36" t="inlineStr">
        <is>
          <t>Q 2, 9</t>
        </is>
      </c>
      <c r="H67" s="36" t="inlineStr">
        <is>
          <t>Answers</t>
        </is>
      </c>
      <c r="I67" s="35" t="inlineStr">
        <is>
          <t>Parametric Differentiation (Yr 2)</t>
        </is>
      </c>
      <c r="J67" s="36" t="inlineStr">
        <is>
          <t>Page 2</t>
        </is>
      </c>
      <c r="K67" s="36" t="inlineStr">
        <is>
          <t>Marks</t>
        </is>
      </c>
      <c r="L67" s="36" t="inlineStr">
        <is>
          <t>Answers</t>
        </is>
      </c>
      <c r="M67" s="31" t="inlineStr">
        <is>
          <t>Pure 2 Ch8</t>
        </is>
      </c>
      <c r="N67" s="37" t="inlineStr">
        <is>
          <t>Pages 1–4, 6, 7, 11</t>
        </is>
      </c>
      <c r="O67" s="37" t="inlineStr">
        <is>
          <t>Marks</t>
        </is>
      </c>
      <c r="P67" t="inlineStr">
        <is>
          <t>P3</t>
        </is>
      </c>
    </row>
    <row r="68" outlineLevel="1" ht="20" customHeight="1">
      <c r="A68" s="31" t="inlineStr">
        <is>
          <t>P3.4</t>
        </is>
      </c>
      <c r="B68" s="32" t="inlineStr">
        <is>
          <t>Modelling with parametric equations</t>
        </is>
      </c>
      <c r="C68" s="39" t="n">
        <v>2</v>
      </c>
      <c r="D68" s="34" t="n"/>
      <c r="E68" s="35" t="n"/>
      <c r="F68" s="36" t="inlineStr">
        <is>
          <t>▶ Watch</t>
        </is>
      </c>
      <c r="G68" s="38" t="inlineStr">
        <is>
          <t>none on this topic</t>
        </is>
      </c>
      <c r="H68" s="41" t="n"/>
      <c r="I68" s="42" t="inlineStr">
        <is>
          <t>none for this topic</t>
        </is>
      </c>
      <c r="J68" s="38" t="inlineStr">
        <is>
          <t>none on this topic</t>
        </is>
      </c>
      <c r="K68" s="41" t="n"/>
      <c r="L68" s="41" t="n"/>
      <c r="M68" s="31" t="inlineStr">
        <is>
          <t>Pure 2 Ch8</t>
        </is>
      </c>
      <c r="N68" s="37" t="inlineStr">
        <is>
          <t>Page 1</t>
        </is>
      </c>
      <c r="O68" s="37" t="inlineStr">
        <is>
          <t>Marks</t>
        </is>
      </c>
      <c r="P68" t="inlineStr">
        <is>
          <t>P3</t>
        </is>
      </c>
    </row>
    <row r="69" ht="10" customHeight="1"/>
    <row r="70" ht="26" customHeight="1">
      <c r="A70" s="27" t="inlineStr">
        <is>
          <t>4</t>
        </is>
      </c>
      <c r="B70" s="28" t="inlineStr">
        <is>
          <t>Sequences and series</t>
        </is>
      </c>
      <c r="C70" s="29" t="n"/>
      <c r="D70" s="29" t="n"/>
      <c r="E70" s="30" t="inlineStr">
        <is>
          <t>16 topics  ·  Year 1: 4  ·  Year 2: 12</t>
        </is>
      </c>
      <c r="F70" s="29" t="n"/>
      <c r="G70" s="29" t="n"/>
      <c r="H70" s="29" t="n"/>
      <c r="I70" s="29" t="n"/>
      <c r="J70" s="29" t="n"/>
      <c r="K70" s="29" t="n"/>
      <c r="L70" s="29" t="n"/>
      <c r="M70" s="29" t="n"/>
      <c r="N70" s="29" t="n"/>
      <c r="O70" s="29" t="n"/>
    </row>
    <row r="71" outlineLevel="1" ht="20" customHeight="1">
      <c r="A71" s="31" t="inlineStr">
        <is>
          <t>P4.1</t>
        </is>
      </c>
      <c r="B71" s="32" t="inlineStr">
        <is>
          <t>Pascal's triangle, factorials and nCr notation</t>
        </is>
      </c>
      <c r="C71" s="33" t="n">
        <v>1</v>
      </c>
      <c r="D71" s="34" t="n"/>
      <c r="E71" s="35" t="n"/>
      <c r="F71" s="36" t="inlineStr">
        <is>
          <t>▶ Watch</t>
        </is>
      </c>
      <c r="G71" s="36" t="inlineStr">
        <is>
          <t>Q 12</t>
        </is>
      </c>
      <c r="H71" s="36" t="inlineStr">
        <is>
          <t>Answers</t>
        </is>
      </c>
      <c r="I71" s="42" t="inlineStr">
        <is>
          <t>none for this topic</t>
        </is>
      </c>
      <c r="J71" s="38" t="inlineStr">
        <is>
          <t>none on this topic</t>
        </is>
      </c>
      <c r="K71" s="41" t="n"/>
      <c r="L71" s="41" t="n"/>
      <c r="M71" s="31" t="inlineStr">
        <is>
          <t>Pure 1 Ch8</t>
        </is>
      </c>
      <c r="N71" s="38" t="inlineStr">
        <is>
          <t>none</t>
        </is>
      </c>
      <c r="O71" s="40" t="n"/>
      <c r="P71" t="inlineStr">
        <is>
          <t>P4</t>
        </is>
      </c>
    </row>
    <row r="72" outlineLevel="1" ht="32" customHeight="1">
      <c r="A72" s="31" t="inlineStr">
        <is>
          <t>P4.1</t>
        </is>
      </c>
      <c r="B72" s="32" t="inlineStr">
        <is>
          <t>Binomial expansion of (a + bx)ⁿ for positive integer n</t>
        </is>
      </c>
      <c r="C72" s="33" t="n">
        <v>1</v>
      </c>
      <c r="D72" s="34" t="n"/>
      <c r="E72" s="35" t="n"/>
      <c r="F72" s="36" t="inlineStr">
        <is>
          <t>▶ Watch</t>
        </is>
      </c>
      <c r="G72" s="36" t="inlineStr">
        <is>
          <t>Q 1, 2, 4, 6, 7, 15, 17, 20</t>
        </is>
      </c>
      <c r="H72" s="36" t="inlineStr">
        <is>
          <t>Answers</t>
        </is>
      </c>
      <c r="I72" s="35" t="inlineStr">
        <is>
          <t>Binomial Expansion</t>
        </is>
      </c>
      <c r="J72" s="36" t="inlineStr">
        <is>
          <t>Page 2</t>
        </is>
      </c>
      <c r="K72" s="36" t="inlineStr">
        <is>
          <t>Marks</t>
        </is>
      </c>
      <c r="L72" s="36" t="inlineStr">
        <is>
          <t>Answers</t>
        </is>
      </c>
      <c r="M72" s="31" t="inlineStr">
        <is>
          <t>Pure 1 Ch8</t>
        </is>
      </c>
      <c r="N72" s="37" t="inlineStr">
        <is>
          <t>Pages 1, 2, 5–8, 12, 13</t>
        </is>
      </c>
      <c r="O72" s="37" t="inlineStr">
        <is>
          <t>Marks</t>
        </is>
      </c>
      <c r="P72" t="inlineStr">
        <is>
          <t>P4</t>
        </is>
      </c>
    </row>
    <row r="73" outlineLevel="1" ht="32" customHeight="1">
      <c r="A73" s="31" t="inlineStr">
        <is>
          <t>P4.1</t>
        </is>
      </c>
      <c r="B73" s="32" t="inlineStr">
        <is>
          <t>Solving binomial problems (finding unknowns and coefficients)</t>
        </is>
      </c>
      <c r="C73" s="33" t="n">
        <v>1</v>
      </c>
      <c r="D73" s="34" t="n"/>
      <c r="E73" s="35" t="n"/>
      <c r="F73" s="36" t="inlineStr">
        <is>
          <t>▶ Watch</t>
        </is>
      </c>
      <c r="G73" s="36" t="inlineStr">
        <is>
          <t>Q 2, 5, 7, 9, 10, 12, 16, 18</t>
        </is>
      </c>
      <c r="H73" s="36" t="inlineStr">
        <is>
          <t>Answers</t>
        </is>
      </c>
      <c r="I73" s="35" t="inlineStr">
        <is>
          <t>Binomial Expansion</t>
        </is>
      </c>
      <c r="J73" s="36" t="inlineStr">
        <is>
          <t>Pages 1–3</t>
        </is>
      </c>
      <c r="K73" s="36" t="inlineStr">
        <is>
          <t>Marks</t>
        </is>
      </c>
      <c r="L73" s="36" t="inlineStr">
        <is>
          <t>Answers</t>
        </is>
      </c>
      <c r="M73" s="31" t="inlineStr">
        <is>
          <t>Pure 1 Ch8</t>
        </is>
      </c>
      <c r="N73" s="37" t="inlineStr">
        <is>
          <t>Pages 1, 3, 6, 9–13</t>
        </is>
      </c>
      <c r="O73" s="37" t="inlineStr">
        <is>
          <t>Marks</t>
        </is>
      </c>
      <c r="P73" t="inlineStr">
        <is>
          <t>P4</t>
        </is>
      </c>
    </row>
    <row r="74" outlineLevel="1" ht="32" customHeight="1">
      <c r="A74" s="31" t="inlineStr">
        <is>
          <t>P4.1</t>
        </is>
      </c>
      <c r="B74" s="32" t="inlineStr">
        <is>
          <t>Binomial estimation (approximations)</t>
        </is>
      </c>
      <c r="C74" s="33" t="n">
        <v>1</v>
      </c>
      <c r="D74" s="34" t="n"/>
      <c r="E74" s="35" t="n"/>
      <c r="F74" s="36" t="inlineStr">
        <is>
          <t>▶ Watch</t>
        </is>
      </c>
      <c r="G74" s="36" t="inlineStr">
        <is>
          <t>Q 1, 4, 11, 19</t>
        </is>
      </c>
      <c r="H74" s="36" t="inlineStr">
        <is>
          <t>Answers</t>
        </is>
      </c>
      <c r="I74" s="35" t="inlineStr">
        <is>
          <t>Solomon: Binomial expansions – further questions</t>
        </is>
      </c>
      <c r="J74" s="36" t="inlineStr">
        <is>
          <t>Q 5, 6, 11, 13</t>
        </is>
      </c>
      <c r="K74" s="38" t="inlineStr">
        <is>
          <t>none</t>
        </is>
      </c>
      <c r="L74" s="36" t="inlineStr">
        <is>
          <t>Answers</t>
        </is>
      </c>
      <c r="M74" s="31" t="inlineStr">
        <is>
          <t>Pure 1 Ch8</t>
        </is>
      </c>
      <c r="N74" s="37" t="inlineStr">
        <is>
          <t>Pages 1, 3, 7</t>
        </is>
      </c>
      <c r="O74" s="38" t="inlineStr">
        <is>
          <t>none</t>
        </is>
      </c>
      <c r="P74" t="inlineStr">
        <is>
          <t>P4</t>
        </is>
      </c>
    </row>
    <row r="75" outlineLevel="1" ht="32" customHeight="1">
      <c r="A75" s="31" t="inlineStr">
        <is>
          <t>P4.1</t>
        </is>
      </c>
      <c r="B75" s="32" t="inlineStr">
        <is>
          <t>Binomial expansion of (1 + x)ⁿ for rational n, and validity</t>
        </is>
      </c>
      <c r="C75" s="39" t="n">
        <v>2</v>
      </c>
      <c r="D75" s="34" t="n"/>
      <c r="E75" s="35" t="n"/>
      <c r="F75" s="36" t="inlineStr">
        <is>
          <t>▶ Watch</t>
        </is>
      </c>
      <c r="G75" s="36" t="inlineStr">
        <is>
          <t>Q 1, 4, 7, 9, 14, 15, 17, 18</t>
        </is>
      </c>
      <c r="H75" s="36" t="inlineStr">
        <is>
          <t>Answers</t>
        </is>
      </c>
      <c r="I75" s="35" t="inlineStr">
        <is>
          <t>Solomon: Binomial expansions (Yr 2)</t>
        </is>
      </c>
      <c r="J75" s="36" t="inlineStr">
        <is>
          <t>Q 1–6</t>
        </is>
      </c>
      <c r="K75" s="38" t="inlineStr">
        <is>
          <t>none</t>
        </is>
      </c>
      <c r="L75" s="36" t="inlineStr">
        <is>
          <t>Answers</t>
        </is>
      </c>
      <c r="M75" s="31" t="inlineStr">
        <is>
          <t>Pure 2 Ch4</t>
        </is>
      </c>
      <c r="N75" s="37" t="inlineStr">
        <is>
          <t>Pages 1, 7, 10</t>
        </is>
      </c>
      <c r="O75" s="38" t="inlineStr">
        <is>
          <t>none</t>
        </is>
      </c>
      <c r="P75" t="inlineStr">
        <is>
          <t>P4</t>
        </is>
      </c>
    </row>
    <row r="76" outlineLevel="1" ht="32" customHeight="1">
      <c r="A76" s="31" t="inlineStr">
        <is>
          <t>P4.1</t>
        </is>
      </c>
      <c r="B76" s="32" t="inlineStr">
        <is>
          <t>Binomial expansion of (a + bx)ⁿ for rational n</t>
        </is>
      </c>
      <c r="C76" s="39" t="n">
        <v>2</v>
      </c>
      <c r="D76" s="34" t="n"/>
      <c r="E76" s="35" t="n"/>
      <c r="F76" s="36" t="inlineStr">
        <is>
          <t>▶ Watch</t>
        </is>
      </c>
      <c r="G76" s="36" t="inlineStr">
        <is>
          <t>Q 2, 3, 5, 6, 8, 10, 13, 16</t>
        </is>
      </c>
      <c r="H76" s="36" t="inlineStr">
        <is>
          <t>Answers</t>
        </is>
      </c>
      <c r="I76" s="35" t="inlineStr">
        <is>
          <t>Binomial Expansion (Yr 2)</t>
        </is>
      </c>
      <c r="J76" s="36" t="inlineStr">
        <is>
          <t>Pages 2, 3</t>
        </is>
      </c>
      <c r="K76" s="36" t="inlineStr">
        <is>
          <t>Marks</t>
        </is>
      </c>
      <c r="L76" s="36" t="inlineStr">
        <is>
          <t>Answers</t>
        </is>
      </c>
      <c r="M76" s="31" t="inlineStr">
        <is>
          <t>Pure 2 Ch4</t>
        </is>
      </c>
      <c r="N76" s="37" t="inlineStr">
        <is>
          <t>Pages 2, 3, 5, 6, 9, 12, 13</t>
        </is>
      </c>
      <c r="O76" s="38" t="inlineStr">
        <is>
          <t>none</t>
        </is>
      </c>
      <c r="P76" t="inlineStr">
        <is>
          <t>P4</t>
        </is>
      </c>
    </row>
    <row r="77" outlineLevel="1" ht="20" customHeight="1">
      <c r="A77" s="31" t="inlineStr">
        <is>
          <t>P4.1</t>
        </is>
      </c>
      <c r="B77" s="32" t="inlineStr">
        <is>
          <t>Binomial expansion using partial fractions</t>
        </is>
      </c>
      <c r="C77" s="39" t="n">
        <v>2</v>
      </c>
      <c r="D77" s="34" t="n"/>
      <c r="E77" s="35" t="n"/>
      <c r="F77" s="36" t="inlineStr">
        <is>
          <t>▶ Watch</t>
        </is>
      </c>
      <c r="G77" s="38" t="inlineStr">
        <is>
          <t>none on this topic</t>
        </is>
      </c>
      <c r="H77" s="41" t="n"/>
      <c r="I77" s="35" t="inlineStr">
        <is>
          <t>Binomial Expansion (Yr 2)</t>
        </is>
      </c>
      <c r="J77" s="36" t="inlineStr">
        <is>
          <t>Page 1</t>
        </is>
      </c>
      <c r="K77" s="36" t="inlineStr">
        <is>
          <t>Marks</t>
        </is>
      </c>
      <c r="L77" s="36" t="inlineStr">
        <is>
          <t>Answers</t>
        </is>
      </c>
      <c r="M77" s="31" t="inlineStr">
        <is>
          <t>Pure 2 Ch4</t>
        </is>
      </c>
      <c r="N77" s="37" t="inlineStr">
        <is>
          <t>Pages 8, 11</t>
        </is>
      </c>
      <c r="O77" s="38" t="inlineStr">
        <is>
          <t>none</t>
        </is>
      </c>
      <c r="P77" t="inlineStr">
        <is>
          <t>P4</t>
        </is>
      </c>
    </row>
    <row r="78" outlineLevel="1" ht="20" customHeight="1">
      <c r="A78" s="31" t="inlineStr">
        <is>
          <t>P4.2</t>
        </is>
      </c>
      <c r="B78" s="32" t="inlineStr">
        <is>
          <t>Recurrence relations uₙ₊₁ = f(uₙ)</t>
        </is>
      </c>
      <c r="C78" s="39" t="n">
        <v>2</v>
      </c>
      <c r="D78" s="34" t="n"/>
      <c r="E78" s="35" t="n"/>
      <c r="F78" s="36" t="inlineStr">
        <is>
          <t>▶ Watch</t>
        </is>
      </c>
      <c r="G78" s="36" t="inlineStr">
        <is>
          <t>Q 14–18, 29</t>
        </is>
      </c>
      <c r="H78" s="36" t="inlineStr">
        <is>
          <t>Answers</t>
        </is>
      </c>
      <c r="I78" s="35" t="inlineStr">
        <is>
          <t>Sequences and Series (Yr 2)</t>
        </is>
      </c>
      <c r="J78" s="36" t="inlineStr">
        <is>
          <t>Pages 1, 5</t>
        </is>
      </c>
      <c r="K78" s="36" t="inlineStr">
        <is>
          <t>Marks</t>
        </is>
      </c>
      <c r="L78" s="36" t="inlineStr">
        <is>
          <t>Answers</t>
        </is>
      </c>
      <c r="M78" s="31" t="inlineStr">
        <is>
          <t>Pure 2 Ch3</t>
        </is>
      </c>
      <c r="N78" s="37" t="inlineStr">
        <is>
          <t>Pages 5, 9, 10, 12</t>
        </is>
      </c>
      <c r="O78" s="37" t="inlineStr">
        <is>
          <t>Marks</t>
        </is>
      </c>
      <c r="P78" t="inlineStr">
        <is>
          <t>P4</t>
        </is>
      </c>
    </row>
    <row r="79" outlineLevel="1" ht="20" customHeight="1">
      <c r="A79" s="31" t="inlineStr">
        <is>
          <t>P4.2</t>
        </is>
      </c>
      <c r="B79" s="32" t="inlineStr">
        <is>
          <t>Increasing, decreasing and periodic sequences</t>
        </is>
      </c>
      <c r="C79" s="39" t="n">
        <v>2</v>
      </c>
      <c r="D79" s="34" t="n"/>
      <c r="E79" s="35" t="n"/>
      <c r="F79" s="36" t="inlineStr">
        <is>
          <t>▶ Watch</t>
        </is>
      </c>
      <c r="G79" s="36" t="inlineStr">
        <is>
          <t>Q 20, 24</t>
        </is>
      </c>
      <c r="H79" s="36" t="inlineStr">
        <is>
          <t>Answers</t>
        </is>
      </c>
      <c r="I79" s="35" t="inlineStr">
        <is>
          <t>Sequences and Series (Yr 2)</t>
        </is>
      </c>
      <c r="J79" s="36" t="inlineStr">
        <is>
          <t>Pages 4, 5</t>
        </is>
      </c>
      <c r="K79" s="36" t="inlineStr">
        <is>
          <t>Marks</t>
        </is>
      </c>
      <c r="L79" s="36" t="inlineStr">
        <is>
          <t>Answers</t>
        </is>
      </c>
      <c r="M79" s="31" t="inlineStr">
        <is>
          <t>Pure 2 Ch3</t>
        </is>
      </c>
      <c r="N79" s="37" t="inlineStr">
        <is>
          <t>Pages 1, 3, 5, 11</t>
        </is>
      </c>
      <c r="O79" s="37" t="inlineStr">
        <is>
          <t>Marks</t>
        </is>
      </c>
      <c r="P79" t="inlineStr">
        <is>
          <t>P4</t>
        </is>
      </c>
    </row>
    <row r="80" outlineLevel="1" ht="32" customHeight="1">
      <c r="A80" s="31" t="inlineStr">
        <is>
          <t>P4.3</t>
        </is>
      </c>
      <c r="B80" s="32" t="inlineStr">
        <is>
          <t>Sigma notation</t>
        </is>
      </c>
      <c r="C80" s="39" t="n">
        <v>2</v>
      </c>
      <c r="D80" s="34" t="n"/>
      <c r="E80" s="35" t="n"/>
      <c r="F80" s="36" t="inlineStr">
        <is>
          <t>▶ Watch</t>
        </is>
      </c>
      <c r="G80" s="36" t="inlineStr">
        <is>
          <t>Q 15, 20, 22, 24, 28, 30, 31, 35</t>
        </is>
      </c>
      <c r="H80" s="36" t="inlineStr">
        <is>
          <t>Answers</t>
        </is>
      </c>
      <c r="I80" s="35" t="inlineStr">
        <is>
          <t>Sequences and Series (Yr 2)</t>
        </is>
      </c>
      <c r="J80" s="36" t="inlineStr">
        <is>
          <t>Pages 2, 4, 5</t>
        </is>
      </c>
      <c r="K80" s="36" t="inlineStr">
        <is>
          <t>Marks</t>
        </is>
      </c>
      <c r="L80" s="36" t="inlineStr">
        <is>
          <t>Answers</t>
        </is>
      </c>
      <c r="M80" s="31" t="inlineStr">
        <is>
          <t>Pure 2 Ch3</t>
        </is>
      </c>
      <c r="N80" s="37" t="inlineStr">
        <is>
          <t>Pages 1, 2, 7, 9–12</t>
        </is>
      </c>
      <c r="O80" s="37" t="inlineStr">
        <is>
          <t>Marks</t>
        </is>
      </c>
      <c r="P80" t="inlineStr">
        <is>
          <t>P4</t>
        </is>
      </c>
    </row>
    <row r="81" outlineLevel="1" ht="20" customHeight="1">
      <c r="A81" s="31" t="inlineStr">
        <is>
          <t>P4.4</t>
        </is>
      </c>
      <c r="B81" s="32" t="inlineStr">
        <is>
          <t>Arithmetic sequences</t>
        </is>
      </c>
      <c r="C81" s="39" t="n">
        <v>2</v>
      </c>
      <c r="D81" s="34" t="n"/>
      <c r="E81" s="35" t="n"/>
      <c r="F81" s="36" t="inlineStr">
        <is>
          <t>▶ Watch</t>
        </is>
      </c>
      <c r="G81" s="36" t="inlineStr">
        <is>
          <t>Q 2, 4–6, 34, 36</t>
        </is>
      </c>
      <c r="H81" s="36" t="inlineStr">
        <is>
          <t>Answers</t>
        </is>
      </c>
      <c r="I81" s="35" t="inlineStr">
        <is>
          <t>Arithmetic Sequences (Yr 2)</t>
        </is>
      </c>
      <c r="J81" s="36" t="inlineStr">
        <is>
          <t>Page 1</t>
        </is>
      </c>
      <c r="K81" s="36" t="inlineStr">
        <is>
          <t>Marks</t>
        </is>
      </c>
      <c r="L81" s="36" t="inlineStr">
        <is>
          <t>Answers</t>
        </is>
      </c>
      <c r="M81" s="31" t="inlineStr">
        <is>
          <t>Pure 2 Ch3</t>
        </is>
      </c>
      <c r="N81" s="37" t="inlineStr">
        <is>
          <t>Pages 4, 7, 11</t>
        </is>
      </c>
      <c r="O81" s="37" t="inlineStr">
        <is>
          <t>Marks</t>
        </is>
      </c>
      <c r="P81" t="inlineStr">
        <is>
          <t>P4</t>
        </is>
      </c>
    </row>
    <row r="82" outlineLevel="1" ht="32" customHeight="1">
      <c r="A82" s="31" t="inlineStr">
        <is>
          <t>P4.4</t>
        </is>
      </c>
      <c r="B82" s="32" t="inlineStr">
        <is>
          <t>Arithmetic series (incl. proof of the sum formula)</t>
        </is>
      </c>
      <c r="C82" s="39" t="n">
        <v>2</v>
      </c>
      <c r="D82" s="34" t="n"/>
      <c r="E82" s="35" t="n"/>
      <c r="F82" s="36" t="inlineStr">
        <is>
          <t>▶ Watch</t>
        </is>
      </c>
      <c r="G82" s="36" t="inlineStr">
        <is>
          <t>Q 1, 3–5, 7, 26, 27, 36</t>
        </is>
      </c>
      <c r="H82" s="36" t="inlineStr">
        <is>
          <t>Answers</t>
        </is>
      </c>
      <c r="I82" s="35" t="inlineStr">
        <is>
          <t>Arithmetic Sequences (Yr 2)</t>
        </is>
      </c>
      <c r="J82" s="36" t="inlineStr">
        <is>
          <t>Pages 1, 2, 4</t>
        </is>
      </c>
      <c r="K82" s="36" t="inlineStr">
        <is>
          <t>Marks</t>
        </is>
      </c>
      <c r="L82" s="36" t="inlineStr">
        <is>
          <t>Answers</t>
        </is>
      </c>
      <c r="M82" s="31" t="inlineStr">
        <is>
          <t>Pure 2 Ch3</t>
        </is>
      </c>
      <c r="N82" s="37" t="inlineStr">
        <is>
          <t>Pages 6, 8, 11, 13</t>
        </is>
      </c>
      <c r="O82" s="37" t="inlineStr">
        <is>
          <t>Marks</t>
        </is>
      </c>
      <c r="P82" t="inlineStr">
        <is>
          <t>P4</t>
        </is>
      </c>
    </row>
    <row r="83" outlineLevel="1" ht="32" customHeight="1">
      <c r="A83" s="31" t="inlineStr">
        <is>
          <t>P4.5</t>
        </is>
      </c>
      <c r="B83" s="32" t="inlineStr">
        <is>
          <t>Geometric sequences</t>
        </is>
      </c>
      <c r="C83" s="39" t="n">
        <v>2</v>
      </c>
      <c r="D83" s="34" t="n"/>
      <c r="E83" s="35" t="n"/>
      <c r="F83" s="36" t="inlineStr">
        <is>
          <t>▶ Watch</t>
        </is>
      </c>
      <c r="G83" s="36" t="inlineStr">
        <is>
          <t>Q 9, 10, 12, 13, 21, 32, 33</t>
        </is>
      </c>
      <c r="H83" s="36" t="inlineStr">
        <is>
          <t>Answers</t>
        </is>
      </c>
      <c r="I83" s="35" t="inlineStr">
        <is>
          <t>Geometric Series (Yr 2)</t>
        </is>
      </c>
      <c r="J83" s="36" t="inlineStr">
        <is>
          <t>Pages 1, 3, 4</t>
        </is>
      </c>
      <c r="K83" s="36" t="inlineStr">
        <is>
          <t>Marks</t>
        </is>
      </c>
      <c r="L83" s="36" t="inlineStr">
        <is>
          <t>Answers</t>
        </is>
      </c>
      <c r="M83" s="31" t="inlineStr">
        <is>
          <t>Pure 2 Ch3</t>
        </is>
      </c>
      <c r="N83" s="37" t="inlineStr">
        <is>
          <t>Pages 12, 14, 17</t>
        </is>
      </c>
      <c r="O83" s="37" t="inlineStr">
        <is>
          <t>Marks</t>
        </is>
      </c>
      <c r="P83" t="inlineStr">
        <is>
          <t>P4</t>
        </is>
      </c>
    </row>
    <row r="84" outlineLevel="1" ht="32" customHeight="1">
      <c r="A84" s="31" t="inlineStr">
        <is>
          <t>P4.5</t>
        </is>
      </c>
      <c r="B84" s="32" t="inlineStr">
        <is>
          <t>Geometric series (incl. proof of the sum formula, using logs to find n)</t>
        </is>
      </c>
      <c r="C84" s="39" t="n">
        <v>2</v>
      </c>
      <c r="D84" s="34" t="n"/>
      <c r="E84" s="35" t="n"/>
      <c r="F84" s="36" t="inlineStr">
        <is>
          <t>▶ Watch</t>
        </is>
      </c>
      <c r="G84" s="36" t="inlineStr">
        <is>
          <t>Q 8–11, 13, 21, 33, 35</t>
        </is>
      </c>
      <c r="H84" s="36" t="inlineStr">
        <is>
          <t>Answers</t>
        </is>
      </c>
      <c r="I84" s="35" t="inlineStr">
        <is>
          <t>Geometric Series (Yr 2)</t>
        </is>
      </c>
      <c r="J84" s="36" t="inlineStr">
        <is>
          <t>Page 1</t>
        </is>
      </c>
      <c r="K84" s="36" t="inlineStr">
        <is>
          <t>Marks</t>
        </is>
      </c>
      <c r="L84" s="36" t="inlineStr">
        <is>
          <t>Answers</t>
        </is>
      </c>
      <c r="M84" s="31" t="inlineStr">
        <is>
          <t>Pure 2 Ch3</t>
        </is>
      </c>
      <c r="N84" s="37" t="inlineStr">
        <is>
          <t>Pages 4, 12, 14–17</t>
        </is>
      </c>
      <c r="O84" s="37" t="inlineStr">
        <is>
          <t>Marks</t>
        </is>
      </c>
      <c r="P84" t="inlineStr">
        <is>
          <t>P4</t>
        </is>
      </c>
    </row>
    <row r="85" outlineLevel="1" ht="20" customHeight="1">
      <c r="A85" s="31" t="inlineStr">
        <is>
          <t>P4.5</t>
        </is>
      </c>
      <c r="B85" s="32" t="inlineStr">
        <is>
          <t>Sum to infinity and convergence (|r| &lt; 1)</t>
        </is>
      </c>
      <c r="C85" s="39" t="n">
        <v>2</v>
      </c>
      <c r="D85" s="34" t="n"/>
      <c r="E85" s="35" t="n"/>
      <c r="F85" s="36" t="inlineStr">
        <is>
          <t>▶ Watch</t>
        </is>
      </c>
      <c r="G85" s="36" t="inlineStr">
        <is>
          <t>Q 10–12, 22, 32, 38</t>
        </is>
      </c>
      <c r="H85" s="36" t="inlineStr">
        <is>
          <t>Answers</t>
        </is>
      </c>
      <c r="I85" s="35" t="inlineStr">
        <is>
          <t>Geometric Series (Yr 2)</t>
        </is>
      </c>
      <c r="J85" s="36" t="inlineStr">
        <is>
          <t>Pages 2–4</t>
        </is>
      </c>
      <c r="K85" s="36" t="inlineStr">
        <is>
          <t>Marks</t>
        </is>
      </c>
      <c r="L85" s="36" t="inlineStr">
        <is>
          <t>Answers</t>
        </is>
      </c>
      <c r="M85" s="31" t="inlineStr">
        <is>
          <t>Pure 2 Ch3</t>
        </is>
      </c>
      <c r="N85" s="37" t="inlineStr">
        <is>
          <t>Pages 2, 12, 15, 16</t>
        </is>
      </c>
      <c r="O85" s="37" t="inlineStr">
        <is>
          <t>Marks</t>
        </is>
      </c>
      <c r="P85" t="inlineStr">
        <is>
          <t>P4</t>
        </is>
      </c>
    </row>
    <row r="86" outlineLevel="1" ht="32" customHeight="1">
      <c r="A86" s="31" t="inlineStr">
        <is>
          <t>P4.6</t>
        </is>
      </c>
      <c r="B86" s="32" t="inlineStr">
        <is>
          <t>Modelling with sequences and series</t>
        </is>
      </c>
      <c r="C86" s="39" t="n">
        <v>2</v>
      </c>
      <c r="D86" s="34" t="n"/>
      <c r="E86" s="35" t="n"/>
      <c r="F86" s="36" t="inlineStr">
        <is>
          <t>▶ Watch</t>
        </is>
      </c>
      <c r="G86" s="36" t="inlineStr">
        <is>
          <t>Q 4, 6, 7, 13, 21, 23, 33, 34</t>
        </is>
      </c>
      <c r="H86" s="36" t="inlineStr">
        <is>
          <t>Answers</t>
        </is>
      </c>
      <c r="I86" s="35" t="inlineStr">
        <is>
          <t>Geometric Series (Yr 2)</t>
        </is>
      </c>
      <c r="J86" s="36" t="inlineStr">
        <is>
          <t>Page 1</t>
        </is>
      </c>
      <c r="K86" s="36" t="inlineStr">
        <is>
          <t>Marks</t>
        </is>
      </c>
      <c r="L86" s="36" t="inlineStr">
        <is>
          <t>Answers</t>
        </is>
      </c>
      <c r="M86" s="31" t="inlineStr">
        <is>
          <t>Pure 2 Ch3</t>
        </is>
      </c>
      <c r="N86" s="37" t="inlineStr">
        <is>
          <t>Pages 3–7, 9, 10, 12</t>
        </is>
      </c>
      <c r="O86" s="37" t="inlineStr">
        <is>
          <t>Marks</t>
        </is>
      </c>
      <c r="P86" t="inlineStr">
        <is>
          <t>P4</t>
        </is>
      </c>
    </row>
    <row r="87" ht="10" customHeight="1"/>
    <row r="88" ht="26" customHeight="1">
      <c r="A88" s="27" t="inlineStr">
        <is>
          <t>5</t>
        </is>
      </c>
      <c r="B88" s="28" t="inlineStr">
        <is>
          <t>Trigonometry</t>
        </is>
      </c>
      <c r="C88" s="29" t="n"/>
      <c r="D88" s="29" t="n"/>
      <c r="E88" s="30" t="inlineStr">
        <is>
          <t>25 topics  ·  Year 1: 10  ·  Year 2: 15</t>
        </is>
      </c>
      <c r="F88" s="29" t="n"/>
      <c r="G88" s="29" t="n"/>
      <c r="H88" s="29" t="n"/>
      <c r="I88" s="29" t="n"/>
      <c r="J88" s="29" t="n"/>
      <c r="K88" s="29" t="n"/>
      <c r="L88" s="29" t="n"/>
      <c r="M88" s="29" t="n"/>
      <c r="N88" s="29" t="n"/>
      <c r="O88" s="29" t="n"/>
    </row>
    <row r="89" outlineLevel="1" ht="32" customHeight="1">
      <c r="A89" s="31" t="inlineStr">
        <is>
          <t>P5.1</t>
        </is>
      </c>
      <c r="B89" s="32" t="inlineStr">
        <is>
          <t>The cosine rule</t>
        </is>
      </c>
      <c r="C89" s="33" t="n">
        <v>1</v>
      </c>
      <c r="D89" s="34" t="n"/>
      <c r="E89" s="35" t="n"/>
      <c r="F89" s="36" t="inlineStr">
        <is>
          <t>▶ Watch</t>
        </is>
      </c>
      <c r="G89" s="36" t="inlineStr">
        <is>
          <t>Q 1–3, 6, 7, 10, 15, 19</t>
        </is>
      </c>
      <c r="H89" s="36" t="inlineStr">
        <is>
          <t>Answers</t>
        </is>
      </c>
      <c r="I89" s="35" t="inlineStr">
        <is>
          <t>Sine and Cosine Rule</t>
        </is>
      </c>
      <c r="J89" s="36" t="inlineStr">
        <is>
          <t>Pages 1–3</t>
        </is>
      </c>
      <c r="K89" s="36" t="inlineStr">
        <is>
          <t>Marks</t>
        </is>
      </c>
      <c r="L89" s="36" t="inlineStr">
        <is>
          <t>Answers</t>
        </is>
      </c>
      <c r="M89" s="31" t="inlineStr">
        <is>
          <t>Pure 1 Ch9</t>
        </is>
      </c>
      <c r="N89" s="37" t="inlineStr">
        <is>
          <t>Pages 1, 2, 6, 7</t>
        </is>
      </c>
      <c r="O89" s="37" t="inlineStr">
        <is>
          <t>Marks</t>
        </is>
      </c>
      <c r="P89" t="inlineStr">
        <is>
          <t>P5</t>
        </is>
      </c>
    </row>
    <row r="90" outlineLevel="1" ht="20" customHeight="1">
      <c r="A90" s="31" t="inlineStr">
        <is>
          <t>P5.1</t>
        </is>
      </c>
      <c r="B90" s="32" t="inlineStr">
        <is>
          <t>The sine rule (incl. the ambiguous case)</t>
        </is>
      </c>
      <c r="C90" s="33" t="n">
        <v>1</v>
      </c>
      <c r="D90" s="34" t="n"/>
      <c r="E90" s="35" t="n"/>
      <c r="F90" s="36" t="inlineStr">
        <is>
          <t>▶ Watch</t>
        </is>
      </c>
      <c r="G90" s="36" t="inlineStr">
        <is>
          <t>Q 3, 5, 9, 11, 16</t>
        </is>
      </c>
      <c r="H90" s="36" t="inlineStr">
        <is>
          <t>Answers</t>
        </is>
      </c>
      <c r="I90" s="35" t="inlineStr">
        <is>
          <t>Sine and Cosine Rule</t>
        </is>
      </c>
      <c r="J90" s="36" t="inlineStr">
        <is>
          <t>Page 2</t>
        </is>
      </c>
      <c r="K90" s="36" t="inlineStr">
        <is>
          <t>Marks</t>
        </is>
      </c>
      <c r="L90" s="36" t="inlineStr">
        <is>
          <t>Answers</t>
        </is>
      </c>
      <c r="M90" s="31" t="inlineStr">
        <is>
          <t>Pure 1 Ch9</t>
        </is>
      </c>
      <c r="N90" s="37" t="inlineStr">
        <is>
          <t>Pages 3–5, 7</t>
        </is>
      </c>
      <c r="O90" s="37" t="inlineStr">
        <is>
          <t>Marks</t>
        </is>
      </c>
      <c r="P90" t="inlineStr">
        <is>
          <t>P5</t>
        </is>
      </c>
    </row>
    <row r="91" outlineLevel="1" ht="32" customHeight="1">
      <c r="A91" s="31" t="inlineStr">
        <is>
          <t>P5.1</t>
        </is>
      </c>
      <c r="B91" s="32" t="inlineStr">
        <is>
          <t>Area of a triangle ½ab sin C</t>
        </is>
      </c>
      <c r="C91" s="33" t="n">
        <v>1</v>
      </c>
      <c r="D91" s="34" t="n"/>
      <c r="E91" s="35" t="n"/>
      <c r="F91" s="36" t="inlineStr">
        <is>
          <t>▶ Watch</t>
        </is>
      </c>
      <c r="G91" s="36" t="inlineStr">
        <is>
          <t>Q 1, 2, 4, 7, 8, 11, 12, 20</t>
        </is>
      </c>
      <c r="H91" s="36" t="inlineStr">
        <is>
          <t>Answers</t>
        </is>
      </c>
      <c r="I91" s="35" t="inlineStr">
        <is>
          <t>Sine and Cosine Rule</t>
        </is>
      </c>
      <c r="J91" s="36" t="inlineStr">
        <is>
          <t>Page 1</t>
        </is>
      </c>
      <c r="K91" s="36" t="inlineStr">
        <is>
          <t>Marks</t>
        </is>
      </c>
      <c r="L91" s="36" t="inlineStr">
        <is>
          <t>Answers</t>
        </is>
      </c>
      <c r="M91" s="31" t="inlineStr">
        <is>
          <t>Pure 1 Ch9</t>
        </is>
      </c>
      <c r="N91" s="37" t="inlineStr">
        <is>
          <t>Pages 1, 2, 4, 6</t>
        </is>
      </c>
      <c r="O91" s="37" t="inlineStr">
        <is>
          <t>Marks</t>
        </is>
      </c>
      <c r="P91" t="inlineStr">
        <is>
          <t>P5</t>
        </is>
      </c>
    </row>
    <row r="92" outlineLevel="1" ht="20" customHeight="1">
      <c r="A92" s="31" t="inlineStr">
        <is>
          <t>P5.1</t>
        </is>
      </c>
      <c r="B92" s="32" t="inlineStr">
        <is>
          <t>Solving triangle problems (bearings, multi-step)</t>
        </is>
      </c>
      <c r="C92" s="33" t="n">
        <v>1</v>
      </c>
      <c r="D92" s="34" t="n"/>
      <c r="E92" s="35" t="n"/>
      <c r="F92" s="36" t="inlineStr">
        <is>
          <t>▶ Watch</t>
        </is>
      </c>
      <c r="G92" s="36" t="inlineStr">
        <is>
          <t>Q 3, 4, 9, 10, 15–17</t>
        </is>
      </c>
      <c r="H92" s="36" t="inlineStr">
        <is>
          <t>Answers</t>
        </is>
      </c>
      <c r="I92" s="35" t="inlineStr">
        <is>
          <t>Sine and Cosine Rule</t>
        </is>
      </c>
      <c r="J92" s="36" t="inlineStr">
        <is>
          <t>Pages 1–3</t>
        </is>
      </c>
      <c r="K92" s="36" t="inlineStr">
        <is>
          <t>Marks</t>
        </is>
      </c>
      <c r="L92" s="36" t="inlineStr">
        <is>
          <t>Answers</t>
        </is>
      </c>
      <c r="M92" s="31" t="inlineStr">
        <is>
          <t>Pure 1 Ch9</t>
        </is>
      </c>
      <c r="N92" s="37" t="inlineStr">
        <is>
          <t>Pages 3, 4, 7</t>
        </is>
      </c>
      <c r="O92" s="37" t="inlineStr">
        <is>
          <t>Marks</t>
        </is>
      </c>
      <c r="P92" t="inlineStr">
        <is>
          <t>P5</t>
        </is>
      </c>
    </row>
    <row r="93" outlineLevel="1" ht="32" customHeight="1">
      <c r="A93" s="31" t="inlineStr">
        <is>
          <t>P5.1</t>
        </is>
      </c>
      <c r="B93" s="32" t="inlineStr">
        <is>
          <t>Trig ratios for any angle (unit circle, all four quadrants)</t>
        </is>
      </c>
      <c r="C93" s="33" t="n">
        <v>1</v>
      </c>
      <c r="D93" s="34" t="n"/>
      <c r="E93" s="35" t="n"/>
      <c r="F93" s="36" t="inlineStr">
        <is>
          <t>▶ Watch</t>
        </is>
      </c>
      <c r="G93" s="36" t="inlineStr">
        <is>
          <t>Q 21</t>
        </is>
      </c>
      <c r="H93" s="36" t="inlineStr">
        <is>
          <t>Answers</t>
        </is>
      </c>
      <c r="I93" s="35" t="inlineStr">
        <is>
          <t>Solomon: Trigonometric ratios and graphs</t>
        </is>
      </c>
      <c r="J93" s="36" t="inlineStr">
        <is>
          <t>Q 2</t>
        </is>
      </c>
      <c r="K93" s="38" t="inlineStr">
        <is>
          <t>none</t>
        </is>
      </c>
      <c r="L93" s="36" t="inlineStr">
        <is>
          <t>Answers</t>
        </is>
      </c>
      <c r="M93" s="31" t="inlineStr">
        <is>
          <t>Pure 1 Ch10</t>
        </is>
      </c>
      <c r="N93" s="38" t="inlineStr">
        <is>
          <t>none</t>
        </is>
      </c>
      <c r="O93" s="40" t="n"/>
      <c r="P93" t="inlineStr">
        <is>
          <t>P5</t>
        </is>
      </c>
    </row>
    <row r="94" outlineLevel="1" ht="32" customHeight="1">
      <c r="A94" s="31" t="inlineStr">
        <is>
          <t>P5.1</t>
        </is>
      </c>
      <c r="B94" s="32" t="inlineStr">
        <is>
          <t>Radian measure</t>
        </is>
      </c>
      <c r="C94" s="39" t="n">
        <v>2</v>
      </c>
      <c r="D94" s="34" t="n"/>
      <c r="E94" s="35" t="n"/>
      <c r="F94" s="36" t="inlineStr">
        <is>
          <t>▶ Watch</t>
        </is>
      </c>
      <c r="G94" s="36" t="inlineStr">
        <is>
          <t>Q 10</t>
        </is>
      </c>
      <c r="H94" s="36" t="inlineStr">
        <is>
          <t>Answers</t>
        </is>
      </c>
      <c r="I94" s="35" t="inlineStr">
        <is>
          <t>Solomon: Radians, arcs and sectors (Yr 2)</t>
        </is>
      </c>
      <c r="J94" s="36" t="inlineStr">
        <is>
          <t>Q 1–4</t>
        </is>
      </c>
      <c r="K94" s="38" t="inlineStr">
        <is>
          <t>none</t>
        </is>
      </c>
      <c r="L94" s="36" t="inlineStr">
        <is>
          <t>Answers</t>
        </is>
      </c>
      <c r="M94" s="31" t="inlineStr">
        <is>
          <t>Pure 2 Ch5</t>
        </is>
      </c>
      <c r="N94" s="37" t="inlineStr">
        <is>
          <t>Page 2</t>
        </is>
      </c>
      <c r="O94" s="37" t="inlineStr">
        <is>
          <t>Marks</t>
        </is>
      </c>
      <c r="P94" t="inlineStr">
        <is>
          <t>P5</t>
        </is>
      </c>
    </row>
    <row r="95" outlineLevel="1" ht="32" customHeight="1">
      <c r="A95" s="31" t="inlineStr">
        <is>
          <t>P5.1</t>
        </is>
      </c>
      <c r="B95" s="32" t="inlineStr">
        <is>
          <t>Arc length and sector area</t>
        </is>
      </c>
      <c r="C95" s="39" t="n">
        <v>2</v>
      </c>
      <c r="D95" s="34" t="n"/>
      <c r="E95" s="35" t="n"/>
      <c r="F95" s="36" t="inlineStr">
        <is>
          <t>▶ Watch</t>
        </is>
      </c>
      <c r="G95" s="36" t="inlineStr">
        <is>
          <t>Q 5–8, 10, 12, 17, 18</t>
        </is>
      </c>
      <c r="H95" s="36" t="inlineStr">
        <is>
          <t>Answers</t>
        </is>
      </c>
      <c r="I95" s="35" t="inlineStr">
        <is>
          <t>Arc Length and Sector Area (Yr 2)</t>
        </is>
      </c>
      <c r="J95" s="36" t="inlineStr">
        <is>
          <t>Pages 1–3</t>
        </is>
      </c>
      <c r="K95" s="36" t="inlineStr">
        <is>
          <t>Marks</t>
        </is>
      </c>
      <c r="L95" s="36" t="inlineStr">
        <is>
          <t>Answers</t>
        </is>
      </c>
      <c r="M95" s="31" t="inlineStr">
        <is>
          <t>Pure 2 Ch5</t>
        </is>
      </c>
      <c r="N95" s="37" t="inlineStr">
        <is>
          <t>Pages 1, 3–6, 8, 10, 12</t>
        </is>
      </c>
      <c r="O95" s="37" t="inlineStr">
        <is>
          <t>Marks</t>
        </is>
      </c>
      <c r="P95" t="inlineStr">
        <is>
          <t>P5</t>
        </is>
      </c>
    </row>
    <row r="96" outlineLevel="1" ht="32" customHeight="1">
      <c r="A96" s="31" t="inlineStr">
        <is>
          <t>P5.1</t>
        </is>
      </c>
      <c r="B96" s="32" t="inlineStr">
        <is>
          <t>Areas of segments</t>
        </is>
      </c>
      <c r="C96" s="39" t="n">
        <v>2</v>
      </c>
      <c r="D96" s="34" t="n"/>
      <c r="E96" s="35" t="n"/>
      <c r="F96" s="36" t="inlineStr">
        <is>
          <t>▶ Watch</t>
        </is>
      </c>
      <c r="G96" s="36" t="inlineStr">
        <is>
          <t>Q 6, 13</t>
        </is>
      </c>
      <c r="H96" s="36" t="inlineStr">
        <is>
          <t>Answers</t>
        </is>
      </c>
      <c r="I96" s="35" t="inlineStr">
        <is>
          <t>Set A: Arc length and Sector area (Yr 2)</t>
        </is>
      </c>
      <c r="J96" s="36" t="inlineStr">
        <is>
          <t>Pages 7, 10, 16, 18</t>
        </is>
      </c>
      <c r="K96" s="38" t="inlineStr">
        <is>
          <t>in the PDF</t>
        </is>
      </c>
      <c r="L96" s="38" t="inlineStr">
        <is>
          <t>in the PDF</t>
        </is>
      </c>
      <c r="M96" s="31" t="inlineStr">
        <is>
          <t>Pure 2 Ch5</t>
        </is>
      </c>
      <c r="N96" s="37" t="inlineStr">
        <is>
          <t>Pages 7, 9</t>
        </is>
      </c>
      <c r="O96" s="37" t="inlineStr">
        <is>
          <t>Marks</t>
        </is>
      </c>
      <c r="P96" t="inlineStr">
        <is>
          <t>P5</t>
        </is>
      </c>
    </row>
    <row r="97" outlineLevel="1" ht="32" customHeight="1">
      <c r="A97" s="31" t="inlineStr">
        <is>
          <t>P5.2</t>
        </is>
      </c>
      <c r="B97" s="32" t="inlineStr">
        <is>
          <t>Small angle approximations</t>
        </is>
      </c>
      <c r="C97" s="39" t="n">
        <v>2</v>
      </c>
      <c r="D97" s="34" t="n"/>
      <c r="E97" s="35" t="n"/>
      <c r="F97" s="36" t="inlineStr">
        <is>
          <t>▶ Watch</t>
        </is>
      </c>
      <c r="G97" s="36" t="inlineStr">
        <is>
          <t>Q 1–4, 9, 11, 14, 15</t>
        </is>
      </c>
      <c r="H97" s="36" t="inlineStr">
        <is>
          <t>Answers</t>
        </is>
      </c>
      <c r="I97" s="35" t="inlineStr">
        <is>
          <t>Small Angle Approximation (Yr 2)</t>
        </is>
      </c>
      <c r="J97" s="36" t="inlineStr">
        <is>
          <t>Pages 1, 2</t>
        </is>
      </c>
      <c r="K97" s="36" t="inlineStr">
        <is>
          <t>Marks</t>
        </is>
      </c>
      <c r="L97" s="36" t="inlineStr">
        <is>
          <t>Answers</t>
        </is>
      </c>
      <c r="M97" s="31" t="inlineStr">
        <is>
          <t>Pure 2 Ch5</t>
        </is>
      </c>
      <c r="N97" s="37" t="inlineStr">
        <is>
          <t>Pages 20, 21</t>
        </is>
      </c>
      <c r="O97" s="37" t="inlineStr">
        <is>
          <t>Marks</t>
        </is>
      </c>
      <c r="P97" t="inlineStr">
        <is>
          <t>P5</t>
        </is>
      </c>
    </row>
    <row r="98" outlineLevel="1" ht="20" customHeight="1">
      <c r="A98" s="31" t="inlineStr">
        <is>
          <t>P5.3</t>
        </is>
      </c>
      <c r="B98" s="32" t="inlineStr">
        <is>
          <t>Graphs of sin, cos and tan (symmetry and periodicity)</t>
        </is>
      </c>
      <c r="C98" s="33" t="n">
        <v>1</v>
      </c>
      <c r="D98" s="34" t="n"/>
      <c r="E98" s="35" t="n"/>
      <c r="F98" s="36" t="inlineStr">
        <is>
          <t>▶ Watch</t>
        </is>
      </c>
      <c r="G98" s="36" t="inlineStr">
        <is>
          <t>Q 28</t>
        </is>
      </c>
      <c r="H98" s="36" t="inlineStr">
        <is>
          <t>Answers</t>
        </is>
      </c>
      <c r="I98" s="35" t="inlineStr">
        <is>
          <t>Trigonometric Identities</t>
        </is>
      </c>
      <c r="J98" s="36" t="inlineStr">
        <is>
          <t>Page 2</t>
        </is>
      </c>
      <c r="K98" s="36" t="inlineStr">
        <is>
          <t>Marks</t>
        </is>
      </c>
      <c r="L98" s="36" t="inlineStr">
        <is>
          <t>Answers</t>
        </is>
      </c>
      <c r="M98" s="31" t="inlineStr">
        <is>
          <t>Pure 1 Ch9</t>
        </is>
      </c>
      <c r="N98" s="38" t="inlineStr">
        <is>
          <t>none</t>
        </is>
      </c>
      <c r="O98" s="40" t="n"/>
      <c r="P98" t="inlineStr">
        <is>
          <t>P5</t>
        </is>
      </c>
    </row>
    <row r="99" outlineLevel="1" ht="32" customHeight="1">
      <c r="A99" s="31" t="inlineStr">
        <is>
          <t>P5.3</t>
        </is>
      </c>
      <c r="B99" s="32" t="inlineStr">
        <is>
          <t>Transforming trig graphs</t>
        </is>
      </c>
      <c r="C99" s="33" t="n">
        <v>1</v>
      </c>
      <c r="D99" s="34" t="n"/>
      <c r="E99" s="35" t="n"/>
      <c r="F99" s="36" t="inlineStr">
        <is>
          <t>▶ Watch</t>
        </is>
      </c>
      <c r="G99" s="36" t="inlineStr">
        <is>
          <t>Q 13, 14</t>
        </is>
      </c>
      <c r="H99" s="36" t="inlineStr">
        <is>
          <t>Answers</t>
        </is>
      </c>
      <c r="I99" s="35" t="inlineStr">
        <is>
          <t>Solomon: Trigonometric ratios and graphs</t>
        </is>
      </c>
      <c r="J99" s="36" t="inlineStr">
        <is>
          <t>Q 7–12</t>
        </is>
      </c>
      <c r="K99" s="38" t="inlineStr">
        <is>
          <t>none</t>
        </is>
      </c>
      <c r="L99" s="36" t="inlineStr">
        <is>
          <t>Answers</t>
        </is>
      </c>
      <c r="M99" s="31" t="inlineStr">
        <is>
          <t>Pure 1 Ch9</t>
        </is>
      </c>
      <c r="N99" s="37" t="inlineStr">
        <is>
          <t>Pages 3, 11</t>
        </is>
      </c>
      <c r="O99" s="37" t="inlineStr">
        <is>
          <t>Marks</t>
        </is>
      </c>
      <c r="P99" t="inlineStr">
        <is>
          <t>P5</t>
        </is>
      </c>
    </row>
    <row r="100" outlineLevel="1" ht="32" customHeight="1">
      <c r="A100" s="31" t="inlineStr">
        <is>
          <t>P5.3</t>
        </is>
      </c>
      <c r="B100" s="32" t="inlineStr">
        <is>
          <t>Exact values of sin, cos and tan (degrees and radians)</t>
        </is>
      </c>
      <c r="C100" s="39" t="n">
        <v>2</v>
      </c>
      <c r="D100" s="34" t="n"/>
      <c r="E100" s="35" t="n"/>
      <c r="F100" s="36" t="inlineStr">
        <is>
          <t>▶ Watch</t>
        </is>
      </c>
      <c r="G100" s="38" t="inlineStr">
        <is>
          <t>none on this topic</t>
        </is>
      </c>
      <c r="H100" s="41" t="n"/>
      <c r="I100" s="35" t="inlineStr">
        <is>
          <t>Solomon: Trigonometric ratios and graphs</t>
        </is>
      </c>
      <c r="J100" s="36" t="inlineStr">
        <is>
          <t>Q 2, 4</t>
        </is>
      </c>
      <c r="K100" s="38" t="inlineStr">
        <is>
          <t>none</t>
        </is>
      </c>
      <c r="L100" s="36" t="inlineStr">
        <is>
          <t>Answers</t>
        </is>
      </c>
      <c r="M100" s="31" t="inlineStr">
        <is>
          <t>Pure 1 Ch10</t>
        </is>
      </c>
      <c r="N100" s="38" t="inlineStr">
        <is>
          <t>none</t>
        </is>
      </c>
      <c r="O100" s="40" t="n"/>
      <c r="P100" t="inlineStr">
        <is>
          <t>P5</t>
        </is>
      </c>
    </row>
    <row r="101" outlineLevel="1" ht="32" customHeight="1">
      <c r="A101" s="31" t="inlineStr">
        <is>
          <t>P5.4</t>
        </is>
      </c>
      <c r="B101" s="32" t="inlineStr">
        <is>
          <t>Sec, cosec and cot: definitions and exact values</t>
        </is>
      </c>
      <c r="C101" s="39" t="n">
        <v>2</v>
      </c>
      <c r="D101" s="34" t="n"/>
      <c r="E101" s="35" t="n"/>
      <c r="F101" s="36" t="inlineStr">
        <is>
          <t>▶ Watch</t>
        </is>
      </c>
      <c r="G101" s="36" t="inlineStr">
        <is>
          <t>Q 2–4, 6, 7, 15</t>
        </is>
      </c>
      <c r="H101" s="36" t="inlineStr">
        <is>
          <t>Answers</t>
        </is>
      </c>
      <c r="I101" s="35" t="inlineStr">
        <is>
          <t>Solomon: Secant, cosecant and cotangent (Yr 2)</t>
        </is>
      </c>
      <c r="J101" s="36" t="inlineStr">
        <is>
          <t>Q 1–6, 15</t>
        </is>
      </c>
      <c r="K101" s="38" t="inlineStr">
        <is>
          <t>none</t>
        </is>
      </c>
      <c r="L101" s="36" t="inlineStr">
        <is>
          <t>Answers</t>
        </is>
      </c>
      <c r="M101" s="31" t="inlineStr">
        <is>
          <t>Pure 2 Ch6</t>
        </is>
      </c>
      <c r="N101" s="37" t="inlineStr">
        <is>
          <t>Page 6</t>
        </is>
      </c>
      <c r="O101" s="37" t="inlineStr">
        <is>
          <t>Marks</t>
        </is>
      </c>
      <c r="P101" t="inlineStr">
        <is>
          <t>P5</t>
        </is>
      </c>
    </row>
    <row r="102" outlineLevel="1" ht="32" customHeight="1">
      <c r="A102" s="31" t="inlineStr">
        <is>
          <t>P5.4</t>
        </is>
      </c>
      <c r="B102" s="32" t="inlineStr">
        <is>
          <t>Graphs of sec x, cosec x and cot x</t>
        </is>
      </c>
      <c r="C102" s="39" t="n">
        <v>2</v>
      </c>
      <c r="D102" s="34" t="n"/>
      <c r="E102" s="35" t="n"/>
      <c r="F102" s="36" t="inlineStr">
        <is>
          <t>▶ Watch</t>
        </is>
      </c>
      <c r="G102" s="36" t="inlineStr">
        <is>
          <t>Q 1</t>
        </is>
      </c>
      <c r="H102" s="36" t="inlineStr">
        <is>
          <t>Answers</t>
        </is>
      </c>
      <c r="I102" s="35" t="inlineStr">
        <is>
          <t>Solomon: Secant, cosecant and cotangent (Yr 2)</t>
        </is>
      </c>
      <c r="J102" s="36" t="inlineStr">
        <is>
          <t>Q 7–9</t>
        </is>
      </c>
      <c r="K102" s="38" t="inlineStr">
        <is>
          <t>none</t>
        </is>
      </c>
      <c r="L102" s="36" t="inlineStr">
        <is>
          <t>Answers</t>
        </is>
      </c>
      <c r="M102" s="31" t="inlineStr">
        <is>
          <t>Pure 2 Ch6</t>
        </is>
      </c>
      <c r="N102" s="38" t="inlineStr">
        <is>
          <t>none</t>
        </is>
      </c>
      <c r="O102" s="40" t="n"/>
      <c r="P102" t="inlineStr">
        <is>
          <t>P5</t>
        </is>
      </c>
    </row>
    <row r="103" outlineLevel="1" ht="32" customHeight="1">
      <c r="A103" s="31" t="inlineStr">
        <is>
          <t>P5.4</t>
        </is>
      </c>
      <c r="B103" s="32" t="inlineStr">
        <is>
          <t>Inverse trig functions: arcsin, arccos, arctan (domain, range, graphs)</t>
        </is>
      </c>
      <c r="C103" s="39" t="n">
        <v>2</v>
      </c>
      <c r="D103" s="34" t="n"/>
      <c r="E103" s="35" t="n"/>
      <c r="F103" s="36" t="inlineStr">
        <is>
          <t>▶ Watch</t>
        </is>
      </c>
      <c r="G103" s="36" t="inlineStr">
        <is>
          <t>Q 20</t>
        </is>
      </c>
      <c r="H103" s="36" t="inlineStr">
        <is>
          <t>Answers</t>
        </is>
      </c>
      <c r="I103" s="35" t="inlineStr">
        <is>
          <t>Solomon: Inverse trigonometric functions (Yr 2)</t>
        </is>
      </c>
      <c r="J103" s="36" t="inlineStr">
        <is>
          <t>Q 1–5, 7–9</t>
        </is>
      </c>
      <c r="K103" s="38" t="inlineStr">
        <is>
          <t>none</t>
        </is>
      </c>
      <c r="L103" s="36" t="inlineStr">
        <is>
          <t>Answers</t>
        </is>
      </c>
      <c r="M103" s="31" t="inlineStr">
        <is>
          <t>Pure 2 Ch6</t>
        </is>
      </c>
      <c r="N103" s="37" t="inlineStr">
        <is>
          <t>Page 18</t>
        </is>
      </c>
      <c r="O103" s="37" t="inlineStr">
        <is>
          <t>Marks</t>
        </is>
      </c>
      <c r="P103" t="inlineStr">
        <is>
          <t>P5</t>
        </is>
      </c>
    </row>
    <row r="104" outlineLevel="1" ht="32" customHeight="1">
      <c r="A104" s="31" t="inlineStr">
        <is>
          <t>P5.5</t>
        </is>
      </c>
      <c r="B104" s="32" t="inlineStr">
        <is>
          <t>Identities tan θ = sin θ / cos θ and sin²θ + cos²θ = 1 (incl. simple proofs)</t>
        </is>
      </c>
      <c r="C104" s="33" t="n">
        <v>1</v>
      </c>
      <c r="D104" s="34" t="n"/>
      <c r="E104" s="35" t="n"/>
      <c r="F104" s="36" t="inlineStr">
        <is>
          <t>▶ Watch</t>
        </is>
      </c>
      <c r="G104" s="36" t="inlineStr">
        <is>
          <t>Q 6, 7, 11–13, 21, 24, 27</t>
        </is>
      </c>
      <c r="H104" s="36" t="inlineStr">
        <is>
          <t>Answers</t>
        </is>
      </c>
      <c r="I104" s="35" t="inlineStr">
        <is>
          <t>Trigonometric Identities</t>
        </is>
      </c>
      <c r="J104" s="36" t="inlineStr">
        <is>
          <t>Pages 1, 2</t>
        </is>
      </c>
      <c r="K104" s="36" t="inlineStr">
        <is>
          <t>Marks</t>
        </is>
      </c>
      <c r="L104" s="36" t="inlineStr">
        <is>
          <t>Answers</t>
        </is>
      </c>
      <c r="M104" s="31" t="inlineStr">
        <is>
          <t>Pure 1 Ch10</t>
        </is>
      </c>
      <c r="N104" s="37" t="inlineStr">
        <is>
          <t>Pages 1, 2, 5–8, 10</t>
        </is>
      </c>
      <c r="O104" s="37" t="inlineStr">
        <is>
          <t>Marks</t>
        </is>
      </c>
      <c r="P104" t="inlineStr">
        <is>
          <t>P5</t>
        </is>
      </c>
    </row>
    <row r="105" outlineLevel="1" ht="32" customHeight="1">
      <c r="A105" s="31" t="inlineStr">
        <is>
          <t>P5.5</t>
        </is>
      </c>
      <c r="B105" s="32" t="inlineStr">
        <is>
          <t>Identities sec²θ = 1 + tan²θ and cosec²θ = 1 + cot²θ</t>
        </is>
      </c>
      <c r="C105" s="39" t="n">
        <v>2</v>
      </c>
      <c r="D105" s="34" t="n"/>
      <c r="E105" s="35" t="n"/>
      <c r="F105" s="36" t="inlineStr">
        <is>
          <t>▶ Watch</t>
        </is>
      </c>
      <c r="G105" s="36" t="inlineStr">
        <is>
          <t>Q 8–13, 16, 18</t>
        </is>
      </c>
      <c r="H105" s="36" t="inlineStr">
        <is>
          <t>Answers</t>
        </is>
      </c>
      <c r="I105" s="35" t="inlineStr">
        <is>
          <t>Solomon: Pythagorean identities (Yr 2)</t>
        </is>
      </c>
      <c r="J105" s="36" t="inlineStr">
        <is>
          <t>Q 1–8</t>
        </is>
      </c>
      <c r="K105" s="38" t="inlineStr">
        <is>
          <t>none</t>
        </is>
      </c>
      <c r="L105" s="36" t="inlineStr">
        <is>
          <t>Answers</t>
        </is>
      </c>
      <c r="M105" s="31" t="inlineStr">
        <is>
          <t>Pure 2 Ch6</t>
        </is>
      </c>
      <c r="N105" s="37" t="inlineStr">
        <is>
          <t>Pages 12, 13, 16</t>
        </is>
      </c>
      <c r="O105" s="37" t="inlineStr">
        <is>
          <t>Marks</t>
        </is>
      </c>
      <c r="P105" t="inlineStr">
        <is>
          <t>P5</t>
        </is>
      </c>
    </row>
    <row r="106" outlineLevel="1" ht="32" customHeight="1">
      <c r="A106" s="31" t="inlineStr">
        <is>
          <t>P5.6</t>
        </is>
      </c>
      <c r="B106" s="32" t="inlineStr">
        <is>
          <t>Addition formulae: sin(A ± B), cos(A ± B), tan(A ± B) and their geometric proofs</t>
        </is>
      </c>
      <c r="C106" s="39" t="n">
        <v>2</v>
      </c>
      <c r="D106" s="34" t="n"/>
      <c r="E106" s="35" t="n"/>
      <c r="F106" s="36" t="inlineStr">
        <is>
          <t>▶ Watch</t>
        </is>
      </c>
      <c r="G106" s="36" t="inlineStr">
        <is>
          <t>Q 1–3, 16, 18, 24, 25, 27</t>
        </is>
      </c>
      <c r="H106" s="36" t="inlineStr">
        <is>
          <t>Answers</t>
        </is>
      </c>
      <c r="I106" s="35" t="inlineStr">
        <is>
          <t>Trigonometric Identities (Yr 2)</t>
        </is>
      </c>
      <c r="J106" s="36" t="inlineStr">
        <is>
          <t>Page 1</t>
        </is>
      </c>
      <c r="K106" s="36" t="inlineStr">
        <is>
          <t>Marks</t>
        </is>
      </c>
      <c r="L106" s="36" t="inlineStr">
        <is>
          <t>Answers</t>
        </is>
      </c>
      <c r="M106" s="31" t="inlineStr">
        <is>
          <t>Pure 2 Ch7</t>
        </is>
      </c>
      <c r="N106" s="37" t="inlineStr">
        <is>
          <t>Pages 5, 7, 8, 11, 15, 19</t>
        </is>
      </c>
      <c r="O106" s="37" t="inlineStr">
        <is>
          <t>Marks</t>
        </is>
      </c>
      <c r="P106" t="inlineStr">
        <is>
          <t>P5</t>
        </is>
      </c>
    </row>
    <row r="107" outlineLevel="1" ht="32" customHeight="1">
      <c r="A107" s="31" t="inlineStr">
        <is>
          <t>P5.6</t>
        </is>
      </c>
      <c r="B107" s="32" t="inlineStr">
        <is>
          <t>Double angle formulae (incl. half angles)</t>
        </is>
      </c>
      <c r="C107" s="39" t="n">
        <v>2</v>
      </c>
      <c r="D107" s="34" t="n"/>
      <c r="E107" s="35" t="n"/>
      <c r="F107" s="36" t="inlineStr">
        <is>
          <t>▶ Watch</t>
        </is>
      </c>
      <c r="G107" s="36" t="inlineStr">
        <is>
          <t>Q 1, 4–6, 15, 20–22</t>
        </is>
      </c>
      <c r="H107" s="36" t="inlineStr">
        <is>
          <t>Answers</t>
        </is>
      </c>
      <c r="I107" s="35" t="inlineStr">
        <is>
          <t>Trigonometric Equations (Yr 2)</t>
        </is>
      </c>
      <c r="J107" s="36" t="inlineStr">
        <is>
          <t>Pages 1, 5</t>
        </is>
      </c>
      <c r="K107" s="36" t="inlineStr">
        <is>
          <t>Marks</t>
        </is>
      </c>
      <c r="L107" s="36" t="inlineStr">
        <is>
          <t>Answers</t>
        </is>
      </c>
      <c r="M107" s="31" t="inlineStr">
        <is>
          <t>Pure 2 Ch7</t>
        </is>
      </c>
      <c r="N107" s="37" t="inlineStr">
        <is>
          <t>Pages 2–4, 9, 10, 14, 16, 17</t>
        </is>
      </c>
      <c r="O107" s="37" t="inlineStr">
        <is>
          <t>Marks</t>
        </is>
      </c>
      <c r="P107" t="inlineStr">
        <is>
          <t>P5</t>
        </is>
      </c>
    </row>
    <row r="108" outlineLevel="1" ht="32" customHeight="1">
      <c r="A108" s="31" t="inlineStr">
        <is>
          <t>P5.6</t>
        </is>
      </c>
      <c r="B108" s="32" t="inlineStr">
        <is>
          <t>a cos θ + b sin θ in the form R cos(θ ± α) or R sin(θ ± α)</t>
        </is>
      </c>
      <c r="C108" s="39" t="n">
        <v>2</v>
      </c>
      <c r="D108" s="34" t="n"/>
      <c r="E108" s="35" t="n"/>
      <c r="F108" s="36" t="inlineStr">
        <is>
          <t>▶ Watch</t>
        </is>
      </c>
      <c r="G108" s="36" t="inlineStr">
        <is>
          <t>Q 7–10, 13, 17, 26, 28</t>
        </is>
      </c>
      <c r="H108" s="36" t="inlineStr">
        <is>
          <t>Answers</t>
        </is>
      </c>
      <c r="I108" s="35" t="inlineStr">
        <is>
          <t>Modelling with Trig (Yr 2)</t>
        </is>
      </c>
      <c r="J108" s="36" t="inlineStr">
        <is>
          <t>Page 1</t>
        </is>
      </c>
      <c r="K108" s="36" t="inlineStr">
        <is>
          <t>Marks</t>
        </is>
      </c>
      <c r="L108" s="36" t="inlineStr">
        <is>
          <t>Answers</t>
        </is>
      </c>
      <c r="M108" s="31" t="inlineStr">
        <is>
          <t>Pure 2 Ch7</t>
        </is>
      </c>
      <c r="N108" s="37" t="inlineStr">
        <is>
          <t>Pages 6–9, 11, 12, 14, 16</t>
        </is>
      </c>
      <c r="O108" s="37" t="inlineStr">
        <is>
          <t>Marks</t>
        </is>
      </c>
      <c r="P108" t="inlineStr">
        <is>
          <t>P5</t>
        </is>
      </c>
    </row>
    <row r="109" outlineLevel="1" ht="32" customHeight="1">
      <c r="A109" s="31" t="inlineStr">
        <is>
          <t>P5.7</t>
        </is>
      </c>
      <c r="B109" s="32" t="inlineStr">
        <is>
          <t>Solving trig equations (incl. multiples of the angle)</t>
        </is>
      </c>
      <c r="C109" s="33" t="n">
        <v>1</v>
      </c>
      <c r="D109" s="34" t="n"/>
      <c r="E109" s="35" t="n"/>
      <c r="F109" s="36" t="inlineStr">
        <is>
          <t>▶ Watch</t>
        </is>
      </c>
      <c r="G109" s="36" t="inlineStr">
        <is>
          <t>Q 1–4, 14, 18, 25, 29</t>
        </is>
      </c>
      <c r="H109" s="36" t="inlineStr">
        <is>
          <t>Answers</t>
        </is>
      </c>
      <c r="I109" s="35" t="inlineStr">
        <is>
          <t>Trigonometric Equations</t>
        </is>
      </c>
      <c r="J109" s="36" t="inlineStr">
        <is>
          <t>Page 1</t>
        </is>
      </c>
      <c r="K109" s="36" t="inlineStr">
        <is>
          <t>Marks</t>
        </is>
      </c>
      <c r="L109" s="36" t="inlineStr">
        <is>
          <t>Answers</t>
        </is>
      </c>
      <c r="M109" s="31" t="inlineStr">
        <is>
          <t>Pure 1 Ch10</t>
        </is>
      </c>
      <c r="N109" s="37" t="inlineStr">
        <is>
          <t>Pages 9–12</t>
        </is>
      </c>
      <c r="O109" s="37" t="inlineStr">
        <is>
          <t>Marks</t>
        </is>
      </c>
      <c r="P109" t="inlineStr">
        <is>
          <t>P5</t>
        </is>
      </c>
    </row>
    <row r="110" outlineLevel="1" ht="32" customHeight="1">
      <c r="A110" s="31" t="inlineStr">
        <is>
          <t>P5.7</t>
        </is>
      </c>
      <c r="B110" s="32" t="inlineStr">
        <is>
          <t>Harder trig equations (quadratics in sin, cos, tan)</t>
        </is>
      </c>
      <c r="C110" s="33" t="n">
        <v>1</v>
      </c>
      <c r="D110" s="34" t="n"/>
      <c r="E110" s="35" t="n"/>
      <c r="F110" s="36" t="inlineStr">
        <is>
          <t>▶ Watch</t>
        </is>
      </c>
      <c r="G110" s="36" t="inlineStr">
        <is>
          <t>Q 6, 7, 11, 12, 19, 23, 24, 30</t>
        </is>
      </c>
      <c r="H110" s="36" t="inlineStr">
        <is>
          <t>Answers</t>
        </is>
      </c>
      <c r="I110" s="35" t="inlineStr">
        <is>
          <t>Trigonometric Identities</t>
        </is>
      </c>
      <c r="J110" s="36" t="inlineStr">
        <is>
          <t>Pages 1, 2</t>
        </is>
      </c>
      <c r="K110" s="36" t="inlineStr">
        <is>
          <t>Marks</t>
        </is>
      </c>
      <c r="L110" s="36" t="inlineStr">
        <is>
          <t>Answers</t>
        </is>
      </c>
      <c r="M110" s="31" t="inlineStr">
        <is>
          <t>Pure 1 Ch10</t>
        </is>
      </c>
      <c r="N110" s="37" t="inlineStr">
        <is>
          <t>Pages 1–3, 5–8, 13</t>
        </is>
      </c>
      <c r="O110" s="37" t="inlineStr">
        <is>
          <t>Marks</t>
        </is>
      </c>
      <c r="P110" t="inlineStr">
        <is>
          <t>P5</t>
        </is>
      </c>
    </row>
    <row r="111" outlineLevel="1" ht="32" customHeight="1">
      <c r="A111" s="31" t="inlineStr">
        <is>
          <t>P5.7</t>
        </is>
      </c>
      <c r="B111" s="32" t="inlineStr">
        <is>
          <t>Trig equations in radians, with sec/cosec/cot and compound angles</t>
        </is>
      </c>
      <c r="C111" s="39" t="n">
        <v>2</v>
      </c>
      <c r="D111" s="34" t="n"/>
      <c r="E111" s="35" t="n"/>
      <c r="F111" s="36" t="inlineStr">
        <is>
          <t>▶ Watch</t>
        </is>
      </c>
      <c r="G111" s="36" t="inlineStr">
        <is>
          <t>Q 3, 9, 10, 12, 14, 21, 24, 27</t>
        </is>
      </c>
      <c r="H111" s="36" t="inlineStr">
        <is>
          <t>Answers</t>
        </is>
      </c>
      <c r="I111" s="35" t="inlineStr">
        <is>
          <t>Trigonometric Equations (Yr 2)</t>
        </is>
      </c>
      <c r="J111" s="36" t="inlineStr">
        <is>
          <t>Pages 2, 3</t>
        </is>
      </c>
      <c r="K111" s="36" t="inlineStr">
        <is>
          <t>Marks</t>
        </is>
      </c>
      <c r="L111" s="36" t="inlineStr">
        <is>
          <t>Answers</t>
        </is>
      </c>
      <c r="M111" s="31" t="inlineStr">
        <is>
          <t>Pure 2 Ch7</t>
        </is>
      </c>
      <c r="N111" s="37" t="inlineStr">
        <is>
          <t>Pages 2, 6, 9, 11–13, 16, 17</t>
        </is>
      </c>
      <c r="O111" s="37" t="inlineStr">
        <is>
          <t>Marks</t>
        </is>
      </c>
      <c r="P111" t="inlineStr">
        <is>
          <t>P5</t>
        </is>
      </c>
    </row>
    <row r="112" outlineLevel="1" ht="32" customHeight="1">
      <c r="A112" s="31" t="inlineStr">
        <is>
          <t>P5.8</t>
        </is>
      </c>
      <c r="B112" s="32" t="inlineStr">
        <is>
          <t>Proving trig identities (reciprocal, addition and double angle)</t>
        </is>
      </c>
      <c r="C112" s="39" t="n">
        <v>2</v>
      </c>
      <c r="D112" s="34" t="n"/>
      <c r="E112" s="35" t="n"/>
      <c r="F112" s="36" t="inlineStr">
        <is>
          <t>▶ Watch</t>
        </is>
      </c>
      <c r="G112" s="36" t="inlineStr">
        <is>
          <t>Q 2, 6, 14, 16, 18, 20–22</t>
        </is>
      </c>
      <c r="H112" s="36" t="inlineStr">
        <is>
          <t>Answers</t>
        </is>
      </c>
      <c r="I112" s="35" t="inlineStr">
        <is>
          <t>Trigonometric Equations (Yr 2)</t>
        </is>
      </c>
      <c r="J112" s="36" t="inlineStr">
        <is>
          <t>Page 1</t>
        </is>
      </c>
      <c r="K112" s="36" t="inlineStr">
        <is>
          <t>Marks</t>
        </is>
      </c>
      <c r="L112" s="36" t="inlineStr">
        <is>
          <t>Answers</t>
        </is>
      </c>
      <c r="M112" s="31" t="inlineStr">
        <is>
          <t>Pure 2 Ch7</t>
        </is>
      </c>
      <c r="N112" s="37" t="inlineStr">
        <is>
          <t>Pages 3, 5–7, 9, 14, 16, 17</t>
        </is>
      </c>
      <c r="O112" s="37" t="inlineStr">
        <is>
          <t>Marks</t>
        </is>
      </c>
      <c r="P112" t="inlineStr">
        <is>
          <t>P5</t>
        </is>
      </c>
    </row>
    <row r="113" outlineLevel="1" ht="20" customHeight="1">
      <c r="A113" s="31" t="inlineStr">
        <is>
          <t>P5.9</t>
        </is>
      </c>
      <c r="B113" s="32" t="inlineStr">
        <is>
          <t>Modelling with trig functions</t>
        </is>
      </c>
      <c r="C113" s="39" t="n">
        <v>2</v>
      </c>
      <c r="D113" s="34" t="n"/>
      <c r="E113" s="35" t="n"/>
      <c r="F113" s="36" t="inlineStr">
        <is>
          <t>▶ Watch</t>
        </is>
      </c>
      <c r="G113" s="36" t="inlineStr">
        <is>
          <t>Q 11, 17</t>
        </is>
      </c>
      <c r="H113" s="36" t="inlineStr">
        <is>
          <t>Answers</t>
        </is>
      </c>
      <c r="I113" s="35" t="inlineStr">
        <is>
          <t>Modelling with Trig (Yr 2)</t>
        </is>
      </c>
      <c r="J113" s="36" t="inlineStr">
        <is>
          <t>Pages 1–3</t>
        </is>
      </c>
      <c r="K113" s="36" t="inlineStr">
        <is>
          <t>Marks</t>
        </is>
      </c>
      <c r="L113" s="36" t="inlineStr">
        <is>
          <t>Answers</t>
        </is>
      </c>
      <c r="M113" s="31" t="inlineStr">
        <is>
          <t>Pure 2 Ch7</t>
        </is>
      </c>
      <c r="N113" s="37" t="inlineStr">
        <is>
          <t>Pages 1–5, 9, 13, 15</t>
        </is>
      </c>
      <c r="O113" s="37" t="inlineStr">
        <is>
          <t>Marks</t>
        </is>
      </c>
      <c r="P113" t="inlineStr">
        <is>
          <t>P5</t>
        </is>
      </c>
    </row>
    <row r="114" ht="10" customHeight="1"/>
    <row r="115" ht="26" customHeight="1">
      <c r="A115" s="27" t="inlineStr">
        <is>
          <t>6</t>
        </is>
      </c>
      <c r="B115" s="28" t="inlineStr">
        <is>
          <t>Exponentials and logarithms</t>
        </is>
      </c>
      <c r="C115" s="29" t="n"/>
      <c r="D115" s="29" t="n"/>
      <c r="E115" s="30" t="inlineStr">
        <is>
          <t>8 topics  ·  Year 1: 8</t>
        </is>
      </c>
      <c r="F115" s="29" t="n"/>
      <c r="G115" s="29" t="n"/>
      <c r="H115" s="29" t="n"/>
      <c r="I115" s="29" t="n"/>
      <c r="J115" s="29" t="n"/>
      <c r="K115" s="29" t="n"/>
      <c r="L115" s="29" t="n"/>
      <c r="M115" s="29" t="n"/>
      <c r="N115" s="29" t="n"/>
      <c r="O115" s="29" t="n"/>
    </row>
    <row r="116" outlineLevel="1" ht="20" customHeight="1">
      <c r="A116" s="31" t="inlineStr">
        <is>
          <t>P6.1</t>
        </is>
      </c>
      <c r="B116" s="32" t="inlineStr">
        <is>
          <t>Exponential functions y = aˣ and their graphs</t>
        </is>
      </c>
      <c r="C116" s="33" t="n">
        <v>1</v>
      </c>
      <c r="D116" s="34" t="n"/>
      <c r="E116" s="35" t="n"/>
      <c r="F116" s="36" t="inlineStr">
        <is>
          <t>▶ Watch</t>
        </is>
      </c>
      <c r="G116" s="38" t="inlineStr">
        <is>
          <t>none on this topic</t>
        </is>
      </c>
      <c r="H116" s="41" t="n"/>
      <c r="I116" s="35" t="inlineStr">
        <is>
          <t>Laws of Logarithms</t>
        </is>
      </c>
      <c r="J116" s="36" t="inlineStr">
        <is>
          <t>Page 7</t>
        </is>
      </c>
      <c r="K116" s="36" t="inlineStr">
        <is>
          <t>Marks</t>
        </is>
      </c>
      <c r="L116" s="36" t="inlineStr">
        <is>
          <t>Answers</t>
        </is>
      </c>
      <c r="M116" s="31" t="inlineStr">
        <is>
          <t>Pure 1 Ch14</t>
        </is>
      </c>
      <c r="N116" s="38" t="inlineStr">
        <is>
          <t>none</t>
        </is>
      </c>
      <c r="O116" s="40" t="n"/>
      <c r="P116" t="inlineStr">
        <is>
          <t>P6</t>
        </is>
      </c>
    </row>
    <row r="117" outlineLevel="1" ht="20" customHeight="1">
      <c r="A117" s="31" t="inlineStr">
        <is>
          <t>P6.2</t>
        </is>
      </c>
      <c r="B117" s="32" t="inlineStr">
        <is>
          <t>y = eˣ, its graph and its gradient (d/dx eᵏˣ = keᵏˣ)</t>
        </is>
      </c>
      <c r="C117" s="33" t="n">
        <v>1</v>
      </c>
      <c r="D117" s="34" t="n"/>
      <c r="E117" s="35" t="n"/>
      <c r="F117" s="36" t="inlineStr">
        <is>
          <t>▶ Watch</t>
        </is>
      </c>
      <c r="G117" s="36" t="inlineStr">
        <is>
          <t>Q 10, 12, 13</t>
        </is>
      </c>
      <c r="H117" s="36" t="inlineStr">
        <is>
          <t>Answers</t>
        </is>
      </c>
      <c r="I117" s="35" t="inlineStr">
        <is>
          <t>Exponential Equations</t>
        </is>
      </c>
      <c r="J117" s="36" t="inlineStr">
        <is>
          <t>Pages 3–6</t>
        </is>
      </c>
      <c r="K117" s="36" t="inlineStr">
        <is>
          <t>Marks</t>
        </is>
      </c>
      <c r="L117" s="36" t="inlineStr">
        <is>
          <t>Answers</t>
        </is>
      </c>
      <c r="M117" s="31" t="inlineStr">
        <is>
          <t>Pure 1 Ch14</t>
        </is>
      </c>
      <c r="N117" s="37" t="inlineStr">
        <is>
          <t>Pages 3, 4</t>
        </is>
      </c>
      <c r="O117" s="37" t="inlineStr">
        <is>
          <t>Marks</t>
        </is>
      </c>
      <c r="P117" t="inlineStr">
        <is>
          <t>P6</t>
        </is>
      </c>
    </row>
    <row r="118" outlineLevel="1" ht="20" customHeight="1">
      <c r="A118" s="31" t="inlineStr">
        <is>
          <t>P6.3</t>
        </is>
      </c>
      <c r="B118" s="32" t="inlineStr">
        <is>
          <t>Logarithms as the inverse of aˣ</t>
        </is>
      </c>
      <c r="C118" s="33" t="n">
        <v>1</v>
      </c>
      <c r="D118" s="34" t="n"/>
      <c r="E118" s="35" t="n"/>
      <c r="F118" s="36" t="inlineStr">
        <is>
          <t>▶ Watch</t>
        </is>
      </c>
      <c r="G118" s="36" t="inlineStr">
        <is>
          <t>Q 1</t>
        </is>
      </c>
      <c r="H118" s="36" t="inlineStr">
        <is>
          <t>Answers</t>
        </is>
      </c>
      <c r="I118" s="35" t="inlineStr">
        <is>
          <t>Solomon: Laws of logarithms</t>
        </is>
      </c>
      <c r="J118" s="36" t="inlineStr">
        <is>
          <t>Q 1–4</t>
        </is>
      </c>
      <c r="K118" s="38" t="inlineStr">
        <is>
          <t>none</t>
        </is>
      </c>
      <c r="L118" s="36" t="inlineStr">
        <is>
          <t>Answers</t>
        </is>
      </c>
      <c r="M118" s="31" t="inlineStr">
        <is>
          <t>Pure 1 Ch14</t>
        </is>
      </c>
      <c r="N118" s="37" t="inlineStr">
        <is>
          <t>Page 11</t>
        </is>
      </c>
      <c r="O118" s="37" t="inlineStr">
        <is>
          <t>Marks</t>
        </is>
      </c>
      <c r="P118" t="inlineStr">
        <is>
          <t>P6</t>
        </is>
      </c>
    </row>
    <row r="119" outlineLevel="1" ht="32" customHeight="1">
      <c r="A119" s="31" t="inlineStr">
        <is>
          <t>P6.4</t>
        </is>
      </c>
      <c r="B119" s="32" t="inlineStr">
        <is>
          <t>Laws of logarithms</t>
        </is>
      </c>
      <c r="C119" s="33" t="n">
        <v>1</v>
      </c>
      <c r="D119" s="34" t="n"/>
      <c r="E119" s="35" t="n"/>
      <c r="F119" s="36" t="inlineStr">
        <is>
          <t>▶ Watch</t>
        </is>
      </c>
      <c r="G119" s="36" t="inlineStr">
        <is>
          <t>Q 3, 5–7, 9</t>
        </is>
      </c>
      <c r="H119" s="36" t="inlineStr">
        <is>
          <t>Answers</t>
        </is>
      </c>
      <c r="I119" s="35" t="inlineStr">
        <is>
          <t>Laws of Logarithms</t>
        </is>
      </c>
      <c r="J119" s="36" t="inlineStr">
        <is>
          <t>Pages 3–5, 8, 10</t>
        </is>
      </c>
      <c r="K119" s="36" t="inlineStr">
        <is>
          <t>Marks</t>
        </is>
      </c>
      <c r="L119" s="36" t="inlineStr">
        <is>
          <t>Answers</t>
        </is>
      </c>
      <c r="M119" s="31" t="inlineStr">
        <is>
          <t>Pure 1 Ch14</t>
        </is>
      </c>
      <c r="N119" s="37" t="inlineStr">
        <is>
          <t>Pages 1, 7–10, 12, 13</t>
        </is>
      </c>
      <c r="O119" s="37" t="inlineStr">
        <is>
          <t>Marks</t>
        </is>
      </c>
      <c r="P119" t="inlineStr">
        <is>
          <t>P6</t>
        </is>
      </c>
    </row>
    <row r="120" outlineLevel="1" ht="20" customHeight="1">
      <c r="A120" s="31" t="inlineStr">
        <is>
          <t>P6.5</t>
        </is>
      </c>
      <c r="B120" s="32" t="inlineStr">
        <is>
          <t>Solving aˣ = b using logarithms</t>
        </is>
      </c>
      <c r="C120" s="33" t="n">
        <v>1</v>
      </c>
      <c r="D120" s="34" t="n"/>
      <c r="E120" s="35" t="n"/>
      <c r="F120" s="36" t="inlineStr">
        <is>
          <t>▶ Watch</t>
        </is>
      </c>
      <c r="G120" s="36" t="inlineStr">
        <is>
          <t>Q 4, 8</t>
        </is>
      </c>
      <c r="H120" s="36" t="inlineStr">
        <is>
          <t>Answers</t>
        </is>
      </c>
      <c r="I120" s="35" t="inlineStr">
        <is>
          <t>Laws of Logarithms</t>
        </is>
      </c>
      <c r="J120" s="36" t="inlineStr">
        <is>
          <t>Page 7</t>
        </is>
      </c>
      <c r="K120" s="36" t="inlineStr">
        <is>
          <t>Marks</t>
        </is>
      </c>
      <c r="L120" s="36" t="inlineStr">
        <is>
          <t>Answers</t>
        </is>
      </c>
      <c r="M120" s="31" t="inlineStr">
        <is>
          <t>Pure 1 Ch14</t>
        </is>
      </c>
      <c r="N120" s="37" t="inlineStr">
        <is>
          <t>Pages 4, 6, 8, 17</t>
        </is>
      </c>
      <c r="O120" s="37" t="inlineStr">
        <is>
          <t>Marks</t>
        </is>
      </c>
      <c r="P120" t="inlineStr">
        <is>
          <t>P6</t>
        </is>
      </c>
    </row>
    <row r="121" outlineLevel="1" ht="20" customHeight="1">
      <c r="A121" s="31" t="inlineStr">
        <is>
          <t>P6.3</t>
        </is>
      </c>
      <c r="B121" s="32" t="inlineStr">
        <is>
          <t>Natural logs: solving e^(ax+b) = p and ln(ax + b) = q</t>
        </is>
      </c>
      <c r="C121" s="33" t="n">
        <v>1</v>
      </c>
      <c r="D121" s="34" t="n"/>
      <c r="E121" s="35" t="n"/>
      <c r="F121" s="36" t="inlineStr">
        <is>
          <t>▶ Watch</t>
        </is>
      </c>
      <c r="G121" s="36" t="inlineStr">
        <is>
          <t>Q 6, 7, 9–13</t>
        </is>
      </c>
      <c r="H121" s="36" t="inlineStr">
        <is>
          <t>Answers</t>
        </is>
      </c>
      <c r="I121" s="35" t="inlineStr">
        <is>
          <t>Exponential Equations</t>
        </is>
      </c>
      <c r="J121" s="36" t="inlineStr">
        <is>
          <t>Pages 2–5</t>
        </is>
      </c>
      <c r="K121" s="36" t="inlineStr">
        <is>
          <t>Marks</t>
        </is>
      </c>
      <c r="L121" s="36" t="inlineStr">
        <is>
          <t>Answers</t>
        </is>
      </c>
      <c r="M121" s="31" t="inlineStr">
        <is>
          <t>Pure 1 Ch14</t>
        </is>
      </c>
      <c r="N121" s="37" t="inlineStr">
        <is>
          <t>Pages 13–15</t>
        </is>
      </c>
      <c r="O121" s="37" t="inlineStr">
        <is>
          <t>Marks</t>
        </is>
      </c>
      <c r="P121" t="inlineStr">
        <is>
          <t>P6</t>
        </is>
      </c>
    </row>
    <row r="122" outlineLevel="1" ht="20" customHeight="1">
      <c r="A122" s="31" t="inlineStr">
        <is>
          <t>P6.6</t>
        </is>
      </c>
      <c r="B122" s="32" t="inlineStr">
        <is>
          <t>Log graphs for non-linear data (y = axⁿ and y = kbˣ)</t>
        </is>
      </c>
      <c r="C122" s="33" t="n">
        <v>1</v>
      </c>
      <c r="D122" s="34" t="n"/>
      <c r="E122" s="35" t="n"/>
      <c r="F122" s="36" t="inlineStr">
        <is>
          <t>▶ Watch</t>
        </is>
      </c>
      <c r="G122" s="36" t="inlineStr">
        <is>
          <t>Q 6–9</t>
        </is>
      </c>
      <c r="H122" s="36" t="inlineStr">
        <is>
          <t>Answers</t>
        </is>
      </c>
      <c r="I122" s="35" t="inlineStr">
        <is>
          <t>Laws of Logarithms</t>
        </is>
      </c>
      <c r="J122" s="36" t="inlineStr">
        <is>
          <t>Pages 1, 2, 6, 9</t>
        </is>
      </c>
      <c r="K122" s="36" t="inlineStr">
        <is>
          <t>Marks</t>
        </is>
      </c>
      <c r="L122" s="36" t="inlineStr">
        <is>
          <t>Answers</t>
        </is>
      </c>
      <c r="M122" s="31" t="inlineStr">
        <is>
          <t>Pure 1 Ch14</t>
        </is>
      </c>
      <c r="N122" s="37" t="inlineStr">
        <is>
          <t>Pages 2, 5, 6</t>
        </is>
      </c>
      <c r="O122" s="37" t="inlineStr">
        <is>
          <t>Marks</t>
        </is>
      </c>
      <c r="P122" t="inlineStr">
        <is>
          <t>P6</t>
        </is>
      </c>
    </row>
    <row r="123" outlineLevel="1" ht="20" customHeight="1">
      <c r="A123" s="31" t="inlineStr">
        <is>
          <t>P6.7</t>
        </is>
      </c>
      <c r="B123" s="32" t="inlineStr">
        <is>
          <t>Exponential growth and decay models</t>
        </is>
      </c>
      <c r="C123" s="33" t="n">
        <v>1</v>
      </c>
      <c r="D123" s="34" t="n"/>
      <c r="E123" s="35" t="n"/>
      <c r="F123" s="36" t="inlineStr">
        <is>
          <t>▶ Watch</t>
        </is>
      </c>
      <c r="G123" s="36" t="inlineStr">
        <is>
          <t>Q 10–12</t>
        </is>
      </c>
      <c r="H123" s="36" t="inlineStr">
        <is>
          <t>Answers</t>
        </is>
      </c>
      <c r="I123" s="35" t="inlineStr">
        <is>
          <t>Exponential Equations</t>
        </is>
      </c>
      <c r="J123" s="36" t="inlineStr">
        <is>
          <t>Pages 2–6</t>
        </is>
      </c>
      <c r="K123" s="36" t="inlineStr">
        <is>
          <t>Marks</t>
        </is>
      </c>
      <c r="L123" s="36" t="inlineStr">
        <is>
          <t>Answers</t>
        </is>
      </c>
      <c r="M123" s="31" t="inlineStr">
        <is>
          <t>Pure 1 Ch14</t>
        </is>
      </c>
      <c r="N123" s="37" t="inlineStr">
        <is>
          <t>Pages 2–6</t>
        </is>
      </c>
      <c r="O123" s="37" t="inlineStr">
        <is>
          <t>Marks</t>
        </is>
      </c>
      <c r="P123" t="inlineStr">
        <is>
          <t>P6</t>
        </is>
      </c>
    </row>
    <row r="124" ht="10" customHeight="1"/>
    <row r="125" ht="26" customHeight="1">
      <c r="A125" s="27" t="inlineStr">
        <is>
          <t>7</t>
        </is>
      </c>
      <c r="B125" s="28" t="inlineStr">
        <is>
          <t>Differentiation</t>
        </is>
      </c>
      <c r="C125" s="29" t="n"/>
      <c r="D125" s="29" t="n"/>
      <c r="E125" s="30" t="inlineStr">
        <is>
          <t>21 topics  ·  Year 1: 9  ·  Year 2: 12</t>
        </is>
      </c>
      <c r="F125" s="29" t="n"/>
      <c r="G125" s="29" t="n"/>
      <c r="H125" s="29" t="n"/>
      <c r="I125" s="29" t="n"/>
      <c r="J125" s="29" t="n"/>
      <c r="K125" s="29" t="n"/>
      <c r="L125" s="29" t="n"/>
      <c r="M125" s="29" t="n"/>
      <c r="N125" s="29" t="n"/>
      <c r="O125" s="29" t="n"/>
    </row>
    <row r="126" outlineLevel="1" ht="20" customHeight="1">
      <c r="A126" s="31" t="inlineStr">
        <is>
          <t>P7.1</t>
        </is>
      </c>
      <c r="B126" s="32" t="inlineStr">
        <is>
          <t>Gradients of curves; the derivative as a rate of change</t>
        </is>
      </c>
      <c r="C126" s="33" t="n">
        <v>1</v>
      </c>
      <c r="D126" s="34" t="n"/>
      <c r="E126" s="35" t="n"/>
      <c r="F126" s="36" t="inlineStr">
        <is>
          <t>▶ Watch</t>
        </is>
      </c>
      <c r="G126" s="36" t="inlineStr">
        <is>
          <t>Q 9</t>
        </is>
      </c>
      <c r="H126" s="36" t="inlineStr">
        <is>
          <t>Answers</t>
        </is>
      </c>
      <c r="I126" s="35" t="inlineStr">
        <is>
          <t>Tangents and Normals</t>
        </is>
      </c>
      <c r="J126" s="36" t="inlineStr">
        <is>
          <t>Page 1</t>
        </is>
      </c>
      <c r="K126" s="36" t="inlineStr">
        <is>
          <t>Marks</t>
        </is>
      </c>
      <c r="L126" s="36" t="inlineStr">
        <is>
          <t>Answers</t>
        </is>
      </c>
      <c r="M126" s="31" t="inlineStr">
        <is>
          <t>Pure 1 Ch12</t>
        </is>
      </c>
      <c r="N126" s="37" t="inlineStr">
        <is>
          <t>Page 6</t>
        </is>
      </c>
      <c r="O126" s="37" t="inlineStr">
        <is>
          <t>Marks</t>
        </is>
      </c>
      <c r="P126" t="inlineStr">
        <is>
          <t>P7</t>
        </is>
      </c>
    </row>
    <row r="127" outlineLevel="1" ht="20" customHeight="1">
      <c r="A127" s="31" t="inlineStr">
        <is>
          <t>P7.1</t>
        </is>
      </c>
      <c r="B127" s="32" t="inlineStr">
        <is>
          <t>Differentiation from first principles (xⁿ)</t>
        </is>
      </c>
      <c r="C127" s="33" t="n">
        <v>1</v>
      </c>
      <c r="D127" s="34" t="n"/>
      <c r="E127" s="35" t="n"/>
      <c r="F127" s="36" t="inlineStr">
        <is>
          <t>▶ Watch</t>
        </is>
      </c>
      <c r="G127" s="36" t="inlineStr">
        <is>
          <t>Q 1–5</t>
        </is>
      </c>
      <c r="H127" s="36" t="inlineStr">
        <is>
          <t>Answers</t>
        </is>
      </c>
      <c r="I127" s="35" t="inlineStr">
        <is>
          <t>First Principles</t>
        </is>
      </c>
      <c r="J127" s="36" t="inlineStr">
        <is>
          <t>Page 3</t>
        </is>
      </c>
      <c r="K127" s="36" t="inlineStr">
        <is>
          <t>Marks</t>
        </is>
      </c>
      <c r="L127" s="36" t="inlineStr">
        <is>
          <t>Answers</t>
        </is>
      </c>
      <c r="M127" s="31" t="inlineStr">
        <is>
          <t>Pure 1 Ch12</t>
        </is>
      </c>
      <c r="N127" s="37" t="inlineStr">
        <is>
          <t>Pages 2, 7</t>
        </is>
      </c>
      <c r="O127" s="37" t="inlineStr">
        <is>
          <t>Marks</t>
        </is>
      </c>
      <c r="P127" t="inlineStr">
        <is>
          <t>P7</t>
        </is>
      </c>
    </row>
    <row r="128" outlineLevel="1" ht="20" customHeight="1">
      <c r="A128" s="31" t="inlineStr">
        <is>
          <t>P7.1</t>
        </is>
      </c>
      <c r="B128" s="32" t="inlineStr">
        <is>
          <t>Differentiation from first principles (sin x and cos x)</t>
        </is>
      </c>
      <c r="C128" s="39" t="n">
        <v>2</v>
      </c>
      <c r="D128" s="34" t="n"/>
      <c r="E128" s="35" t="n"/>
      <c r="F128" s="36" t="inlineStr">
        <is>
          <t>▶ Watch</t>
        </is>
      </c>
      <c r="G128" s="36" t="inlineStr">
        <is>
          <t>Q 31, 32</t>
        </is>
      </c>
      <c r="H128" s="36" t="inlineStr">
        <is>
          <t>Answers</t>
        </is>
      </c>
      <c r="I128" s="35" t="inlineStr">
        <is>
          <t>First Principles</t>
        </is>
      </c>
      <c r="J128" s="36" t="inlineStr">
        <is>
          <t>Page 4</t>
        </is>
      </c>
      <c r="K128" s="36" t="inlineStr">
        <is>
          <t>Marks</t>
        </is>
      </c>
      <c r="L128" s="36" t="inlineStr">
        <is>
          <t>Answers</t>
        </is>
      </c>
      <c r="M128" s="31" t="inlineStr">
        <is>
          <t>Pure 2 Ch9</t>
        </is>
      </c>
      <c r="N128" s="37" t="inlineStr">
        <is>
          <t>Page 2</t>
        </is>
      </c>
      <c r="O128" s="37" t="inlineStr">
        <is>
          <t>Marks</t>
        </is>
      </c>
      <c r="P128" t="inlineStr">
        <is>
          <t>P7</t>
        </is>
      </c>
    </row>
    <row r="129" outlineLevel="1" ht="20" customHeight="1">
      <c r="A129" s="31" t="inlineStr">
        <is>
          <t>P7.1</t>
        </is>
      </c>
      <c r="B129" s="32" t="inlineStr">
        <is>
          <t>Sketching gradient functions</t>
        </is>
      </c>
      <c r="C129" s="33" t="n">
        <v>1</v>
      </c>
      <c r="D129" s="34" t="n"/>
      <c r="E129" s="35" t="n"/>
      <c r="F129" s="36" t="inlineStr">
        <is>
          <t>▶ Watch</t>
        </is>
      </c>
      <c r="G129" s="38" t="inlineStr">
        <is>
          <t>none on this topic</t>
        </is>
      </c>
      <c r="H129" s="41" t="n"/>
      <c r="I129" s="42" t="inlineStr">
        <is>
          <t>none for this topic</t>
        </is>
      </c>
      <c r="J129" s="38" t="inlineStr">
        <is>
          <t>none on this topic</t>
        </is>
      </c>
      <c r="K129" s="41" t="n"/>
      <c r="L129" s="41" t="n"/>
      <c r="M129" s="31" t="inlineStr">
        <is>
          <t>Pure 1 Ch12</t>
        </is>
      </c>
      <c r="N129" s="38" t="inlineStr">
        <is>
          <t>none</t>
        </is>
      </c>
      <c r="O129" s="40" t="n"/>
      <c r="P129" t="inlineStr">
        <is>
          <t>P7</t>
        </is>
      </c>
    </row>
    <row r="130" outlineLevel="1" ht="32" customHeight="1">
      <c r="A130" s="31" t="inlineStr">
        <is>
          <t>P7.1</t>
        </is>
      </c>
      <c r="B130" s="32" t="inlineStr">
        <is>
          <t>Second derivatives</t>
        </is>
      </c>
      <c r="C130" s="33" t="n">
        <v>1</v>
      </c>
      <c r="D130" s="34" t="n"/>
      <c r="E130" s="35" t="n"/>
      <c r="F130" s="36" t="inlineStr">
        <is>
          <t>▶ Watch</t>
        </is>
      </c>
      <c r="G130" s="36" t="inlineStr">
        <is>
          <t>Q 4, 11–13</t>
        </is>
      </c>
      <c r="H130" s="36" t="inlineStr">
        <is>
          <t>Answers</t>
        </is>
      </c>
      <c r="I130" s="35" t="inlineStr">
        <is>
          <t>Basic Differentiation</t>
        </is>
      </c>
      <c r="J130" s="36" t="inlineStr">
        <is>
          <t>Pages 1, 4, 6, 7</t>
        </is>
      </c>
      <c r="K130" s="36" t="inlineStr">
        <is>
          <t>Marks</t>
        </is>
      </c>
      <c r="L130" s="36" t="inlineStr">
        <is>
          <t>Answers</t>
        </is>
      </c>
      <c r="M130" s="31" t="inlineStr">
        <is>
          <t>Pure 1 Ch12</t>
        </is>
      </c>
      <c r="N130" s="37" t="inlineStr">
        <is>
          <t>Pages 1, 5, 10, 13, 16, 17</t>
        </is>
      </c>
      <c r="O130" s="37" t="inlineStr">
        <is>
          <t>Marks</t>
        </is>
      </c>
      <c r="P130" t="inlineStr">
        <is>
          <t>P7</t>
        </is>
      </c>
    </row>
    <row r="131" outlineLevel="1" ht="20" customHeight="1">
      <c r="A131" s="31" t="inlineStr">
        <is>
          <t>P7.1</t>
        </is>
      </c>
      <c r="B131" s="32" t="inlineStr">
        <is>
          <t>Concave and convex curves; points of inflection</t>
        </is>
      </c>
      <c r="C131" s="39" t="n">
        <v>2</v>
      </c>
      <c r="D131" s="34" t="n"/>
      <c r="E131" s="35" t="n"/>
      <c r="F131" s="36" t="inlineStr">
        <is>
          <t>▶ Watch</t>
        </is>
      </c>
      <c r="G131" s="36" t="inlineStr">
        <is>
          <t>Q 47, 53, 65, 68, 73</t>
        </is>
      </c>
      <c r="H131" s="36" t="inlineStr">
        <is>
          <t>Answers</t>
        </is>
      </c>
      <c r="I131" s="35" t="inlineStr">
        <is>
          <t>Basic Differentiation</t>
        </is>
      </c>
      <c r="J131" s="36" t="inlineStr">
        <is>
          <t>Pages 4, 7</t>
        </is>
      </c>
      <c r="K131" s="36" t="inlineStr">
        <is>
          <t>Marks</t>
        </is>
      </c>
      <c r="L131" s="36" t="inlineStr">
        <is>
          <t>Answers</t>
        </is>
      </c>
      <c r="M131" s="31" t="inlineStr">
        <is>
          <t>Pure 2 Ch9</t>
        </is>
      </c>
      <c r="N131" s="37" t="inlineStr">
        <is>
          <t>Page 3</t>
        </is>
      </c>
      <c r="O131" s="37" t="inlineStr">
        <is>
          <t>Marks</t>
        </is>
      </c>
      <c r="P131" t="inlineStr">
        <is>
          <t>P7</t>
        </is>
      </c>
    </row>
    <row r="132" outlineLevel="1" ht="20" customHeight="1">
      <c r="A132" s="31" t="inlineStr">
        <is>
          <t>P7.2</t>
        </is>
      </c>
      <c r="B132" s="32" t="inlineStr">
        <is>
          <t>Differentiating xⁿ and sums of terms</t>
        </is>
      </c>
      <c r="C132" s="33" t="n">
        <v>1</v>
      </c>
      <c r="D132" s="34" t="n"/>
      <c r="E132" s="35" t="n"/>
      <c r="F132" s="36" t="inlineStr">
        <is>
          <t>▶ Watch</t>
        </is>
      </c>
      <c r="G132" s="36" t="inlineStr">
        <is>
          <t>Q 1–5</t>
        </is>
      </c>
      <c r="H132" s="36" t="inlineStr">
        <is>
          <t>Answers</t>
        </is>
      </c>
      <c r="I132" s="35" t="inlineStr">
        <is>
          <t>Basic Differentiation</t>
        </is>
      </c>
      <c r="J132" s="36" t="inlineStr">
        <is>
          <t>Pages 2–4</t>
        </is>
      </c>
      <c r="K132" s="36" t="inlineStr">
        <is>
          <t>Marks</t>
        </is>
      </c>
      <c r="L132" s="36" t="inlineStr">
        <is>
          <t>Answers</t>
        </is>
      </c>
      <c r="M132" s="31" t="inlineStr">
        <is>
          <t>Pure 1 Ch12</t>
        </is>
      </c>
      <c r="N132" s="37" t="inlineStr">
        <is>
          <t>Pages 3, 11, 13, 14</t>
        </is>
      </c>
      <c r="O132" s="37" t="inlineStr">
        <is>
          <t>Marks</t>
        </is>
      </c>
      <c r="P132" t="inlineStr">
        <is>
          <t>P7</t>
        </is>
      </c>
    </row>
    <row r="133" outlineLevel="1" ht="20" customHeight="1">
      <c r="A133" s="31" t="inlineStr">
        <is>
          <t>P7.2</t>
        </is>
      </c>
      <c r="B133" s="32" t="inlineStr">
        <is>
          <t>Differentiating sin kx, cos kx and tan kx</t>
        </is>
      </c>
      <c r="C133" s="39" t="n">
        <v>2</v>
      </c>
      <c r="D133" s="34" t="n"/>
      <c r="E133" s="35" t="n"/>
      <c r="F133" s="36" t="inlineStr">
        <is>
          <t>▶ Watch</t>
        </is>
      </c>
      <c r="G133" s="36" t="inlineStr">
        <is>
          <t>Q 26, 29, 70</t>
        </is>
      </c>
      <c r="H133" s="36" t="inlineStr">
        <is>
          <t>Answers</t>
        </is>
      </c>
      <c r="I133" s="35" t="inlineStr">
        <is>
          <t>Newton Raphson (Yr 2)</t>
        </is>
      </c>
      <c r="J133" s="36" t="inlineStr">
        <is>
          <t>Page 1</t>
        </is>
      </c>
      <c r="K133" s="36" t="inlineStr">
        <is>
          <t>Marks</t>
        </is>
      </c>
      <c r="L133" s="36" t="inlineStr">
        <is>
          <t>Answers</t>
        </is>
      </c>
      <c r="M133" s="31" t="inlineStr">
        <is>
          <t>Pure 2 Ch9</t>
        </is>
      </c>
      <c r="N133" s="37" t="inlineStr">
        <is>
          <t>Pages 2, 9, 11, 18</t>
        </is>
      </c>
      <c r="O133" s="37" t="inlineStr">
        <is>
          <t>Marks</t>
        </is>
      </c>
      <c r="P133" t="inlineStr">
        <is>
          <t>P7</t>
        </is>
      </c>
    </row>
    <row r="134" outlineLevel="1" ht="32" customHeight="1">
      <c r="A134" s="31" t="inlineStr">
        <is>
          <t>P7.2</t>
        </is>
      </c>
      <c r="B134" s="32" t="inlineStr">
        <is>
          <t>Differentiating eᵏˣ, aᵏˣ and ln x</t>
        </is>
      </c>
      <c r="C134" s="39" t="n">
        <v>2</v>
      </c>
      <c r="D134" s="34" t="n"/>
      <c r="E134" s="35" t="n"/>
      <c r="F134" s="36" t="inlineStr">
        <is>
          <t>▶ Watch</t>
        </is>
      </c>
      <c r="G134" s="36" t="inlineStr">
        <is>
          <t>Q 1, 2, 24, 54, 56, 65</t>
        </is>
      </c>
      <c r="H134" s="36" t="inlineStr">
        <is>
          <t>Answers</t>
        </is>
      </c>
      <c r="I134" s="35" t="inlineStr">
        <is>
          <t>Rates of Change (Yr 2)</t>
        </is>
      </c>
      <c r="J134" s="36" t="inlineStr">
        <is>
          <t>Page 2</t>
        </is>
      </c>
      <c r="K134" s="36" t="inlineStr">
        <is>
          <t>Marks</t>
        </is>
      </c>
      <c r="L134" s="36" t="inlineStr">
        <is>
          <t>Answers</t>
        </is>
      </c>
      <c r="M134" s="31" t="inlineStr">
        <is>
          <t>Pure 2 Ch9</t>
        </is>
      </c>
      <c r="N134" s="37" t="inlineStr">
        <is>
          <t>Page 4</t>
        </is>
      </c>
      <c r="O134" s="37" t="inlineStr">
        <is>
          <t>Marks</t>
        </is>
      </c>
      <c r="P134" t="inlineStr">
        <is>
          <t>P7</t>
        </is>
      </c>
    </row>
    <row r="135" outlineLevel="1" ht="20" customHeight="1">
      <c r="A135" s="31" t="inlineStr">
        <is>
          <t>P7.3</t>
        </is>
      </c>
      <c r="B135" s="32" t="inlineStr">
        <is>
          <t>Tangents and normals</t>
        </is>
      </c>
      <c r="C135" s="33" t="n">
        <v>1</v>
      </c>
      <c r="D135" s="34" t="n"/>
      <c r="E135" s="35" t="n"/>
      <c r="F135" s="36" t="inlineStr">
        <is>
          <t>▶ Watch</t>
        </is>
      </c>
      <c r="G135" s="36" t="inlineStr">
        <is>
          <t>Q 8, 10</t>
        </is>
      </c>
      <c r="H135" s="36" t="inlineStr">
        <is>
          <t>Answers</t>
        </is>
      </c>
      <c r="I135" s="35" t="inlineStr">
        <is>
          <t>Tangents and Normals</t>
        </is>
      </c>
      <c r="J135" s="36" t="inlineStr">
        <is>
          <t>Pages 1, 3, 6, 7</t>
        </is>
      </c>
      <c r="K135" s="36" t="inlineStr">
        <is>
          <t>Marks</t>
        </is>
      </c>
      <c r="L135" s="36" t="inlineStr">
        <is>
          <t>Answers</t>
        </is>
      </c>
      <c r="M135" s="31" t="inlineStr">
        <is>
          <t>Pure 1 Ch12</t>
        </is>
      </c>
      <c r="N135" s="37" t="inlineStr">
        <is>
          <t>Pages 4, 8, 12</t>
        </is>
      </c>
      <c r="O135" s="37" t="inlineStr">
        <is>
          <t>Marks</t>
        </is>
      </c>
      <c r="P135" t="inlineStr">
        <is>
          <t>P7</t>
        </is>
      </c>
    </row>
    <row r="136" outlineLevel="1" ht="20" customHeight="1">
      <c r="A136" s="31" t="inlineStr">
        <is>
          <t>P7.3</t>
        </is>
      </c>
      <c r="B136" s="32" t="inlineStr">
        <is>
          <t>Increasing and decreasing functions</t>
        </is>
      </c>
      <c r="C136" s="33" t="n">
        <v>1</v>
      </c>
      <c r="D136" s="34" t="n"/>
      <c r="E136" s="35" t="n"/>
      <c r="F136" s="36" t="inlineStr">
        <is>
          <t>▶ Watch</t>
        </is>
      </c>
      <c r="G136" s="36" t="inlineStr">
        <is>
          <t>Q 6</t>
        </is>
      </c>
      <c r="H136" s="36" t="inlineStr">
        <is>
          <t>Answers</t>
        </is>
      </c>
      <c r="I136" s="35" t="inlineStr">
        <is>
          <t>Basic Differentiation</t>
        </is>
      </c>
      <c r="J136" s="36" t="inlineStr">
        <is>
          <t>Page 2</t>
        </is>
      </c>
      <c r="K136" s="36" t="inlineStr">
        <is>
          <t>Marks</t>
        </is>
      </c>
      <c r="L136" s="36" t="inlineStr">
        <is>
          <t>Answers</t>
        </is>
      </c>
      <c r="M136" s="31" t="inlineStr">
        <is>
          <t>Pure 1 Ch12</t>
        </is>
      </c>
      <c r="N136" s="37" t="inlineStr">
        <is>
          <t>Pages 3, 14</t>
        </is>
      </c>
      <c r="O136" s="37" t="inlineStr">
        <is>
          <t>Marks</t>
        </is>
      </c>
      <c r="P136" t="inlineStr">
        <is>
          <t>P7</t>
        </is>
      </c>
    </row>
    <row r="137" outlineLevel="1" ht="20" customHeight="1">
      <c r="A137" s="31" t="inlineStr">
        <is>
          <t>P7.3</t>
        </is>
      </c>
      <c r="B137" s="32" t="inlineStr">
        <is>
          <t>Stationary points: maxima and minima</t>
        </is>
      </c>
      <c r="C137" s="33" t="n">
        <v>1</v>
      </c>
      <c r="D137" s="34" t="n"/>
      <c r="E137" s="35" t="n"/>
      <c r="F137" s="36" t="inlineStr">
        <is>
          <t>▶ Watch</t>
        </is>
      </c>
      <c r="G137" s="36" t="inlineStr">
        <is>
          <t>Q 2, 7, 13</t>
        </is>
      </c>
      <c r="H137" s="36" t="inlineStr">
        <is>
          <t>Answers</t>
        </is>
      </c>
      <c r="I137" s="35" t="inlineStr">
        <is>
          <t>Stationary Points</t>
        </is>
      </c>
      <c r="J137" s="36" t="inlineStr">
        <is>
          <t>Pages 1, 3, 4, 6</t>
        </is>
      </c>
      <c r="K137" s="36" t="inlineStr">
        <is>
          <t>Marks</t>
        </is>
      </c>
      <c r="L137" s="36" t="inlineStr">
        <is>
          <t>Answers</t>
        </is>
      </c>
      <c r="M137" s="31" t="inlineStr">
        <is>
          <t>Pure 1 Ch12</t>
        </is>
      </c>
      <c r="N137" s="37" t="inlineStr">
        <is>
          <t>Pages 5, 11, 13, 15</t>
        </is>
      </c>
      <c r="O137" s="37" t="inlineStr">
        <is>
          <t>Marks</t>
        </is>
      </c>
      <c r="P137" t="inlineStr">
        <is>
          <t>P7</t>
        </is>
      </c>
    </row>
    <row r="138" outlineLevel="1" ht="20" customHeight="1">
      <c r="A138" s="31" t="inlineStr">
        <is>
          <t>P7.3</t>
        </is>
      </c>
      <c r="B138" s="32" t="inlineStr">
        <is>
          <t>Optimisation problems in context</t>
        </is>
      </c>
      <c r="C138" s="33" t="n">
        <v>1</v>
      </c>
      <c r="D138" s="34" t="n"/>
      <c r="E138" s="35" t="n"/>
      <c r="F138" s="36" t="inlineStr">
        <is>
          <t>▶ Watch</t>
        </is>
      </c>
      <c r="G138" s="36" t="inlineStr">
        <is>
          <t>Q 11, 12</t>
        </is>
      </c>
      <c r="H138" s="36" t="inlineStr">
        <is>
          <t>Answers</t>
        </is>
      </c>
      <c r="I138" s="35" t="inlineStr">
        <is>
          <t>Basic Differentiation</t>
        </is>
      </c>
      <c r="J138" s="36" t="inlineStr">
        <is>
          <t>Pages 1, 6</t>
        </is>
      </c>
      <c r="K138" s="36" t="inlineStr">
        <is>
          <t>Marks</t>
        </is>
      </c>
      <c r="L138" s="36" t="inlineStr">
        <is>
          <t>Answers</t>
        </is>
      </c>
      <c r="M138" s="31" t="inlineStr">
        <is>
          <t>Pure 1 Ch12</t>
        </is>
      </c>
      <c r="N138" s="37" t="inlineStr">
        <is>
          <t>Pages 1–5, 7–9</t>
        </is>
      </c>
      <c r="O138" s="37" t="inlineStr">
        <is>
          <t>Marks</t>
        </is>
      </c>
      <c r="P138" t="inlineStr">
        <is>
          <t>P7</t>
        </is>
      </c>
    </row>
    <row r="139" outlineLevel="1" ht="20" customHeight="1">
      <c r="A139" s="31" t="inlineStr">
        <is>
          <t>P7.4</t>
        </is>
      </c>
      <c r="B139" s="32" t="inlineStr">
        <is>
          <t>The chain rule</t>
        </is>
      </c>
      <c r="C139" s="39" t="n">
        <v>2</v>
      </c>
      <c r="D139" s="34" t="n"/>
      <c r="E139" s="35" t="n"/>
      <c r="F139" s="36" t="inlineStr">
        <is>
          <t>▶ Watch</t>
        </is>
      </c>
      <c r="G139" s="36" t="inlineStr">
        <is>
          <t>Q 2–4, 27, 66, 70</t>
        </is>
      </c>
      <c r="H139" s="36" t="inlineStr">
        <is>
          <t>Answers</t>
        </is>
      </c>
      <c r="I139" s="35" t="inlineStr">
        <is>
          <t>Iterative Equations (Yr 2)</t>
        </is>
      </c>
      <c r="J139" s="36" t="inlineStr">
        <is>
          <t>Page 1</t>
        </is>
      </c>
      <c r="K139" s="36" t="inlineStr">
        <is>
          <t>Marks</t>
        </is>
      </c>
      <c r="L139" s="36" t="inlineStr">
        <is>
          <t>Answers</t>
        </is>
      </c>
      <c r="M139" s="31" t="inlineStr">
        <is>
          <t>Pure 2 Ch9</t>
        </is>
      </c>
      <c r="N139" s="37" t="inlineStr">
        <is>
          <t>Pages 11, 14</t>
        </is>
      </c>
      <c r="O139" s="37" t="inlineStr">
        <is>
          <t>Marks</t>
        </is>
      </c>
      <c r="P139" t="inlineStr">
        <is>
          <t>P7</t>
        </is>
      </c>
    </row>
    <row r="140" outlineLevel="1" ht="20" customHeight="1">
      <c r="A140" s="31" t="inlineStr">
        <is>
          <t>P7.4</t>
        </is>
      </c>
      <c r="B140" s="32" t="inlineStr">
        <is>
          <t>The product rule</t>
        </is>
      </c>
      <c r="C140" s="39" t="n">
        <v>2</v>
      </c>
      <c r="D140" s="34" t="n"/>
      <c r="E140" s="35" t="n"/>
      <c r="F140" s="36" t="inlineStr">
        <is>
          <t>▶ Watch</t>
        </is>
      </c>
      <c r="G140" s="36" t="inlineStr">
        <is>
          <t>Q 7–11, 13, 26, 27</t>
        </is>
      </c>
      <c r="H140" s="36" t="inlineStr">
        <is>
          <t>Answers</t>
        </is>
      </c>
      <c r="I140" s="35" t="inlineStr">
        <is>
          <t>Products and Quotients (Yr 2)</t>
        </is>
      </c>
      <c r="J140" s="36" t="inlineStr">
        <is>
          <t>Page 1</t>
        </is>
      </c>
      <c r="K140" s="36" t="inlineStr">
        <is>
          <t>Marks</t>
        </is>
      </c>
      <c r="L140" s="36" t="inlineStr">
        <is>
          <t>Answers</t>
        </is>
      </c>
      <c r="M140" s="31" t="inlineStr">
        <is>
          <t>Pure 2 Ch9</t>
        </is>
      </c>
      <c r="N140" s="37" t="inlineStr">
        <is>
          <t>Pages 5, 6, 16, 18</t>
        </is>
      </c>
      <c r="O140" s="37" t="inlineStr">
        <is>
          <t>Marks</t>
        </is>
      </c>
      <c r="P140" t="inlineStr">
        <is>
          <t>P7</t>
        </is>
      </c>
    </row>
    <row r="141" outlineLevel="1" ht="32" customHeight="1">
      <c r="A141" s="31" t="inlineStr">
        <is>
          <t>P7.4</t>
        </is>
      </c>
      <c r="B141" s="32" t="inlineStr">
        <is>
          <t>The quotient rule</t>
        </is>
      </c>
      <c r="C141" s="39" t="n">
        <v>2</v>
      </c>
      <c r="D141" s="34" t="n"/>
      <c r="E141" s="35" t="n"/>
      <c r="F141" s="36" t="inlineStr">
        <is>
          <t>▶ Watch</t>
        </is>
      </c>
      <c r="G141" s="36" t="inlineStr">
        <is>
          <t>Q 14–17, 36, 48, 53, 57</t>
        </is>
      </c>
      <c r="H141" s="36" t="inlineStr">
        <is>
          <t>Answers</t>
        </is>
      </c>
      <c r="I141" s="35" t="inlineStr">
        <is>
          <t>Products and Quotients (Yr 2)</t>
        </is>
      </c>
      <c r="J141" s="36" t="inlineStr">
        <is>
          <t>Pages 3, 4, 6</t>
        </is>
      </c>
      <c r="K141" s="36" t="inlineStr">
        <is>
          <t>Marks</t>
        </is>
      </c>
      <c r="L141" s="36" t="inlineStr">
        <is>
          <t>Answers</t>
        </is>
      </c>
      <c r="M141" s="31" t="inlineStr">
        <is>
          <t>Pure 2 Ch9</t>
        </is>
      </c>
      <c r="N141" s="37" t="inlineStr">
        <is>
          <t>Pages 2, 4, 7–9, 13, 18</t>
        </is>
      </c>
      <c r="O141" s="37" t="inlineStr">
        <is>
          <t>Marks</t>
        </is>
      </c>
      <c r="P141" t="inlineStr">
        <is>
          <t>P7</t>
        </is>
      </c>
    </row>
    <row r="142" outlineLevel="1" ht="32" customHeight="1">
      <c r="A142" s="31" t="inlineStr">
        <is>
          <t>P7.4</t>
        </is>
      </c>
      <c r="B142" s="32" t="inlineStr">
        <is>
          <t>Differentiating sec, cosec, cot and x = f(y) (dy/dx = 1 ÷ dx/dy)</t>
        </is>
      </c>
      <c r="C142" s="39" t="n">
        <v>2</v>
      </c>
      <c r="D142" s="34" t="n"/>
      <c r="E142" s="35" t="n"/>
      <c r="F142" s="36" t="inlineStr">
        <is>
          <t>▶ Watch</t>
        </is>
      </c>
      <c r="G142" s="36" t="inlineStr">
        <is>
          <t>Q 25, 28–30, 43</t>
        </is>
      </c>
      <c r="H142" s="36" t="inlineStr">
        <is>
          <t>Answers</t>
        </is>
      </c>
      <c r="I142" s="35" t="inlineStr">
        <is>
          <t>Solomon: Differentiating trigonometric functions (Yr 2)</t>
        </is>
      </c>
      <c r="J142" s="36" t="inlineStr">
        <is>
          <t>Q 2, 3, 5, 6, 14</t>
        </is>
      </c>
      <c r="K142" s="38" t="inlineStr">
        <is>
          <t>none</t>
        </is>
      </c>
      <c r="L142" s="36" t="inlineStr">
        <is>
          <t>Answers</t>
        </is>
      </c>
      <c r="M142" s="31" t="inlineStr">
        <is>
          <t>Pure 2 Ch9</t>
        </is>
      </c>
      <c r="N142" s="37" t="inlineStr">
        <is>
          <t>Pages 2, 3</t>
        </is>
      </c>
      <c r="O142" s="37" t="inlineStr">
        <is>
          <t>Marks</t>
        </is>
      </c>
      <c r="P142" t="inlineStr">
        <is>
          <t>P7</t>
        </is>
      </c>
    </row>
    <row r="143" outlineLevel="1" ht="20" customHeight="1">
      <c r="A143" s="31" t="inlineStr">
        <is>
          <t>P7.4</t>
        </is>
      </c>
      <c r="B143" s="32" t="inlineStr">
        <is>
          <t>Connected rates of change</t>
        </is>
      </c>
      <c r="C143" s="39" t="n">
        <v>2</v>
      </c>
      <c r="D143" s="34" t="n"/>
      <c r="E143" s="35" t="n"/>
      <c r="F143" s="36" t="inlineStr">
        <is>
          <t>▶ Watch</t>
        </is>
      </c>
      <c r="G143" s="36" t="inlineStr">
        <is>
          <t>Q 55</t>
        </is>
      </c>
      <c r="H143" s="36" t="inlineStr">
        <is>
          <t>Answers</t>
        </is>
      </c>
      <c r="I143" s="35" t="inlineStr">
        <is>
          <t>Rates of Change (Yr 2)</t>
        </is>
      </c>
      <c r="J143" s="36" t="inlineStr">
        <is>
          <t>Pages 1, 3</t>
        </is>
      </c>
      <c r="K143" s="36" t="inlineStr">
        <is>
          <t>Marks</t>
        </is>
      </c>
      <c r="L143" s="36" t="inlineStr">
        <is>
          <t>Answers</t>
        </is>
      </c>
      <c r="M143" s="31" t="inlineStr">
        <is>
          <t>Pure 2 Ch9</t>
        </is>
      </c>
      <c r="N143" s="37" t="inlineStr">
        <is>
          <t>Pages 10, 14</t>
        </is>
      </c>
      <c r="O143" s="37" t="inlineStr">
        <is>
          <t>Marks</t>
        </is>
      </c>
      <c r="P143" t="inlineStr">
        <is>
          <t>P7</t>
        </is>
      </c>
    </row>
    <row r="144" outlineLevel="1" ht="32" customHeight="1">
      <c r="A144" s="31" t="inlineStr">
        <is>
          <t>P7.5</t>
        </is>
      </c>
      <c r="B144" s="32" t="inlineStr">
        <is>
          <t>Parametric differentiation</t>
        </is>
      </c>
      <c r="C144" s="39" t="n">
        <v>2</v>
      </c>
      <c r="D144" s="34" t="n"/>
      <c r="E144" s="35" t="n"/>
      <c r="F144" s="36" t="inlineStr">
        <is>
          <t>▶ Watch</t>
        </is>
      </c>
      <c r="G144" s="36" t="inlineStr">
        <is>
          <t>Q 33–35, 50, 61, 71, 72</t>
        </is>
      </c>
      <c r="H144" s="36" t="inlineStr">
        <is>
          <t>Answers</t>
        </is>
      </c>
      <c r="I144" s="35" t="inlineStr">
        <is>
          <t>Parametric Differentiation (Yr 2)</t>
        </is>
      </c>
      <c r="J144" s="36" t="inlineStr">
        <is>
          <t>Pages 1, 2</t>
        </is>
      </c>
      <c r="K144" s="36" t="inlineStr">
        <is>
          <t>Marks</t>
        </is>
      </c>
      <c r="L144" s="36" t="inlineStr">
        <is>
          <t>Answers</t>
        </is>
      </c>
      <c r="M144" s="31" t="inlineStr">
        <is>
          <t>Pure 2 Ch9</t>
        </is>
      </c>
      <c r="N144" s="37" t="inlineStr">
        <is>
          <t>Pages 3–9, 14</t>
        </is>
      </c>
      <c r="O144" s="37" t="inlineStr">
        <is>
          <t>Marks</t>
        </is>
      </c>
      <c r="P144" t="inlineStr">
        <is>
          <t>P7</t>
        </is>
      </c>
    </row>
    <row r="145" outlineLevel="1" ht="32" customHeight="1">
      <c r="A145" s="31" t="inlineStr">
        <is>
          <t>P7.5</t>
        </is>
      </c>
      <c r="B145" s="32" t="inlineStr">
        <is>
          <t>Implicit differentiation</t>
        </is>
      </c>
      <c r="C145" s="39" t="n">
        <v>2</v>
      </c>
      <c r="D145" s="34" t="n"/>
      <c r="E145" s="35" t="n"/>
      <c r="F145" s="36" t="inlineStr">
        <is>
          <t>▶ Watch</t>
        </is>
      </c>
      <c r="G145" s="36" t="inlineStr">
        <is>
          <t>Q 20–22, 37, 58, 60, 63, 69</t>
        </is>
      </c>
      <c r="H145" s="36" t="inlineStr">
        <is>
          <t>Answers</t>
        </is>
      </c>
      <c r="I145" s="35" t="inlineStr">
        <is>
          <t>Tangents and Normals</t>
        </is>
      </c>
      <c r="J145" s="36" t="inlineStr">
        <is>
          <t>Pages 4, 7</t>
        </is>
      </c>
      <c r="K145" s="36" t="inlineStr">
        <is>
          <t>Marks</t>
        </is>
      </c>
      <c r="L145" s="36" t="inlineStr">
        <is>
          <t>Answers</t>
        </is>
      </c>
      <c r="M145" s="31" t="inlineStr">
        <is>
          <t>Pure 2 Ch9</t>
        </is>
      </c>
      <c r="N145" s="37" t="inlineStr">
        <is>
          <t>Pages 1, 5, 6, 9–13</t>
        </is>
      </c>
      <c r="O145" s="37" t="inlineStr">
        <is>
          <t>Marks</t>
        </is>
      </c>
      <c r="P145" t="inlineStr">
        <is>
          <t>P7</t>
        </is>
      </c>
    </row>
    <row r="146" outlineLevel="1" ht="32" customHeight="1">
      <c r="A146" s="31" t="inlineStr">
        <is>
          <t>P7.6</t>
        </is>
      </c>
      <c r="B146" s="32" t="inlineStr">
        <is>
          <t>Constructing differential equations</t>
        </is>
      </c>
      <c r="C146" s="39" t="n">
        <v>2</v>
      </c>
      <c r="D146" s="34" t="n"/>
      <c r="E146" s="35" t="n"/>
      <c r="F146" s="36" t="inlineStr">
        <is>
          <t>▶ Watch</t>
        </is>
      </c>
      <c r="G146" s="36" t="inlineStr">
        <is>
          <t>Q 33, 34, 43, 51, 71</t>
        </is>
      </c>
      <c r="H146" s="36" t="inlineStr">
        <is>
          <t>Answers</t>
        </is>
      </c>
      <c r="I146" s="35" t="inlineStr">
        <is>
          <t>Rates of Change (Yr 2)</t>
        </is>
      </c>
      <c r="J146" s="36" t="inlineStr">
        <is>
          <t>Pages 1, 3</t>
        </is>
      </c>
      <c r="K146" s="36" t="inlineStr">
        <is>
          <t>Marks</t>
        </is>
      </c>
      <c r="L146" s="36" t="inlineStr">
        <is>
          <t>Answers</t>
        </is>
      </c>
      <c r="M146" s="31" t="inlineStr">
        <is>
          <t>Pure 2 Ch11</t>
        </is>
      </c>
      <c r="N146" s="37" t="inlineStr">
        <is>
          <t>Pages 2, 5, 6, 11, 13</t>
        </is>
      </c>
      <c r="O146" s="37" t="inlineStr">
        <is>
          <t>Marks</t>
        </is>
      </c>
      <c r="P146" t="inlineStr">
        <is>
          <t>P7</t>
        </is>
      </c>
    </row>
    <row r="147" ht="10" customHeight="1"/>
    <row r="148" ht="26" customHeight="1">
      <c r="A148" s="27" t="inlineStr">
        <is>
          <t>8</t>
        </is>
      </c>
      <c r="B148" s="28" t="inlineStr">
        <is>
          <t>Integration</t>
        </is>
      </c>
      <c r="C148" s="29" t="n"/>
      <c r="D148" s="29" t="n"/>
      <c r="E148" s="30" t="inlineStr">
        <is>
          <t>18 topics  ·  Year 1: 6  ·  Year 2: 12</t>
        </is>
      </c>
      <c r="F148" s="29" t="n"/>
      <c r="G148" s="29" t="n"/>
      <c r="H148" s="29" t="n"/>
      <c r="I148" s="29" t="n"/>
      <c r="J148" s="29" t="n"/>
      <c r="K148" s="29" t="n"/>
      <c r="L148" s="29" t="n"/>
      <c r="M148" s="29" t="n"/>
      <c r="N148" s="29" t="n"/>
      <c r="O148" s="29" t="n"/>
    </row>
    <row r="149" outlineLevel="1" ht="32" customHeight="1">
      <c r="A149" s="31" t="inlineStr">
        <is>
          <t>P8.1</t>
        </is>
      </c>
      <c r="B149" s="32" t="inlineStr">
        <is>
          <t>Fundamental Theorem of Calculus: integration as the reverse of differentiation (+ c)</t>
        </is>
      </c>
      <c r="C149" s="33" t="n">
        <v>1</v>
      </c>
      <c r="D149" s="34" t="n"/>
      <c r="E149" s="35" t="n"/>
      <c r="F149" s="36" t="inlineStr">
        <is>
          <t>▶ Watch</t>
        </is>
      </c>
      <c r="G149" s="36" t="inlineStr">
        <is>
          <t>Q 1, 2</t>
        </is>
      </c>
      <c r="H149" s="36" t="inlineStr">
        <is>
          <t>Answers</t>
        </is>
      </c>
      <c r="I149" s="35" t="inlineStr">
        <is>
          <t>Basic Integration</t>
        </is>
      </c>
      <c r="J149" s="36" t="inlineStr">
        <is>
          <t>Pages 1, 2, 5</t>
        </is>
      </c>
      <c r="K149" s="36" t="inlineStr">
        <is>
          <t>Marks</t>
        </is>
      </c>
      <c r="L149" s="36" t="inlineStr">
        <is>
          <t>Answers</t>
        </is>
      </c>
      <c r="M149" s="31" t="inlineStr">
        <is>
          <t>Pure 1 Ch13</t>
        </is>
      </c>
      <c r="N149" s="37" t="inlineStr">
        <is>
          <t>Pages 1, 3, 12, 16</t>
        </is>
      </c>
      <c r="O149" s="37" t="inlineStr">
        <is>
          <t>Marks</t>
        </is>
      </c>
      <c r="P149" t="inlineStr">
        <is>
          <t>P8</t>
        </is>
      </c>
    </row>
    <row r="150" outlineLevel="1" ht="32" customHeight="1">
      <c r="A150" s="31" t="inlineStr">
        <is>
          <t>P8.2</t>
        </is>
      </c>
      <c r="B150" s="32" t="inlineStr">
        <is>
          <t>Integrating xⁿ and sums of terms</t>
        </is>
      </c>
      <c r="C150" s="33" t="n">
        <v>1</v>
      </c>
      <c r="D150" s="34" t="n"/>
      <c r="E150" s="35" t="n"/>
      <c r="F150" s="36" t="inlineStr">
        <is>
          <t>▶ Watch</t>
        </is>
      </c>
      <c r="G150" s="36" t="inlineStr">
        <is>
          <t>Q 1–3, 5–8</t>
        </is>
      </c>
      <c r="H150" s="36" t="inlineStr">
        <is>
          <t>Answers</t>
        </is>
      </c>
      <c r="I150" s="35" t="inlineStr">
        <is>
          <t>Basic Integration</t>
        </is>
      </c>
      <c r="J150" s="36" t="inlineStr">
        <is>
          <t>Pages 1, 2, 5</t>
        </is>
      </c>
      <c r="K150" s="36" t="inlineStr">
        <is>
          <t>Marks</t>
        </is>
      </c>
      <c r="L150" s="36" t="inlineStr">
        <is>
          <t>Answers</t>
        </is>
      </c>
      <c r="M150" s="31" t="inlineStr">
        <is>
          <t>Pure 1 Ch13</t>
        </is>
      </c>
      <c r="N150" s="37" t="inlineStr">
        <is>
          <t>Pages 1, 3, 9, 10, 12, 14, 16, 18</t>
        </is>
      </c>
      <c r="O150" s="37" t="inlineStr">
        <is>
          <t>Marks</t>
        </is>
      </c>
      <c r="P150" t="inlineStr">
        <is>
          <t>P8</t>
        </is>
      </c>
    </row>
    <row r="151" outlineLevel="1" ht="20" customHeight="1">
      <c r="A151" s="31" t="inlineStr">
        <is>
          <t>P8.2</t>
        </is>
      </c>
      <c r="B151" s="32" t="inlineStr">
        <is>
          <t>Finding a function from its derivative (finding c)</t>
        </is>
      </c>
      <c r="C151" s="33" t="n">
        <v>1</v>
      </c>
      <c r="D151" s="34" t="n"/>
      <c r="E151" s="35" t="n"/>
      <c r="F151" s="36" t="inlineStr">
        <is>
          <t>▶ Watch</t>
        </is>
      </c>
      <c r="G151" s="36" t="inlineStr">
        <is>
          <t>Q 4, 7, 9</t>
        </is>
      </c>
      <c r="H151" s="36" t="inlineStr">
        <is>
          <t>Answers</t>
        </is>
      </c>
      <c r="I151" s="35" t="inlineStr">
        <is>
          <t>Basic Integration</t>
        </is>
      </c>
      <c r="J151" s="36" t="inlineStr">
        <is>
          <t>Pages 4, 6</t>
        </is>
      </c>
      <c r="K151" s="36" t="inlineStr">
        <is>
          <t>Marks</t>
        </is>
      </c>
      <c r="L151" s="36" t="inlineStr">
        <is>
          <t>Answers</t>
        </is>
      </c>
      <c r="M151" s="31" t="inlineStr">
        <is>
          <t>Pure 1 Ch13</t>
        </is>
      </c>
      <c r="N151" s="37" t="inlineStr">
        <is>
          <t>Page 9</t>
        </is>
      </c>
      <c r="O151" s="37" t="inlineStr">
        <is>
          <t>Marks</t>
        </is>
      </c>
      <c r="P151" t="inlineStr">
        <is>
          <t>P8</t>
        </is>
      </c>
    </row>
    <row r="152" outlineLevel="1" ht="32" customHeight="1">
      <c r="A152" s="31" t="inlineStr">
        <is>
          <t>P8.3</t>
        </is>
      </c>
      <c r="B152" s="32" t="inlineStr">
        <is>
          <t>Definite integrals</t>
        </is>
      </c>
      <c r="C152" s="33" t="n">
        <v>1</v>
      </c>
      <c r="D152" s="34" t="n"/>
      <c r="E152" s="35" t="n"/>
      <c r="F152" s="36" t="inlineStr">
        <is>
          <t>▶ Watch</t>
        </is>
      </c>
      <c r="G152" s="36" t="inlineStr">
        <is>
          <t>Q 10–12</t>
        </is>
      </c>
      <c r="H152" s="36" t="inlineStr">
        <is>
          <t>Answers</t>
        </is>
      </c>
      <c r="I152" s="35" t="inlineStr">
        <is>
          <t>Definite Integration</t>
        </is>
      </c>
      <c r="J152" s="36" t="inlineStr">
        <is>
          <t>Page 1</t>
        </is>
      </c>
      <c r="K152" s="36" t="inlineStr">
        <is>
          <t>Marks</t>
        </is>
      </c>
      <c r="L152" s="36" t="inlineStr">
        <is>
          <t>Answers</t>
        </is>
      </c>
      <c r="M152" s="31" t="inlineStr">
        <is>
          <t>Pure 1 Ch13</t>
        </is>
      </c>
      <c r="N152" s="37" t="inlineStr">
        <is>
          <t>Pages 3, 5, 7, 12, 14</t>
        </is>
      </c>
      <c r="O152" s="37" t="inlineStr">
        <is>
          <t>Marks</t>
        </is>
      </c>
      <c r="P152" t="inlineStr">
        <is>
          <t>P8</t>
        </is>
      </c>
    </row>
    <row r="153" outlineLevel="1" ht="20" customHeight="1">
      <c r="A153" s="31" t="inlineStr">
        <is>
          <t>P8.3</t>
        </is>
      </c>
      <c r="B153" s="32" t="inlineStr">
        <is>
          <t>Areas under curves (incl. below the x-axis)</t>
        </is>
      </c>
      <c r="C153" s="33" t="n">
        <v>1</v>
      </c>
      <c r="D153" s="34" t="n"/>
      <c r="E153" s="35" t="n"/>
      <c r="F153" s="36" t="inlineStr">
        <is>
          <t>▶ Watch</t>
        </is>
      </c>
      <c r="G153" s="36" t="inlineStr">
        <is>
          <t>Q 11</t>
        </is>
      </c>
      <c r="H153" s="36" t="inlineStr">
        <is>
          <t>Answers</t>
        </is>
      </c>
      <c r="I153" s="35" t="inlineStr">
        <is>
          <t>Areas by Integration (Yr 2)</t>
        </is>
      </c>
      <c r="J153" s="36" t="inlineStr">
        <is>
          <t>Page 2</t>
        </is>
      </c>
      <c r="K153" s="36" t="inlineStr">
        <is>
          <t>Marks</t>
        </is>
      </c>
      <c r="L153" s="36" t="inlineStr">
        <is>
          <t>Answers</t>
        </is>
      </c>
      <c r="M153" s="31" t="inlineStr">
        <is>
          <t>Pure 1 Ch13</t>
        </is>
      </c>
      <c r="N153" s="37" t="inlineStr">
        <is>
          <t>Pages 4, 6, 9</t>
        </is>
      </c>
      <c r="O153" s="37" t="inlineStr">
        <is>
          <t>Marks</t>
        </is>
      </c>
      <c r="P153" t="inlineStr">
        <is>
          <t>P8</t>
        </is>
      </c>
    </row>
    <row r="154" outlineLevel="1" ht="32" customHeight="1">
      <c r="A154" s="31" t="inlineStr">
        <is>
          <t>P8.3</t>
        </is>
      </c>
      <c r="B154" s="32" t="inlineStr">
        <is>
          <t>Areas between curves and lines</t>
        </is>
      </c>
      <c r="C154" s="33" t="n">
        <v>1</v>
      </c>
      <c r="D154" s="34" t="n"/>
      <c r="E154" s="35" t="n"/>
      <c r="F154" s="36" t="inlineStr">
        <is>
          <t>▶ Watch</t>
        </is>
      </c>
      <c r="G154" s="36" t="inlineStr">
        <is>
          <t>Q 10, 12</t>
        </is>
      </c>
      <c r="H154" s="36" t="inlineStr">
        <is>
          <t>Answers</t>
        </is>
      </c>
      <c r="I154" s="35" t="inlineStr">
        <is>
          <t>Areas by Integration</t>
        </is>
      </c>
      <c r="J154" s="36" t="inlineStr">
        <is>
          <t>Pages 1–4</t>
        </is>
      </c>
      <c r="K154" s="36" t="inlineStr">
        <is>
          <t>Marks</t>
        </is>
      </c>
      <c r="L154" s="36" t="inlineStr">
        <is>
          <t>Answers</t>
        </is>
      </c>
      <c r="M154" s="31" t="inlineStr">
        <is>
          <t>Pure 1 Ch13</t>
        </is>
      </c>
      <c r="N154" s="37" t="inlineStr">
        <is>
          <t>Pages 2, 8, 11, 13, 15, 17</t>
        </is>
      </c>
      <c r="O154" s="37" t="inlineStr">
        <is>
          <t>Marks</t>
        </is>
      </c>
      <c r="P154" t="inlineStr">
        <is>
          <t>P8</t>
        </is>
      </c>
    </row>
    <row r="155" outlineLevel="1" ht="20" customHeight="1">
      <c r="A155" s="31" t="inlineStr">
        <is>
          <t>P8.2</t>
        </is>
      </c>
      <c r="B155" s="32" t="inlineStr">
        <is>
          <t>Integrating standard functions (eˣ, 1/x, sin, cos, sec² …)</t>
        </is>
      </c>
      <c r="C155" s="39" t="n">
        <v>2</v>
      </c>
      <c r="D155" s="34" t="n"/>
      <c r="E155" s="35" t="n"/>
      <c r="F155" s="36" t="inlineStr">
        <is>
          <t>▶ Watch</t>
        </is>
      </c>
      <c r="G155" s="36" t="inlineStr">
        <is>
          <t>Q 1, 3, 27, 28</t>
        </is>
      </c>
      <c r="H155" s="36" t="inlineStr">
        <is>
          <t>Answers</t>
        </is>
      </c>
      <c r="I155" s="35" t="inlineStr">
        <is>
          <t>Definite Integration (Yr 2)</t>
        </is>
      </c>
      <c r="J155" s="36" t="inlineStr">
        <is>
          <t>Page 1</t>
        </is>
      </c>
      <c r="K155" s="36" t="inlineStr">
        <is>
          <t>Marks</t>
        </is>
      </c>
      <c r="L155" s="36" t="inlineStr">
        <is>
          <t>Answers</t>
        </is>
      </c>
      <c r="M155" s="31" t="inlineStr">
        <is>
          <t>Pure 2 Ch11</t>
        </is>
      </c>
      <c r="N155" s="37" t="inlineStr">
        <is>
          <t>Pages 1, 13</t>
        </is>
      </c>
      <c r="O155" s="37" t="inlineStr">
        <is>
          <t>Marks</t>
        </is>
      </c>
      <c r="P155" t="inlineStr">
        <is>
          <t>P8</t>
        </is>
      </c>
    </row>
    <row r="156" outlineLevel="1" ht="32" customHeight="1">
      <c r="A156" s="31" t="inlineStr">
        <is>
          <t>P8.2</t>
        </is>
      </c>
      <c r="B156" s="32" t="inlineStr">
        <is>
          <t>Integrating f(ax + b)</t>
        </is>
      </c>
      <c r="C156" s="39" t="n">
        <v>2</v>
      </c>
      <c r="D156" s="34" t="n"/>
      <c r="E156" s="35" t="n"/>
      <c r="F156" s="36" t="inlineStr">
        <is>
          <t>▶ Watch</t>
        </is>
      </c>
      <c r="G156" s="36" t="inlineStr">
        <is>
          <t>Q 1, 4, 26–30</t>
        </is>
      </c>
      <c r="H156" s="36" t="inlineStr">
        <is>
          <t>Answers</t>
        </is>
      </c>
      <c r="I156" s="35" t="inlineStr">
        <is>
          <t>Solomon: Integrating functions of ax + b (Yr 2)</t>
        </is>
      </c>
      <c r="J156" s="36" t="inlineStr">
        <is>
          <t>Q 1–6</t>
        </is>
      </c>
      <c r="K156" s="38" t="inlineStr">
        <is>
          <t>none</t>
        </is>
      </c>
      <c r="L156" s="36" t="inlineStr">
        <is>
          <t>Answers</t>
        </is>
      </c>
      <c r="M156" s="31" t="inlineStr">
        <is>
          <t>Pure 2 Ch11</t>
        </is>
      </c>
      <c r="N156" s="37" t="inlineStr">
        <is>
          <t>Pages 1, 11, 19</t>
        </is>
      </c>
      <c r="O156" s="37" t="inlineStr">
        <is>
          <t>Marks</t>
        </is>
      </c>
      <c r="P156" t="inlineStr">
        <is>
          <t>P8</t>
        </is>
      </c>
    </row>
    <row r="157" outlineLevel="1" ht="32" customHeight="1">
      <c r="A157" s="31" t="inlineStr">
        <is>
          <t>P8.2</t>
        </is>
      </c>
      <c r="B157" s="32" t="inlineStr">
        <is>
          <t>Integration using trig identities (e.g. sin²x, tan²x)</t>
        </is>
      </c>
      <c r="C157" s="39" t="n">
        <v>2</v>
      </c>
      <c r="D157" s="34" t="n"/>
      <c r="E157" s="35" t="n"/>
      <c r="F157" s="36" t="inlineStr">
        <is>
          <t>▶ Watch</t>
        </is>
      </c>
      <c r="G157" s="36" t="inlineStr">
        <is>
          <t>Q 2, 4–7, 57</t>
        </is>
      </c>
      <c r="H157" s="36" t="inlineStr">
        <is>
          <t>Answers</t>
        </is>
      </c>
      <c r="I157" s="35" t="inlineStr">
        <is>
          <t>Solomon: Integrating trigonometric functions (Yr 2)</t>
        </is>
      </c>
      <c r="J157" s="36" t="inlineStr">
        <is>
          <t>Q 3–6</t>
        </is>
      </c>
      <c r="K157" s="38" t="inlineStr">
        <is>
          <t>none</t>
        </is>
      </c>
      <c r="L157" s="36" t="inlineStr">
        <is>
          <t>Answers</t>
        </is>
      </c>
      <c r="M157" s="31" t="inlineStr">
        <is>
          <t>Pure 2 Ch11</t>
        </is>
      </c>
      <c r="N157" s="37" t="inlineStr">
        <is>
          <t>Page 14</t>
        </is>
      </c>
      <c r="O157" s="37" t="inlineStr">
        <is>
          <t>Marks</t>
        </is>
      </c>
      <c r="P157" t="inlineStr">
        <is>
          <t>P8</t>
        </is>
      </c>
    </row>
    <row r="158" outlineLevel="1" ht="32" customHeight="1">
      <c r="A158" s="31" t="inlineStr">
        <is>
          <t>P8.5</t>
        </is>
      </c>
      <c r="B158" s="32" t="inlineStr">
        <is>
          <t>Reverse chain rule (f′(x)/f(x) and f′(x)[f(x)]ⁿ)</t>
        </is>
      </c>
      <c r="C158" s="39" t="n">
        <v>2</v>
      </c>
      <c r="D158" s="34" t="n"/>
      <c r="E158" s="35" t="n"/>
      <c r="F158" s="36" t="inlineStr">
        <is>
          <t>▶ Watch</t>
        </is>
      </c>
      <c r="G158" s="36" t="inlineStr">
        <is>
          <t>Q 3, 45, 63</t>
        </is>
      </c>
      <c r="H158" s="36" t="inlineStr">
        <is>
          <t>Answers</t>
        </is>
      </c>
      <c r="I158" s="35" t="inlineStr">
        <is>
          <t>Solomon: Integration by substitution (Yr 2)</t>
        </is>
      </c>
      <c r="J158" s="36" t="inlineStr">
        <is>
          <t>Q 6–8</t>
        </is>
      </c>
      <c r="K158" s="38" t="inlineStr">
        <is>
          <t>none</t>
        </is>
      </c>
      <c r="L158" s="36" t="inlineStr">
        <is>
          <t>Answers</t>
        </is>
      </c>
      <c r="M158" s="31" t="inlineStr">
        <is>
          <t>Pure 2 Ch11</t>
        </is>
      </c>
      <c r="N158" s="37" t="inlineStr">
        <is>
          <t>Page 11</t>
        </is>
      </c>
      <c r="O158" s="37" t="inlineStr">
        <is>
          <t>Marks</t>
        </is>
      </c>
      <c r="P158" t="inlineStr">
        <is>
          <t>P8</t>
        </is>
      </c>
    </row>
    <row r="159" outlineLevel="1" ht="32" customHeight="1">
      <c r="A159" s="31" t="inlineStr">
        <is>
          <t>P8.5</t>
        </is>
      </c>
      <c r="B159" s="32" t="inlineStr">
        <is>
          <t>Integration by substitution</t>
        </is>
      </c>
      <c r="C159" s="39" t="n">
        <v>2</v>
      </c>
      <c r="D159" s="34" t="n"/>
      <c r="E159" s="35" t="n"/>
      <c r="F159" s="36" t="inlineStr">
        <is>
          <t>▶ Watch</t>
        </is>
      </c>
      <c r="G159" s="36" t="inlineStr">
        <is>
          <t>Q 8, 11, 13, 14, 47, 48, 61, 69</t>
        </is>
      </c>
      <c r="H159" s="36" t="inlineStr">
        <is>
          <t>Answers</t>
        </is>
      </c>
      <c r="I159" s="35" t="inlineStr">
        <is>
          <t>Integration by Substitution (Yr 2)</t>
        </is>
      </c>
      <c r="J159" s="36" t="inlineStr">
        <is>
          <t>Pages 1, 2</t>
        </is>
      </c>
      <c r="K159" s="36" t="inlineStr">
        <is>
          <t>Marks</t>
        </is>
      </c>
      <c r="L159" s="36" t="inlineStr">
        <is>
          <t>Answers</t>
        </is>
      </c>
      <c r="M159" s="31" t="inlineStr">
        <is>
          <t>Pure 2 Ch11</t>
        </is>
      </c>
      <c r="N159" s="37" t="inlineStr">
        <is>
          <t>Pages 4, 7, 13, 14</t>
        </is>
      </c>
      <c r="O159" s="37" t="inlineStr">
        <is>
          <t>Marks</t>
        </is>
      </c>
      <c r="P159" t="inlineStr">
        <is>
          <t>P8</t>
        </is>
      </c>
    </row>
    <row r="160" outlineLevel="1" ht="20" customHeight="1">
      <c r="A160" s="31" t="inlineStr">
        <is>
          <t>P8.5</t>
        </is>
      </c>
      <c r="B160" s="32" t="inlineStr">
        <is>
          <t>Integration by parts</t>
        </is>
      </c>
      <c r="C160" s="39" t="n">
        <v>2</v>
      </c>
      <c r="D160" s="34" t="n"/>
      <c r="E160" s="35" t="n"/>
      <c r="F160" s="36" t="inlineStr">
        <is>
          <t>▶ Watch</t>
        </is>
      </c>
      <c r="G160" s="36" t="inlineStr">
        <is>
          <t>Q 18–25</t>
        </is>
      </c>
      <c r="H160" s="36" t="inlineStr">
        <is>
          <t>Answers</t>
        </is>
      </c>
      <c r="I160" s="35" t="inlineStr">
        <is>
          <t>Integration by Parts (Yr 2)</t>
        </is>
      </c>
      <c r="J160" s="36" t="inlineStr">
        <is>
          <t>Pages 1, 2</t>
        </is>
      </c>
      <c r="K160" s="36" t="inlineStr">
        <is>
          <t>Marks</t>
        </is>
      </c>
      <c r="L160" s="36" t="inlineStr">
        <is>
          <t>Answers</t>
        </is>
      </c>
      <c r="M160" s="31" t="inlineStr">
        <is>
          <t>Pure 2 Ch11</t>
        </is>
      </c>
      <c r="N160" s="37" t="inlineStr">
        <is>
          <t>Pages 14–16, 19</t>
        </is>
      </c>
      <c r="O160" s="37" t="inlineStr">
        <is>
          <t>Marks</t>
        </is>
      </c>
      <c r="P160" t="inlineStr">
        <is>
          <t>P8</t>
        </is>
      </c>
    </row>
    <row r="161" outlineLevel="1" ht="20" customHeight="1">
      <c r="A161" s="31" t="inlineStr">
        <is>
          <t>P8.6</t>
        </is>
      </c>
      <c r="B161" s="32" t="inlineStr">
        <is>
          <t>Integration using partial fractions</t>
        </is>
      </c>
      <c r="C161" s="39" t="n">
        <v>2</v>
      </c>
      <c r="D161" s="34" t="n"/>
      <c r="E161" s="35" t="n"/>
      <c r="F161" s="36" t="inlineStr">
        <is>
          <t>▶ Watch</t>
        </is>
      </c>
      <c r="G161" s="36" t="inlineStr">
        <is>
          <t>Q 31, 32, 49, 65</t>
        </is>
      </c>
      <c r="H161" s="36" t="inlineStr">
        <is>
          <t>Answers</t>
        </is>
      </c>
      <c r="I161" s="35" t="inlineStr">
        <is>
          <t>Definite Integration (Yr 2)</t>
        </is>
      </c>
      <c r="J161" s="36" t="inlineStr">
        <is>
          <t>Page 5</t>
        </is>
      </c>
      <c r="K161" s="36" t="inlineStr">
        <is>
          <t>Marks</t>
        </is>
      </c>
      <c r="L161" s="36" t="inlineStr">
        <is>
          <t>Answers</t>
        </is>
      </c>
      <c r="M161" s="31" t="inlineStr">
        <is>
          <t>Pure 2 Ch11</t>
        </is>
      </c>
      <c r="N161" s="37" t="inlineStr">
        <is>
          <t>Pages 5, 18</t>
        </is>
      </c>
      <c r="O161" s="37" t="inlineStr">
        <is>
          <t>Marks</t>
        </is>
      </c>
      <c r="P161" t="inlineStr">
        <is>
          <t>P8</t>
        </is>
      </c>
    </row>
    <row r="162" outlineLevel="1" ht="32" customHeight="1">
      <c r="A162" s="31" t="inlineStr">
        <is>
          <t>P8.3</t>
        </is>
      </c>
      <c r="B162" s="32" t="inlineStr">
        <is>
          <t>Areas between a curve and a line, or two curves (Year 2 functions)</t>
        </is>
      </c>
      <c r="C162" s="39" t="n">
        <v>2</v>
      </c>
      <c r="D162" s="34" t="n"/>
      <c r="E162" s="35" t="n"/>
      <c r="F162" s="36" t="inlineStr">
        <is>
          <t>▶ Watch</t>
        </is>
      </c>
      <c r="G162" s="36" t="inlineStr">
        <is>
          <t>Q 60</t>
        </is>
      </c>
      <c r="H162" s="36" t="inlineStr">
        <is>
          <t>Answers</t>
        </is>
      </c>
      <c r="I162" s="35" t="inlineStr">
        <is>
          <t>Set A: Finding Areas using Integration 2 (Yr 2)</t>
        </is>
      </c>
      <c r="J162" s="36" t="inlineStr">
        <is>
          <t>Pages 5, 8, 11</t>
        </is>
      </c>
      <c r="K162" s="38" t="inlineStr">
        <is>
          <t>in the PDF</t>
        </is>
      </c>
      <c r="L162" s="38" t="inlineStr">
        <is>
          <t>in the PDF</t>
        </is>
      </c>
      <c r="M162" s="31" t="inlineStr">
        <is>
          <t>Pure 2 Ch11</t>
        </is>
      </c>
      <c r="N162" s="37" t="inlineStr">
        <is>
          <t>Page 3</t>
        </is>
      </c>
      <c r="O162" s="37" t="inlineStr">
        <is>
          <t>Marks</t>
        </is>
      </c>
      <c r="P162" t="inlineStr">
        <is>
          <t>P8</t>
        </is>
      </c>
    </row>
    <row r="163" outlineLevel="1" ht="20" customHeight="1">
      <c r="A163" s="31" t="inlineStr">
        <is>
          <t>P8.4</t>
        </is>
      </c>
      <c r="B163" s="32" t="inlineStr">
        <is>
          <t>Integration as the limit of a sum</t>
        </is>
      </c>
      <c r="C163" s="39" t="n">
        <v>2</v>
      </c>
      <c r="D163" s="34" t="n"/>
      <c r="E163" s="35" t="n"/>
      <c r="F163" s="36" t="inlineStr">
        <is>
          <t>▶ Watch</t>
        </is>
      </c>
      <c r="G163" s="36" t="inlineStr">
        <is>
          <t>Q 46</t>
        </is>
      </c>
      <c r="H163" s="36" t="inlineStr">
        <is>
          <t>Answers</t>
        </is>
      </c>
      <c r="I163" s="35" t="inlineStr">
        <is>
          <t>Definite Integration (Yr 2)</t>
        </is>
      </c>
      <c r="J163" s="36" t="inlineStr">
        <is>
          <t>Page 1</t>
        </is>
      </c>
      <c r="K163" s="36" t="inlineStr">
        <is>
          <t>Marks</t>
        </is>
      </c>
      <c r="L163" s="36" t="inlineStr">
        <is>
          <t>Answers</t>
        </is>
      </c>
      <c r="M163" s="31" t="inlineStr">
        <is>
          <t>Pure 2 Ch11</t>
        </is>
      </c>
      <c r="N163" s="37" t="inlineStr">
        <is>
          <t>Page 6</t>
        </is>
      </c>
      <c r="O163" s="37" t="inlineStr">
        <is>
          <t>Marks</t>
        </is>
      </c>
      <c r="P163" t="inlineStr">
        <is>
          <t>P8</t>
        </is>
      </c>
    </row>
    <row r="164" outlineLevel="1" ht="20" customHeight="1">
      <c r="A164" s="31" t="inlineStr">
        <is>
          <t>P8.3</t>
        </is>
      </c>
      <c r="B164" s="32" t="inlineStr">
        <is>
          <t>Area under a parametric curve</t>
        </is>
      </c>
      <c r="C164" s="39" t="n">
        <v>2</v>
      </c>
      <c r="D164" s="34" t="n"/>
      <c r="E164" s="35" t="n"/>
      <c r="F164" s="36" t="inlineStr">
        <is>
          <t>▶ Watch</t>
        </is>
      </c>
      <c r="G164" s="36" t="inlineStr">
        <is>
          <t>Q 15–17, 55</t>
        </is>
      </c>
      <c r="H164" s="36" t="inlineStr">
        <is>
          <t>Answers</t>
        </is>
      </c>
      <c r="I164" s="35" t="inlineStr">
        <is>
          <t>Parametric Integration (Yr 2)</t>
        </is>
      </c>
      <c r="J164" s="36" t="inlineStr">
        <is>
          <t>Page 1</t>
        </is>
      </c>
      <c r="K164" s="36" t="inlineStr">
        <is>
          <t>Marks</t>
        </is>
      </c>
      <c r="L164" s="36" t="inlineStr">
        <is>
          <t>Answers</t>
        </is>
      </c>
      <c r="M164" s="31" t="inlineStr">
        <is>
          <t>Pure 2 Ch11</t>
        </is>
      </c>
      <c r="N164" s="37" t="inlineStr">
        <is>
          <t>Pages 1, 2, 4, 5, 7</t>
        </is>
      </c>
      <c r="O164" s="37" t="inlineStr">
        <is>
          <t>Marks</t>
        </is>
      </c>
      <c r="P164" t="inlineStr">
        <is>
          <t>P8</t>
        </is>
      </c>
    </row>
    <row r="165" outlineLevel="1" ht="32" customHeight="1">
      <c r="A165" s="31" t="inlineStr">
        <is>
          <t>P8.7</t>
        </is>
      </c>
      <c r="B165" s="32" t="inlineStr">
        <is>
          <t>Solving separable differential equations (incl. families of solution curves)</t>
        </is>
      </c>
      <c r="C165" s="39" t="n">
        <v>2</v>
      </c>
      <c r="D165" s="34" t="n"/>
      <c r="E165" s="35" t="n"/>
      <c r="F165" s="36" t="inlineStr">
        <is>
          <t>▶ Watch</t>
        </is>
      </c>
      <c r="G165" s="36" t="inlineStr">
        <is>
          <t>Q 35–38, 64, 70</t>
        </is>
      </c>
      <c r="H165" s="36" t="inlineStr">
        <is>
          <t>Answers</t>
        </is>
      </c>
      <c r="I165" s="35" t="inlineStr">
        <is>
          <t>Differential Equations (Yr 2)</t>
        </is>
      </c>
      <c r="J165" s="36" t="inlineStr">
        <is>
          <t>Pages 1, 2</t>
        </is>
      </c>
      <c r="K165" s="36" t="inlineStr">
        <is>
          <t>Marks</t>
        </is>
      </c>
      <c r="L165" s="36" t="inlineStr">
        <is>
          <t>Answers</t>
        </is>
      </c>
      <c r="M165" s="31" t="inlineStr">
        <is>
          <t>Pure 2 Ch11</t>
        </is>
      </c>
      <c r="N165" s="37" t="inlineStr">
        <is>
          <t>Pages 1, 8–10, 15, 16</t>
        </is>
      </c>
      <c r="O165" s="37" t="inlineStr">
        <is>
          <t>Marks</t>
        </is>
      </c>
      <c r="P165" t="inlineStr">
        <is>
          <t>P8</t>
        </is>
      </c>
    </row>
    <row r="166" outlineLevel="1" ht="32" customHeight="1">
      <c r="A166" s="31" t="inlineStr">
        <is>
          <t>P8.8</t>
        </is>
      </c>
      <c r="B166" s="32" t="inlineStr">
        <is>
          <t>Modelling with differential equations (interpreting solutions)</t>
        </is>
      </c>
      <c r="C166" s="39" t="n">
        <v>2</v>
      </c>
      <c r="D166" s="34" t="n"/>
      <c r="E166" s="35" t="n"/>
      <c r="F166" s="36" t="inlineStr">
        <is>
          <t>▶ Watch</t>
        </is>
      </c>
      <c r="G166" s="36" t="inlineStr">
        <is>
          <t>Q 33, 34, 39, 41–43, 51, 71</t>
        </is>
      </c>
      <c r="H166" s="36" t="inlineStr">
        <is>
          <t>Answers</t>
        </is>
      </c>
      <c r="I166" s="35" t="inlineStr">
        <is>
          <t>Differential Equations (Yr 2)</t>
        </is>
      </c>
      <c r="J166" s="36" t="inlineStr">
        <is>
          <t>Pages 1, 2</t>
        </is>
      </c>
      <c r="K166" s="36" t="inlineStr">
        <is>
          <t>Marks</t>
        </is>
      </c>
      <c r="L166" s="36" t="inlineStr">
        <is>
          <t>Answers</t>
        </is>
      </c>
      <c r="M166" s="31" t="inlineStr">
        <is>
          <t>Pure 2 Ch11</t>
        </is>
      </c>
      <c r="N166" s="37" t="inlineStr">
        <is>
          <t>Pages 1, 2, 4, 6, 11, 13, 15, 16</t>
        </is>
      </c>
      <c r="O166" s="37" t="inlineStr">
        <is>
          <t>Marks</t>
        </is>
      </c>
      <c r="P166" t="inlineStr">
        <is>
          <t>P8</t>
        </is>
      </c>
    </row>
    <row r="167" ht="10" customHeight="1"/>
    <row r="168" ht="26" customHeight="1">
      <c r="A168" s="27" t="inlineStr">
        <is>
          <t>9</t>
        </is>
      </c>
      <c r="B168" s="28" t="inlineStr">
        <is>
          <t>Numerical methods</t>
        </is>
      </c>
      <c r="C168" s="29" t="n"/>
      <c r="D168" s="29" t="n"/>
      <c r="E168" s="30" t="inlineStr">
        <is>
          <t>5 topics  ·  Year 2: 5</t>
        </is>
      </c>
      <c r="F168" s="29" t="n"/>
      <c r="G168" s="29" t="n"/>
      <c r="H168" s="29" t="n"/>
      <c r="I168" s="29" t="n"/>
      <c r="J168" s="29" t="n"/>
      <c r="K168" s="29" t="n"/>
      <c r="L168" s="29" t="n"/>
      <c r="M168" s="29" t="n"/>
      <c r="N168" s="29" t="n"/>
      <c r="O168" s="29" t="n"/>
    </row>
    <row r="169" outlineLevel="1" ht="32" customHeight="1">
      <c r="A169" s="31" t="inlineStr">
        <is>
          <t>P9.1</t>
        </is>
      </c>
      <c r="B169" s="32" t="inlineStr">
        <is>
          <t>Locating roots (change of sign) and when it fails</t>
        </is>
      </c>
      <c r="C169" s="39" t="n">
        <v>2</v>
      </c>
      <c r="D169" s="34" t="n"/>
      <c r="E169" s="35" t="n"/>
      <c r="F169" s="36" t="inlineStr">
        <is>
          <t>▶ Watch</t>
        </is>
      </c>
      <c r="G169" s="36" t="inlineStr">
        <is>
          <t>Q 1–3, 6, 7, 14, 16, 18</t>
        </is>
      </c>
      <c r="H169" s="36" t="inlineStr">
        <is>
          <t>Answers</t>
        </is>
      </c>
      <c r="I169" s="35" t="inlineStr">
        <is>
          <t>Location of Roots (Yr 2)</t>
        </is>
      </c>
      <c r="J169" s="36" t="inlineStr">
        <is>
          <t>Pages 1, 2</t>
        </is>
      </c>
      <c r="K169" s="36" t="inlineStr">
        <is>
          <t>Marks</t>
        </is>
      </c>
      <c r="L169" s="36" t="inlineStr">
        <is>
          <t>Answers</t>
        </is>
      </c>
      <c r="M169" s="31" t="inlineStr">
        <is>
          <t>Pure 2 Ch10</t>
        </is>
      </c>
      <c r="N169" s="37" t="inlineStr">
        <is>
          <t>Pages 1, 3, 6, 8–12</t>
        </is>
      </c>
      <c r="O169" s="37" t="inlineStr">
        <is>
          <t>Marks</t>
        </is>
      </c>
      <c r="P169" t="inlineStr">
        <is>
          <t>P9</t>
        </is>
      </c>
    </row>
    <row r="170" outlineLevel="1" ht="32" customHeight="1">
      <c r="A170" s="31" t="inlineStr">
        <is>
          <t>P9.2</t>
        </is>
      </c>
      <c r="B170" s="32" t="inlineStr">
        <is>
          <t>Iteration xₙ₊₁ = g(xₙ), cobweb and staircase diagrams (incl. when it fails)</t>
        </is>
      </c>
      <c r="C170" s="39" t="n">
        <v>2</v>
      </c>
      <c r="D170" s="34" t="n"/>
      <c r="E170" s="35" t="n"/>
      <c r="F170" s="36" t="inlineStr">
        <is>
          <t>▶ Watch</t>
        </is>
      </c>
      <c r="G170" s="36" t="inlineStr">
        <is>
          <t>Q 1–4, 11, 12, 15, 19</t>
        </is>
      </c>
      <c r="H170" s="36" t="inlineStr">
        <is>
          <t>Answers</t>
        </is>
      </c>
      <c r="I170" s="35" t="inlineStr">
        <is>
          <t>Iterative Equations (Yr 2)</t>
        </is>
      </c>
      <c r="J170" s="36" t="inlineStr">
        <is>
          <t>Pages 1–3</t>
        </is>
      </c>
      <c r="K170" s="36" t="inlineStr">
        <is>
          <t>Marks</t>
        </is>
      </c>
      <c r="L170" s="36" t="inlineStr">
        <is>
          <t>Answers</t>
        </is>
      </c>
      <c r="M170" s="31" t="inlineStr">
        <is>
          <t>Pure 2 Ch10</t>
        </is>
      </c>
      <c r="N170" s="37" t="inlineStr">
        <is>
          <t>Pages 1, 3, 4, 6–8, 10, 12</t>
        </is>
      </c>
      <c r="O170" s="37" t="inlineStr">
        <is>
          <t>Marks</t>
        </is>
      </c>
      <c r="P170" t="inlineStr">
        <is>
          <t>P9</t>
        </is>
      </c>
    </row>
    <row r="171" outlineLevel="1" ht="20" customHeight="1">
      <c r="A171" s="31" t="inlineStr">
        <is>
          <t>P9.3</t>
        </is>
      </c>
      <c r="B171" s="32" t="inlineStr">
        <is>
          <t>The Newton-Raphson method</t>
        </is>
      </c>
      <c r="C171" s="39" t="n">
        <v>2</v>
      </c>
      <c r="D171" s="34" t="n"/>
      <c r="E171" s="35" t="n"/>
      <c r="F171" s="36" t="inlineStr">
        <is>
          <t>▶ Watch</t>
        </is>
      </c>
      <c r="G171" s="36" t="inlineStr">
        <is>
          <t>Q 5–9, 16–18</t>
        </is>
      </c>
      <c r="H171" s="36" t="inlineStr">
        <is>
          <t>Answers</t>
        </is>
      </c>
      <c r="I171" s="35" t="inlineStr">
        <is>
          <t>Newton Raphson (Yr 2)</t>
        </is>
      </c>
      <c r="J171" s="36" t="inlineStr">
        <is>
          <t>Page 1</t>
        </is>
      </c>
      <c r="K171" s="36" t="inlineStr">
        <is>
          <t>Marks</t>
        </is>
      </c>
      <c r="L171" s="36" t="inlineStr">
        <is>
          <t>Answers</t>
        </is>
      </c>
      <c r="M171" s="31" t="inlineStr">
        <is>
          <t>Pure 2 Ch10</t>
        </is>
      </c>
      <c r="N171" s="37" t="inlineStr">
        <is>
          <t>Page 2</t>
        </is>
      </c>
      <c r="O171" s="37" t="inlineStr">
        <is>
          <t>Marks</t>
        </is>
      </c>
      <c r="P171" t="inlineStr">
        <is>
          <t>P9</t>
        </is>
      </c>
    </row>
    <row r="172" outlineLevel="1" ht="20" customHeight="1">
      <c r="A172" s="31" t="inlineStr">
        <is>
          <t>P9.4</t>
        </is>
      </c>
      <c r="B172" s="32" t="inlineStr">
        <is>
          <t>The trapezium rule (over- and under-estimates)</t>
        </is>
      </c>
      <c r="C172" s="39" t="n">
        <v>2</v>
      </c>
      <c r="D172" s="34" t="n"/>
      <c r="E172" s="35" t="n"/>
      <c r="F172" s="36" t="inlineStr">
        <is>
          <t>▶ Watch</t>
        </is>
      </c>
      <c r="G172" s="36" t="inlineStr">
        <is>
          <t>Q 50, 52, 62, 66</t>
        </is>
      </c>
      <c r="H172" s="36" t="inlineStr">
        <is>
          <t>Answers</t>
        </is>
      </c>
      <c r="I172" s="35" t="inlineStr">
        <is>
          <t>Trapezium Rule (Yr 2)</t>
        </is>
      </c>
      <c r="J172" s="36" t="inlineStr">
        <is>
          <t>Pages 1–3</t>
        </is>
      </c>
      <c r="K172" s="36" t="inlineStr">
        <is>
          <t>Marks</t>
        </is>
      </c>
      <c r="L172" s="36" t="inlineStr">
        <is>
          <t>Answers</t>
        </is>
      </c>
      <c r="M172" s="31" t="inlineStr">
        <is>
          <t>Pure 2 Ch11</t>
        </is>
      </c>
      <c r="N172" s="37" t="inlineStr">
        <is>
          <t>Pages 1–4, 7–9, 11</t>
        </is>
      </c>
      <c r="O172" s="37" t="inlineStr">
        <is>
          <t>Marks</t>
        </is>
      </c>
      <c r="P172" t="inlineStr">
        <is>
          <t>P9</t>
        </is>
      </c>
    </row>
    <row r="173" outlineLevel="1" ht="20" customHeight="1">
      <c r="A173" s="31" t="inlineStr">
        <is>
          <t>P9.5</t>
        </is>
      </c>
      <c r="B173" s="32" t="inlineStr">
        <is>
          <t>Numerical methods in context</t>
        </is>
      </c>
      <c r="C173" s="39" t="n">
        <v>2</v>
      </c>
      <c r="D173" s="34" t="n"/>
      <c r="E173" s="35" t="n"/>
      <c r="F173" s="36" t="inlineStr">
        <is>
          <t>▶ Watch</t>
        </is>
      </c>
      <c r="G173" s="36" t="inlineStr">
        <is>
          <t>Q 13</t>
        </is>
      </c>
      <c r="H173" s="36" t="inlineStr">
        <is>
          <t>Answers</t>
        </is>
      </c>
      <c r="I173" s="35" t="inlineStr">
        <is>
          <t>Iterative Equations (Yr 2)</t>
        </is>
      </c>
      <c r="J173" s="36" t="inlineStr">
        <is>
          <t>Page 2</t>
        </is>
      </c>
      <c r="K173" s="36" t="inlineStr">
        <is>
          <t>Marks</t>
        </is>
      </c>
      <c r="L173" s="36" t="inlineStr">
        <is>
          <t>Answers</t>
        </is>
      </c>
      <c r="M173" s="31" t="inlineStr">
        <is>
          <t>Pure 2 Ch10</t>
        </is>
      </c>
      <c r="N173" s="37" t="inlineStr">
        <is>
          <t>Page 1</t>
        </is>
      </c>
      <c r="O173" s="37" t="inlineStr">
        <is>
          <t>Marks</t>
        </is>
      </c>
      <c r="P173" t="inlineStr">
        <is>
          <t>P9</t>
        </is>
      </c>
    </row>
    <row r="174" ht="10" customHeight="1"/>
    <row r="175" ht="26" customHeight="1">
      <c r="A175" s="27" t="inlineStr">
        <is>
          <t>10</t>
        </is>
      </c>
      <c r="B175" s="28" t="inlineStr">
        <is>
          <t>Vectors</t>
        </is>
      </c>
      <c r="C175" s="29" t="n"/>
      <c r="D175" s="29" t="n"/>
      <c r="E175" s="30" t="inlineStr">
        <is>
          <t>9 topics  ·  Year 1: 6  ·  Year 2: 3</t>
        </is>
      </c>
      <c r="F175" s="29" t="n"/>
      <c r="G175" s="29" t="n"/>
      <c r="H175" s="29" t="n"/>
      <c r="I175" s="29" t="n"/>
      <c r="J175" s="29" t="n"/>
      <c r="K175" s="29" t="n"/>
      <c r="L175" s="29" t="n"/>
      <c r="M175" s="29" t="n"/>
      <c r="N175" s="29" t="n"/>
      <c r="O175" s="29" t="n"/>
    </row>
    <row r="176" outlineLevel="1" ht="32" customHeight="1">
      <c r="A176" s="31" t="inlineStr">
        <is>
          <t>P10.1</t>
        </is>
      </c>
      <c r="B176" s="32" t="inlineStr">
        <is>
          <t>Vectors in 2D: i, j and column vector notation</t>
        </is>
      </c>
      <c r="C176" s="33" t="n">
        <v>1</v>
      </c>
      <c r="D176" s="34" t="n"/>
      <c r="E176" s="35" t="n"/>
      <c r="F176" s="36" t="inlineStr">
        <is>
          <t>▶ Watch</t>
        </is>
      </c>
      <c r="G176" s="38" t="inlineStr">
        <is>
          <t>none on this topic</t>
        </is>
      </c>
      <c r="H176" s="41" t="n"/>
      <c r="I176" s="35" t="inlineStr">
        <is>
          <t>Solomon: Cartesian components of a vector</t>
        </is>
      </c>
      <c r="J176" s="36" t="inlineStr">
        <is>
          <t>Q 1, 2, 7, 9, 10</t>
        </is>
      </c>
      <c r="K176" s="38" t="inlineStr">
        <is>
          <t>none</t>
        </is>
      </c>
      <c r="L176" s="36" t="inlineStr">
        <is>
          <t>Answers</t>
        </is>
      </c>
      <c r="M176" s="31" t="inlineStr">
        <is>
          <t>Pure 1 Ch11</t>
        </is>
      </c>
      <c r="N176" s="38" t="inlineStr">
        <is>
          <t>none</t>
        </is>
      </c>
      <c r="O176" s="40" t="n"/>
      <c r="P176" t="inlineStr">
        <is>
          <t>P10</t>
        </is>
      </c>
    </row>
    <row r="177" outlineLevel="1" ht="20" customHeight="1">
      <c r="A177" s="31" t="inlineStr">
        <is>
          <t>P10.3</t>
        </is>
      </c>
      <c r="B177" s="32" t="inlineStr">
        <is>
          <t>Adding vectors, scalar multiples and parallel vectors</t>
        </is>
      </c>
      <c r="C177" s="33" t="n">
        <v>1</v>
      </c>
      <c r="D177" s="34" t="n"/>
      <c r="E177" s="35" t="n"/>
      <c r="F177" s="36" t="inlineStr">
        <is>
          <t>▶ Watch</t>
        </is>
      </c>
      <c r="G177" s="36" t="inlineStr">
        <is>
          <t>Q 1, 4, 6, 8, 9</t>
        </is>
      </c>
      <c r="H177" s="36" t="inlineStr">
        <is>
          <t>Answers</t>
        </is>
      </c>
      <c r="I177" s="35" t="inlineStr">
        <is>
          <t>Vectors</t>
        </is>
      </c>
      <c r="J177" s="36" t="inlineStr">
        <is>
          <t>Pages 2–4, 7</t>
        </is>
      </c>
      <c r="K177" s="36" t="inlineStr">
        <is>
          <t>Marks</t>
        </is>
      </c>
      <c r="L177" s="36" t="inlineStr">
        <is>
          <t>Answers</t>
        </is>
      </c>
      <c r="M177" s="31" t="inlineStr">
        <is>
          <t>Pure 1 Ch11</t>
        </is>
      </c>
      <c r="N177" s="37" t="inlineStr">
        <is>
          <t>Pages 2–4</t>
        </is>
      </c>
      <c r="O177" s="37" t="inlineStr">
        <is>
          <t>Marks</t>
        </is>
      </c>
      <c r="P177" t="inlineStr">
        <is>
          <t>P10</t>
        </is>
      </c>
    </row>
    <row r="178" outlineLevel="1" ht="20" customHeight="1">
      <c r="A178" s="31" t="inlineStr">
        <is>
          <t>P10.2</t>
        </is>
      </c>
      <c r="B178" s="32" t="inlineStr">
        <is>
          <t>Magnitude and direction of a vector</t>
        </is>
      </c>
      <c r="C178" s="33" t="n">
        <v>1</v>
      </c>
      <c r="D178" s="34" t="n"/>
      <c r="E178" s="35" t="n"/>
      <c r="F178" s="36" t="inlineStr">
        <is>
          <t>▶ Watch</t>
        </is>
      </c>
      <c r="G178" s="36" t="inlineStr">
        <is>
          <t>Q 1–3, 5, 7</t>
        </is>
      </c>
      <c r="H178" s="36" t="inlineStr">
        <is>
          <t>Answers</t>
        </is>
      </c>
      <c r="I178" s="35" t="inlineStr">
        <is>
          <t>Vectors</t>
        </is>
      </c>
      <c r="J178" s="36" t="inlineStr">
        <is>
          <t>Pages 2, 3, 6</t>
        </is>
      </c>
      <c r="K178" s="36" t="inlineStr">
        <is>
          <t>Marks</t>
        </is>
      </c>
      <c r="L178" s="36" t="inlineStr">
        <is>
          <t>Answers</t>
        </is>
      </c>
      <c r="M178" s="31" t="inlineStr">
        <is>
          <t>Pure 1 Ch11</t>
        </is>
      </c>
      <c r="N178" s="37" t="inlineStr">
        <is>
          <t>Pages 1, 3, 4</t>
        </is>
      </c>
      <c r="O178" s="37" t="inlineStr">
        <is>
          <t>Marks</t>
        </is>
      </c>
      <c r="P178" t="inlineStr">
        <is>
          <t>P10</t>
        </is>
      </c>
    </row>
    <row r="179" outlineLevel="1" ht="20" customHeight="1">
      <c r="A179" s="31" t="inlineStr">
        <is>
          <t>P10.4</t>
        </is>
      </c>
      <c r="B179" s="32" t="inlineStr">
        <is>
          <t>Position vectors and the distance between two points</t>
        </is>
      </c>
      <c r="C179" s="33" t="n">
        <v>1</v>
      </c>
      <c r="D179" s="34" t="n"/>
      <c r="E179" s="35" t="n"/>
      <c r="F179" s="36" t="inlineStr">
        <is>
          <t>▶ Watch</t>
        </is>
      </c>
      <c r="G179" s="36" t="inlineStr">
        <is>
          <t>Q 2, 3, 5, 9</t>
        </is>
      </c>
      <c r="H179" s="36" t="inlineStr">
        <is>
          <t>Answers</t>
        </is>
      </c>
      <c r="I179" s="35" t="inlineStr">
        <is>
          <t>Vectors</t>
        </is>
      </c>
      <c r="J179" s="36" t="inlineStr">
        <is>
          <t>Pages 1, 3</t>
        </is>
      </c>
      <c r="K179" s="36" t="inlineStr">
        <is>
          <t>Marks</t>
        </is>
      </c>
      <c r="L179" s="36" t="inlineStr">
        <is>
          <t>Answers</t>
        </is>
      </c>
      <c r="M179" s="31" t="inlineStr">
        <is>
          <t>Pure 1 Ch11</t>
        </is>
      </c>
      <c r="N179" s="37" t="inlineStr">
        <is>
          <t>Pages 1, 4</t>
        </is>
      </c>
      <c r="O179" s="37" t="inlineStr">
        <is>
          <t>Marks</t>
        </is>
      </c>
      <c r="P179" t="inlineStr">
        <is>
          <t>P10</t>
        </is>
      </c>
    </row>
    <row r="180" outlineLevel="1" ht="20" customHeight="1">
      <c r="A180" s="31" t="inlineStr">
        <is>
          <t>P10.5</t>
        </is>
      </c>
      <c r="B180" s="32" t="inlineStr">
        <is>
          <t>Solving geometric problems with vectors</t>
        </is>
      </c>
      <c r="C180" s="33" t="n">
        <v>1</v>
      </c>
      <c r="D180" s="34" t="n"/>
      <c r="E180" s="35" t="n"/>
      <c r="F180" s="36" t="inlineStr">
        <is>
          <t>▶ Watch</t>
        </is>
      </c>
      <c r="G180" s="36" t="inlineStr">
        <is>
          <t>Q 8, 9, 11</t>
        </is>
      </c>
      <c r="H180" s="36" t="inlineStr">
        <is>
          <t>Answers</t>
        </is>
      </c>
      <c r="I180" s="35" t="inlineStr">
        <is>
          <t>Vectors</t>
        </is>
      </c>
      <c r="J180" s="36" t="inlineStr">
        <is>
          <t>Pages 2, 3, 7</t>
        </is>
      </c>
      <c r="K180" s="36" t="inlineStr">
        <is>
          <t>Marks</t>
        </is>
      </c>
      <c r="L180" s="36" t="inlineStr">
        <is>
          <t>Answers</t>
        </is>
      </c>
      <c r="M180" s="31" t="inlineStr">
        <is>
          <t>Pure 1 Ch11</t>
        </is>
      </c>
      <c r="N180" s="37" t="inlineStr">
        <is>
          <t>Page 2</t>
        </is>
      </c>
      <c r="O180" s="37" t="inlineStr">
        <is>
          <t>Marks</t>
        </is>
      </c>
      <c r="P180" t="inlineStr">
        <is>
          <t>P10</t>
        </is>
      </c>
    </row>
    <row r="181" outlineLevel="1" ht="20" customHeight="1">
      <c r="A181" s="31" t="inlineStr">
        <is>
          <t>P10.5</t>
        </is>
      </c>
      <c r="B181" s="32" t="inlineStr">
        <is>
          <t>Modelling with vectors (e.g. velocity, forces)</t>
        </is>
      </c>
      <c r="C181" s="33" t="n">
        <v>1</v>
      </c>
      <c r="D181" s="34" t="n"/>
      <c r="E181" s="35" t="n"/>
      <c r="F181" s="36" t="inlineStr">
        <is>
          <t>▶ Watch</t>
        </is>
      </c>
      <c r="G181" s="36" t="inlineStr">
        <is>
          <t>Q 4, 10</t>
        </is>
      </c>
      <c r="H181" s="36" t="inlineStr">
        <is>
          <t>Answers</t>
        </is>
      </c>
      <c r="I181" s="35" t="inlineStr">
        <is>
          <t>Vectors</t>
        </is>
      </c>
      <c r="J181" s="36" t="inlineStr">
        <is>
          <t>Pages 1, 7</t>
        </is>
      </c>
      <c r="K181" s="36" t="inlineStr">
        <is>
          <t>Marks</t>
        </is>
      </c>
      <c r="L181" s="36" t="inlineStr">
        <is>
          <t>Answers</t>
        </is>
      </c>
      <c r="M181" s="31" t="inlineStr">
        <is>
          <t>Pure 1 Ch11</t>
        </is>
      </c>
      <c r="N181" s="37" t="inlineStr">
        <is>
          <t>Page 3</t>
        </is>
      </c>
      <c r="O181" s="37" t="inlineStr">
        <is>
          <t>Marks</t>
        </is>
      </c>
      <c r="P181" t="inlineStr">
        <is>
          <t>P10</t>
        </is>
      </c>
    </row>
    <row r="182" outlineLevel="1" ht="20" customHeight="1">
      <c r="A182" s="31" t="inlineStr">
        <is>
          <t>P10.1</t>
        </is>
      </c>
      <c r="B182" s="32" t="inlineStr">
        <is>
          <t>3D coordinates and vectors in 3D (i, j, k)</t>
        </is>
      </c>
      <c r="C182" s="39" t="n">
        <v>2</v>
      </c>
      <c r="D182" s="34" t="n"/>
      <c r="E182" s="35" t="n"/>
      <c r="F182" s="36" t="inlineStr">
        <is>
          <t>▶ Watch</t>
        </is>
      </c>
      <c r="G182" s="36" t="inlineStr">
        <is>
          <t>Q 1–6</t>
        </is>
      </c>
      <c r="H182" s="36" t="inlineStr">
        <is>
          <t>Answers</t>
        </is>
      </c>
      <c r="I182" s="35" t="inlineStr">
        <is>
          <t>Vectors</t>
        </is>
      </c>
      <c r="J182" s="36" t="inlineStr">
        <is>
          <t>Pages 4–6</t>
        </is>
      </c>
      <c r="K182" s="36" t="inlineStr">
        <is>
          <t>Marks</t>
        </is>
      </c>
      <c r="L182" s="36" t="inlineStr">
        <is>
          <t>Answers</t>
        </is>
      </c>
      <c r="M182" s="31" t="inlineStr">
        <is>
          <t>Pure 2 Ch12</t>
        </is>
      </c>
      <c r="N182" s="37" t="inlineStr">
        <is>
          <t>Pages 1, 3, 5</t>
        </is>
      </c>
      <c r="O182" s="37" t="inlineStr">
        <is>
          <t>Marks</t>
        </is>
      </c>
      <c r="P182" t="inlineStr">
        <is>
          <t>P10</t>
        </is>
      </c>
    </row>
    <row r="183" outlineLevel="1" ht="20" customHeight="1">
      <c r="A183" s="31" t="inlineStr">
        <is>
          <t>P10.5</t>
        </is>
      </c>
      <c r="B183" s="32" t="inlineStr">
        <is>
          <t>Solving geometric problems in 3D</t>
        </is>
      </c>
      <c r="C183" s="39" t="n">
        <v>2</v>
      </c>
      <c r="D183" s="34" t="n"/>
      <c r="E183" s="35" t="n"/>
      <c r="F183" s="36" t="inlineStr">
        <is>
          <t>▶ Watch</t>
        </is>
      </c>
      <c r="G183" s="36" t="inlineStr">
        <is>
          <t>Q 7–12</t>
        </is>
      </c>
      <c r="H183" s="36" t="inlineStr">
        <is>
          <t>Answers</t>
        </is>
      </c>
      <c r="I183" s="35" t="inlineStr">
        <is>
          <t>Vectors</t>
        </is>
      </c>
      <c r="J183" s="36" t="inlineStr">
        <is>
          <t>Pages 4, 5</t>
        </is>
      </c>
      <c r="K183" s="36" t="inlineStr">
        <is>
          <t>Marks</t>
        </is>
      </c>
      <c r="L183" s="36" t="inlineStr">
        <is>
          <t>Answers</t>
        </is>
      </c>
      <c r="M183" s="31" t="inlineStr">
        <is>
          <t>Pure 2 Ch12</t>
        </is>
      </c>
      <c r="N183" s="37" t="inlineStr">
        <is>
          <t>Pages 1–6</t>
        </is>
      </c>
      <c r="O183" s="37" t="inlineStr">
        <is>
          <t>Marks</t>
        </is>
      </c>
      <c r="P183" t="inlineStr">
        <is>
          <t>P10</t>
        </is>
      </c>
    </row>
    <row r="184" outlineLevel="1" ht="32" customHeight="1">
      <c r="A184" s="31" t="inlineStr">
        <is>
          <t>P10.5</t>
        </is>
      </c>
      <c r="B184" s="32" t="inlineStr">
        <is>
          <t>3D vectors applied to mechanics</t>
        </is>
      </c>
      <c r="C184" s="39" t="n">
        <v>2</v>
      </c>
      <c r="D184" s="34" t="n"/>
      <c r="E184" s="35" t="n"/>
      <c r="F184" s="36" t="inlineStr">
        <is>
          <t>▶ Watch</t>
        </is>
      </c>
      <c r="G184" s="36" t="inlineStr">
        <is>
          <t>Q 3, 5, 6</t>
        </is>
      </c>
      <c r="H184" s="36" t="inlineStr">
        <is>
          <t>Answers</t>
        </is>
      </c>
      <c r="I184" s="35" t="inlineStr">
        <is>
          <t>Solomon: Cartesian components of a vector</t>
        </is>
      </c>
      <c r="J184" s="36" t="inlineStr">
        <is>
          <t>Q 21</t>
        </is>
      </c>
      <c r="K184" s="38" t="inlineStr">
        <is>
          <t>none</t>
        </is>
      </c>
      <c r="L184" s="36" t="inlineStr">
        <is>
          <t>Answers</t>
        </is>
      </c>
      <c r="M184" s="31" t="inlineStr">
        <is>
          <t>Pure 2 Ch12</t>
        </is>
      </c>
      <c r="N184" s="38" t="inlineStr">
        <is>
          <t>none</t>
        </is>
      </c>
      <c r="O184" s="40" t="n"/>
      <c r="P184" t="inlineStr">
        <is>
          <t>P10</t>
        </is>
      </c>
    </row>
  </sheetData>
  <mergeCells count="4">
    <mergeCell ref="M5:O5"/>
    <mergeCell ref="A5:E5"/>
    <mergeCell ref="F5:H5"/>
    <mergeCell ref="I5:L5"/>
  </mergeCells>
  <conditionalFormatting sqref="D7:D184">
    <cfRule type="cellIs" priority="1" operator="equal" dxfId="0">
      <formula>"R"</formula>
    </cfRule>
    <cfRule type="cellIs" priority="3" operator="equal" dxfId="1">
      <formula>"A"</formula>
    </cfRule>
    <cfRule type="cellIs" priority="5" operator="equal" dxfId="2">
      <formula>"G"</formula>
    </cfRule>
  </conditionalFormatting>
  <conditionalFormatting sqref="B7:B184">
    <cfRule type="expression" priority="2" dxfId="3">
      <formula>$D7="R"</formula>
    </cfRule>
    <cfRule type="expression" priority="4" dxfId="4">
      <formula>$D7="A"</formula>
    </cfRule>
    <cfRule type="expression" priority="6" dxfId="5">
      <formula>$D7="G"</formula>
    </cfRule>
  </conditionalFormatting>
  <dataValidations count="1">
    <dataValidation sqref="D7:D184" showDropDown="0" showInputMessage="0" showErrorMessage="1" allowBlank="1" errorTitle="R, A or G" error="Please pick R, A or G from the list." promptTitle="How confident are you?" prompt="R = can't do it yet&#10;A = getting there&#10;G = confident" type="list">
      <formula1>"R,A,G"</formula1>
    </dataValidation>
  </dataValidations>
  <hyperlinks>
    <hyperlink xmlns:r="http://schemas.openxmlformats.org/officeDocument/2006/relationships" ref="F9" r:id="rId1"/>
    <hyperlink xmlns:r="http://schemas.openxmlformats.org/officeDocument/2006/relationships" ref="G9" r:id="rId2"/>
    <hyperlink xmlns:r="http://schemas.openxmlformats.org/officeDocument/2006/relationships" ref="H9" r:id="rId3"/>
    <hyperlink xmlns:r="http://schemas.openxmlformats.org/officeDocument/2006/relationships" ref="J9" r:id="rId4"/>
    <hyperlink xmlns:r="http://schemas.openxmlformats.org/officeDocument/2006/relationships" ref="K9" r:id="rId5"/>
    <hyperlink xmlns:r="http://schemas.openxmlformats.org/officeDocument/2006/relationships" ref="L9" r:id="rId6"/>
    <hyperlink xmlns:r="http://schemas.openxmlformats.org/officeDocument/2006/relationships" ref="N9" r:id="rId7"/>
    <hyperlink xmlns:r="http://schemas.openxmlformats.org/officeDocument/2006/relationships" ref="O9" r:id="rId8"/>
    <hyperlink xmlns:r="http://schemas.openxmlformats.org/officeDocument/2006/relationships" ref="F10" r:id="rId9"/>
    <hyperlink xmlns:r="http://schemas.openxmlformats.org/officeDocument/2006/relationships" ref="G10" r:id="rId10"/>
    <hyperlink xmlns:r="http://schemas.openxmlformats.org/officeDocument/2006/relationships" ref="H10" r:id="rId11"/>
    <hyperlink xmlns:r="http://schemas.openxmlformats.org/officeDocument/2006/relationships" ref="J10" r:id="rId12"/>
    <hyperlink xmlns:r="http://schemas.openxmlformats.org/officeDocument/2006/relationships" ref="L10" r:id="rId13"/>
    <hyperlink xmlns:r="http://schemas.openxmlformats.org/officeDocument/2006/relationships" ref="N10" r:id="rId14"/>
    <hyperlink xmlns:r="http://schemas.openxmlformats.org/officeDocument/2006/relationships" ref="O10" r:id="rId15"/>
    <hyperlink xmlns:r="http://schemas.openxmlformats.org/officeDocument/2006/relationships" ref="F11" r:id="rId16"/>
    <hyperlink xmlns:r="http://schemas.openxmlformats.org/officeDocument/2006/relationships" ref="G11" r:id="rId17"/>
    <hyperlink xmlns:r="http://schemas.openxmlformats.org/officeDocument/2006/relationships" ref="H11" r:id="rId18"/>
    <hyperlink xmlns:r="http://schemas.openxmlformats.org/officeDocument/2006/relationships" ref="J11" r:id="rId19"/>
    <hyperlink xmlns:r="http://schemas.openxmlformats.org/officeDocument/2006/relationships" ref="K11" r:id="rId20"/>
    <hyperlink xmlns:r="http://schemas.openxmlformats.org/officeDocument/2006/relationships" ref="L11" r:id="rId21"/>
    <hyperlink xmlns:r="http://schemas.openxmlformats.org/officeDocument/2006/relationships" ref="N11" r:id="rId22"/>
    <hyperlink xmlns:r="http://schemas.openxmlformats.org/officeDocument/2006/relationships" ref="O11" r:id="rId23"/>
    <hyperlink xmlns:r="http://schemas.openxmlformats.org/officeDocument/2006/relationships" ref="F14" r:id="rId24"/>
    <hyperlink xmlns:r="http://schemas.openxmlformats.org/officeDocument/2006/relationships" ref="G14" r:id="rId25"/>
    <hyperlink xmlns:r="http://schemas.openxmlformats.org/officeDocument/2006/relationships" ref="H14" r:id="rId26"/>
    <hyperlink xmlns:r="http://schemas.openxmlformats.org/officeDocument/2006/relationships" ref="J14" r:id="rId27"/>
    <hyperlink xmlns:r="http://schemas.openxmlformats.org/officeDocument/2006/relationships" ref="K14" r:id="rId28"/>
    <hyperlink xmlns:r="http://schemas.openxmlformats.org/officeDocument/2006/relationships" ref="L14" r:id="rId29"/>
    <hyperlink xmlns:r="http://schemas.openxmlformats.org/officeDocument/2006/relationships" ref="N14" r:id="rId30"/>
    <hyperlink xmlns:r="http://schemas.openxmlformats.org/officeDocument/2006/relationships" ref="O14" r:id="rId31"/>
    <hyperlink xmlns:r="http://schemas.openxmlformats.org/officeDocument/2006/relationships" ref="F15" r:id="rId32"/>
    <hyperlink xmlns:r="http://schemas.openxmlformats.org/officeDocument/2006/relationships" ref="G15" r:id="rId33"/>
    <hyperlink xmlns:r="http://schemas.openxmlformats.org/officeDocument/2006/relationships" ref="H15" r:id="rId34"/>
    <hyperlink xmlns:r="http://schemas.openxmlformats.org/officeDocument/2006/relationships" ref="J15" r:id="rId35"/>
    <hyperlink xmlns:r="http://schemas.openxmlformats.org/officeDocument/2006/relationships" ref="L15" r:id="rId36"/>
    <hyperlink xmlns:r="http://schemas.openxmlformats.org/officeDocument/2006/relationships" ref="N15" r:id="rId37"/>
    <hyperlink xmlns:r="http://schemas.openxmlformats.org/officeDocument/2006/relationships" ref="O15" r:id="rId38"/>
    <hyperlink xmlns:r="http://schemas.openxmlformats.org/officeDocument/2006/relationships" ref="F16" r:id="rId39"/>
    <hyperlink xmlns:r="http://schemas.openxmlformats.org/officeDocument/2006/relationships" ref="G16" r:id="rId40"/>
    <hyperlink xmlns:r="http://schemas.openxmlformats.org/officeDocument/2006/relationships" ref="H16" r:id="rId41"/>
    <hyperlink xmlns:r="http://schemas.openxmlformats.org/officeDocument/2006/relationships" ref="J16" r:id="rId42"/>
    <hyperlink xmlns:r="http://schemas.openxmlformats.org/officeDocument/2006/relationships" ref="L16" r:id="rId43"/>
    <hyperlink xmlns:r="http://schemas.openxmlformats.org/officeDocument/2006/relationships" ref="N16" r:id="rId44"/>
    <hyperlink xmlns:r="http://schemas.openxmlformats.org/officeDocument/2006/relationships" ref="O16" r:id="rId45"/>
    <hyperlink xmlns:r="http://schemas.openxmlformats.org/officeDocument/2006/relationships" ref="F17" r:id="rId46"/>
    <hyperlink xmlns:r="http://schemas.openxmlformats.org/officeDocument/2006/relationships" ref="G17" r:id="rId47"/>
    <hyperlink xmlns:r="http://schemas.openxmlformats.org/officeDocument/2006/relationships" ref="H17" r:id="rId48"/>
    <hyperlink xmlns:r="http://schemas.openxmlformats.org/officeDocument/2006/relationships" ref="J17" r:id="rId49"/>
    <hyperlink xmlns:r="http://schemas.openxmlformats.org/officeDocument/2006/relationships" ref="K17" r:id="rId50"/>
    <hyperlink xmlns:r="http://schemas.openxmlformats.org/officeDocument/2006/relationships" ref="L17" r:id="rId51"/>
    <hyperlink xmlns:r="http://schemas.openxmlformats.org/officeDocument/2006/relationships" ref="F18" r:id="rId52"/>
    <hyperlink xmlns:r="http://schemas.openxmlformats.org/officeDocument/2006/relationships" ref="G18" r:id="rId53"/>
    <hyperlink xmlns:r="http://schemas.openxmlformats.org/officeDocument/2006/relationships" ref="H18" r:id="rId54"/>
    <hyperlink xmlns:r="http://schemas.openxmlformats.org/officeDocument/2006/relationships" ref="J18" r:id="rId55"/>
    <hyperlink xmlns:r="http://schemas.openxmlformats.org/officeDocument/2006/relationships" ref="K18" r:id="rId56"/>
    <hyperlink xmlns:r="http://schemas.openxmlformats.org/officeDocument/2006/relationships" ref="L18" r:id="rId57"/>
    <hyperlink xmlns:r="http://schemas.openxmlformats.org/officeDocument/2006/relationships" ref="N18" r:id="rId58"/>
    <hyperlink xmlns:r="http://schemas.openxmlformats.org/officeDocument/2006/relationships" ref="O18" r:id="rId59"/>
    <hyperlink xmlns:r="http://schemas.openxmlformats.org/officeDocument/2006/relationships" ref="F19" r:id="rId60"/>
    <hyperlink xmlns:r="http://schemas.openxmlformats.org/officeDocument/2006/relationships" ref="G19" r:id="rId61"/>
    <hyperlink xmlns:r="http://schemas.openxmlformats.org/officeDocument/2006/relationships" ref="H19" r:id="rId62"/>
    <hyperlink xmlns:r="http://schemas.openxmlformats.org/officeDocument/2006/relationships" ref="J19" r:id="rId63"/>
    <hyperlink xmlns:r="http://schemas.openxmlformats.org/officeDocument/2006/relationships" ref="K19" r:id="rId64"/>
    <hyperlink xmlns:r="http://schemas.openxmlformats.org/officeDocument/2006/relationships" ref="L19" r:id="rId65"/>
    <hyperlink xmlns:r="http://schemas.openxmlformats.org/officeDocument/2006/relationships" ref="N19" r:id="rId66"/>
    <hyperlink xmlns:r="http://schemas.openxmlformats.org/officeDocument/2006/relationships" ref="O19" r:id="rId67"/>
    <hyperlink xmlns:r="http://schemas.openxmlformats.org/officeDocument/2006/relationships" ref="F20" r:id="rId68"/>
    <hyperlink xmlns:r="http://schemas.openxmlformats.org/officeDocument/2006/relationships" ref="G20" r:id="rId69"/>
    <hyperlink xmlns:r="http://schemas.openxmlformats.org/officeDocument/2006/relationships" ref="H20" r:id="rId70"/>
    <hyperlink xmlns:r="http://schemas.openxmlformats.org/officeDocument/2006/relationships" ref="J20" r:id="rId71"/>
    <hyperlink xmlns:r="http://schemas.openxmlformats.org/officeDocument/2006/relationships" ref="K20" r:id="rId72"/>
    <hyperlink xmlns:r="http://schemas.openxmlformats.org/officeDocument/2006/relationships" ref="L20" r:id="rId73"/>
    <hyperlink xmlns:r="http://schemas.openxmlformats.org/officeDocument/2006/relationships" ref="N20" r:id="rId74"/>
    <hyperlink xmlns:r="http://schemas.openxmlformats.org/officeDocument/2006/relationships" ref="O20" r:id="rId75"/>
    <hyperlink xmlns:r="http://schemas.openxmlformats.org/officeDocument/2006/relationships" ref="F21" r:id="rId76"/>
    <hyperlink xmlns:r="http://schemas.openxmlformats.org/officeDocument/2006/relationships" ref="G21" r:id="rId77"/>
    <hyperlink xmlns:r="http://schemas.openxmlformats.org/officeDocument/2006/relationships" ref="H21" r:id="rId78"/>
    <hyperlink xmlns:r="http://schemas.openxmlformats.org/officeDocument/2006/relationships" ref="J21" r:id="rId79"/>
    <hyperlink xmlns:r="http://schemas.openxmlformats.org/officeDocument/2006/relationships" ref="K21" r:id="rId80"/>
    <hyperlink xmlns:r="http://schemas.openxmlformats.org/officeDocument/2006/relationships" ref="L21" r:id="rId81"/>
    <hyperlink xmlns:r="http://schemas.openxmlformats.org/officeDocument/2006/relationships" ref="N21" r:id="rId82"/>
    <hyperlink xmlns:r="http://schemas.openxmlformats.org/officeDocument/2006/relationships" ref="O21" r:id="rId83"/>
    <hyperlink xmlns:r="http://schemas.openxmlformats.org/officeDocument/2006/relationships" ref="F22" r:id="rId84"/>
    <hyperlink xmlns:r="http://schemas.openxmlformats.org/officeDocument/2006/relationships" ref="J22" r:id="rId85"/>
    <hyperlink xmlns:r="http://schemas.openxmlformats.org/officeDocument/2006/relationships" ref="L22" r:id="rId86"/>
    <hyperlink xmlns:r="http://schemas.openxmlformats.org/officeDocument/2006/relationships" ref="F23" r:id="rId87"/>
    <hyperlink xmlns:r="http://schemas.openxmlformats.org/officeDocument/2006/relationships" ref="G23" r:id="rId88"/>
    <hyperlink xmlns:r="http://schemas.openxmlformats.org/officeDocument/2006/relationships" ref="H23" r:id="rId89"/>
    <hyperlink xmlns:r="http://schemas.openxmlformats.org/officeDocument/2006/relationships" ref="J23" r:id="rId90"/>
    <hyperlink xmlns:r="http://schemas.openxmlformats.org/officeDocument/2006/relationships" ref="L23" r:id="rId91"/>
    <hyperlink xmlns:r="http://schemas.openxmlformats.org/officeDocument/2006/relationships" ref="N23" r:id="rId92"/>
    <hyperlink xmlns:r="http://schemas.openxmlformats.org/officeDocument/2006/relationships" ref="O23" r:id="rId93"/>
    <hyperlink xmlns:r="http://schemas.openxmlformats.org/officeDocument/2006/relationships" ref="F24" r:id="rId94"/>
    <hyperlink xmlns:r="http://schemas.openxmlformats.org/officeDocument/2006/relationships" ref="G24" r:id="rId95"/>
    <hyperlink xmlns:r="http://schemas.openxmlformats.org/officeDocument/2006/relationships" ref="H24" r:id="rId96"/>
    <hyperlink xmlns:r="http://schemas.openxmlformats.org/officeDocument/2006/relationships" ref="J24" r:id="rId97"/>
    <hyperlink xmlns:r="http://schemas.openxmlformats.org/officeDocument/2006/relationships" ref="L24" r:id="rId98"/>
    <hyperlink xmlns:r="http://schemas.openxmlformats.org/officeDocument/2006/relationships" ref="N24" r:id="rId99"/>
    <hyperlink xmlns:r="http://schemas.openxmlformats.org/officeDocument/2006/relationships" ref="O24" r:id="rId100"/>
    <hyperlink xmlns:r="http://schemas.openxmlformats.org/officeDocument/2006/relationships" ref="F25" r:id="rId101"/>
    <hyperlink xmlns:r="http://schemas.openxmlformats.org/officeDocument/2006/relationships" ref="G25" r:id="rId102"/>
    <hyperlink xmlns:r="http://schemas.openxmlformats.org/officeDocument/2006/relationships" ref="H25" r:id="rId103"/>
    <hyperlink xmlns:r="http://schemas.openxmlformats.org/officeDocument/2006/relationships" ref="J25" r:id="rId104"/>
    <hyperlink xmlns:r="http://schemas.openxmlformats.org/officeDocument/2006/relationships" ref="K25" r:id="rId105"/>
    <hyperlink xmlns:r="http://schemas.openxmlformats.org/officeDocument/2006/relationships" ref="L25" r:id="rId106"/>
    <hyperlink xmlns:r="http://schemas.openxmlformats.org/officeDocument/2006/relationships" ref="N25" r:id="rId107"/>
    <hyperlink xmlns:r="http://schemas.openxmlformats.org/officeDocument/2006/relationships" ref="O25" r:id="rId108"/>
    <hyperlink xmlns:r="http://schemas.openxmlformats.org/officeDocument/2006/relationships" ref="F26" r:id="rId109"/>
    <hyperlink xmlns:r="http://schemas.openxmlformats.org/officeDocument/2006/relationships" ref="J26" r:id="rId110"/>
    <hyperlink xmlns:r="http://schemas.openxmlformats.org/officeDocument/2006/relationships" ref="K26" r:id="rId111"/>
    <hyperlink xmlns:r="http://schemas.openxmlformats.org/officeDocument/2006/relationships" ref="L26" r:id="rId112"/>
    <hyperlink xmlns:r="http://schemas.openxmlformats.org/officeDocument/2006/relationships" ref="N26" r:id="rId113"/>
    <hyperlink xmlns:r="http://schemas.openxmlformats.org/officeDocument/2006/relationships" ref="O26" r:id="rId114"/>
    <hyperlink xmlns:r="http://schemas.openxmlformats.org/officeDocument/2006/relationships" ref="F27" r:id="rId115"/>
    <hyperlink xmlns:r="http://schemas.openxmlformats.org/officeDocument/2006/relationships" ref="G27" r:id="rId116"/>
    <hyperlink xmlns:r="http://schemas.openxmlformats.org/officeDocument/2006/relationships" ref="H27" r:id="rId117"/>
    <hyperlink xmlns:r="http://schemas.openxmlformats.org/officeDocument/2006/relationships" ref="J27" r:id="rId118"/>
    <hyperlink xmlns:r="http://schemas.openxmlformats.org/officeDocument/2006/relationships" ref="L27" r:id="rId119"/>
    <hyperlink xmlns:r="http://schemas.openxmlformats.org/officeDocument/2006/relationships" ref="F28" r:id="rId120"/>
    <hyperlink xmlns:r="http://schemas.openxmlformats.org/officeDocument/2006/relationships" ref="G28" r:id="rId121"/>
    <hyperlink xmlns:r="http://schemas.openxmlformats.org/officeDocument/2006/relationships" ref="H28" r:id="rId122"/>
    <hyperlink xmlns:r="http://schemas.openxmlformats.org/officeDocument/2006/relationships" ref="J28" r:id="rId123"/>
    <hyperlink xmlns:r="http://schemas.openxmlformats.org/officeDocument/2006/relationships" ref="K28" r:id="rId124"/>
    <hyperlink xmlns:r="http://schemas.openxmlformats.org/officeDocument/2006/relationships" ref="L28" r:id="rId125"/>
    <hyperlink xmlns:r="http://schemas.openxmlformats.org/officeDocument/2006/relationships" ref="N28" r:id="rId126"/>
    <hyperlink xmlns:r="http://schemas.openxmlformats.org/officeDocument/2006/relationships" ref="O28" r:id="rId127"/>
    <hyperlink xmlns:r="http://schemas.openxmlformats.org/officeDocument/2006/relationships" ref="F29" r:id="rId128"/>
    <hyperlink xmlns:r="http://schemas.openxmlformats.org/officeDocument/2006/relationships" ref="J29" r:id="rId129"/>
    <hyperlink xmlns:r="http://schemas.openxmlformats.org/officeDocument/2006/relationships" ref="L29" r:id="rId130"/>
    <hyperlink xmlns:r="http://schemas.openxmlformats.org/officeDocument/2006/relationships" ref="F30" r:id="rId131"/>
    <hyperlink xmlns:r="http://schemas.openxmlformats.org/officeDocument/2006/relationships" ref="G30" r:id="rId132"/>
    <hyperlink xmlns:r="http://schemas.openxmlformats.org/officeDocument/2006/relationships" ref="H30" r:id="rId133"/>
    <hyperlink xmlns:r="http://schemas.openxmlformats.org/officeDocument/2006/relationships" ref="J30" r:id="rId134"/>
    <hyperlink xmlns:r="http://schemas.openxmlformats.org/officeDocument/2006/relationships" ref="K30" r:id="rId135"/>
    <hyperlink xmlns:r="http://schemas.openxmlformats.org/officeDocument/2006/relationships" ref="L30" r:id="rId136"/>
    <hyperlink xmlns:r="http://schemas.openxmlformats.org/officeDocument/2006/relationships" ref="N30" r:id="rId137"/>
    <hyperlink xmlns:r="http://schemas.openxmlformats.org/officeDocument/2006/relationships" ref="O30" r:id="rId138"/>
    <hyperlink xmlns:r="http://schemas.openxmlformats.org/officeDocument/2006/relationships" ref="F31" r:id="rId139"/>
    <hyperlink xmlns:r="http://schemas.openxmlformats.org/officeDocument/2006/relationships" ref="G31" r:id="rId140"/>
    <hyperlink xmlns:r="http://schemas.openxmlformats.org/officeDocument/2006/relationships" ref="H31" r:id="rId141"/>
    <hyperlink xmlns:r="http://schemas.openxmlformats.org/officeDocument/2006/relationships" ref="J31" r:id="rId142"/>
    <hyperlink xmlns:r="http://schemas.openxmlformats.org/officeDocument/2006/relationships" ref="K31" r:id="rId143"/>
    <hyperlink xmlns:r="http://schemas.openxmlformats.org/officeDocument/2006/relationships" ref="L31" r:id="rId144"/>
    <hyperlink xmlns:r="http://schemas.openxmlformats.org/officeDocument/2006/relationships" ref="N31" r:id="rId145"/>
    <hyperlink xmlns:r="http://schemas.openxmlformats.org/officeDocument/2006/relationships" ref="O31" r:id="rId146"/>
    <hyperlink xmlns:r="http://schemas.openxmlformats.org/officeDocument/2006/relationships" ref="F32" r:id="rId147"/>
    <hyperlink xmlns:r="http://schemas.openxmlformats.org/officeDocument/2006/relationships" ref="G32" r:id="rId148"/>
    <hyperlink xmlns:r="http://schemas.openxmlformats.org/officeDocument/2006/relationships" ref="H32" r:id="rId149"/>
    <hyperlink xmlns:r="http://schemas.openxmlformats.org/officeDocument/2006/relationships" ref="J32" r:id="rId150"/>
    <hyperlink xmlns:r="http://schemas.openxmlformats.org/officeDocument/2006/relationships" ref="L32" r:id="rId151"/>
    <hyperlink xmlns:r="http://schemas.openxmlformats.org/officeDocument/2006/relationships" ref="N32" r:id="rId152"/>
    <hyperlink xmlns:r="http://schemas.openxmlformats.org/officeDocument/2006/relationships" ref="O32" r:id="rId153"/>
    <hyperlink xmlns:r="http://schemas.openxmlformats.org/officeDocument/2006/relationships" ref="F33" r:id="rId154"/>
    <hyperlink xmlns:r="http://schemas.openxmlformats.org/officeDocument/2006/relationships" ref="G33" r:id="rId155"/>
    <hyperlink xmlns:r="http://schemas.openxmlformats.org/officeDocument/2006/relationships" ref="H33" r:id="rId156"/>
    <hyperlink xmlns:r="http://schemas.openxmlformats.org/officeDocument/2006/relationships" ref="J33" r:id="rId157"/>
    <hyperlink xmlns:r="http://schemas.openxmlformats.org/officeDocument/2006/relationships" ref="K33" r:id="rId158"/>
    <hyperlink xmlns:r="http://schemas.openxmlformats.org/officeDocument/2006/relationships" ref="L33" r:id="rId159"/>
    <hyperlink xmlns:r="http://schemas.openxmlformats.org/officeDocument/2006/relationships" ref="N33" r:id="rId160"/>
    <hyperlink xmlns:r="http://schemas.openxmlformats.org/officeDocument/2006/relationships" ref="O33" r:id="rId161"/>
    <hyperlink xmlns:r="http://schemas.openxmlformats.org/officeDocument/2006/relationships" ref="F34" r:id="rId162"/>
    <hyperlink xmlns:r="http://schemas.openxmlformats.org/officeDocument/2006/relationships" ref="G34" r:id="rId163"/>
    <hyperlink xmlns:r="http://schemas.openxmlformats.org/officeDocument/2006/relationships" ref="H34" r:id="rId164"/>
    <hyperlink xmlns:r="http://schemas.openxmlformats.org/officeDocument/2006/relationships" ref="J34" r:id="rId165"/>
    <hyperlink xmlns:r="http://schemas.openxmlformats.org/officeDocument/2006/relationships" ref="K34" r:id="rId166"/>
    <hyperlink xmlns:r="http://schemas.openxmlformats.org/officeDocument/2006/relationships" ref="L34" r:id="rId167"/>
    <hyperlink xmlns:r="http://schemas.openxmlformats.org/officeDocument/2006/relationships" ref="N34" r:id="rId168"/>
    <hyperlink xmlns:r="http://schemas.openxmlformats.org/officeDocument/2006/relationships" ref="O34" r:id="rId169"/>
    <hyperlink xmlns:r="http://schemas.openxmlformats.org/officeDocument/2006/relationships" ref="F35" r:id="rId170"/>
    <hyperlink xmlns:r="http://schemas.openxmlformats.org/officeDocument/2006/relationships" ref="J35" r:id="rId171"/>
    <hyperlink xmlns:r="http://schemas.openxmlformats.org/officeDocument/2006/relationships" ref="L35" r:id="rId172"/>
    <hyperlink xmlns:r="http://schemas.openxmlformats.org/officeDocument/2006/relationships" ref="F36" r:id="rId173"/>
    <hyperlink xmlns:r="http://schemas.openxmlformats.org/officeDocument/2006/relationships" ref="G36" r:id="rId174"/>
    <hyperlink xmlns:r="http://schemas.openxmlformats.org/officeDocument/2006/relationships" ref="H36" r:id="rId175"/>
    <hyperlink xmlns:r="http://schemas.openxmlformats.org/officeDocument/2006/relationships" ref="J36" r:id="rId176"/>
    <hyperlink xmlns:r="http://schemas.openxmlformats.org/officeDocument/2006/relationships" ref="K36" r:id="rId177"/>
    <hyperlink xmlns:r="http://schemas.openxmlformats.org/officeDocument/2006/relationships" ref="L36" r:id="rId178"/>
    <hyperlink xmlns:r="http://schemas.openxmlformats.org/officeDocument/2006/relationships" ref="N36" r:id="rId179"/>
    <hyperlink xmlns:r="http://schemas.openxmlformats.org/officeDocument/2006/relationships" ref="O36" r:id="rId180"/>
    <hyperlink xmlns:r="http://schemas.openxmlformats.org/officeDocument/2006/relationships" ref="F37" r:id="rId181"/>
    <hyperlink xmlns:r="http://schemas.openxmlformats.org/officeDocument/2006/relationships" ref="G37" r:id="rId182"/>
    <hyperlink xmlns:r="http://schemas.openxmlformats.org/officeDocument/2006/relationships" ref="H37" r:id="rId183"/>
    <hyperlink xmlns:r="http://schemas.openxmlformats.org/officeDocument/2006/relationships" ref="J37" r:id="rId184"/>
    <hyperlink xmlns:r="http://schemas.openxmlformats.org/officeDocument/2006/relationships" ref="K37" r:id="rId185"/>
    <hyperlink xmlns:r="http://schemas.openxmlformats.org/officeDocument/2006/relationships" ref="L37" r:id="rId186"/>
    <hyperlink xmlns:r="http://schemas.openxmlformats.org/officeDocument/2006/relationships" ref="N37" r:id="rId187"/>
    <hyperlink xmlns:r="http://schemas.openxmlformats.org/officeDocument/2006/relationships" ref="O37" r:id="rId188"/>
    <hyperlink xmlns:r="http://schemas.openxmlformats.org/officeDocument/2006/relationships" ref="F38" r:id="rId189"/>
    <hyperlink xmlns:r="http://schemas.openxmlformats.org/officeDocument/2006/relationships" ref="F39" r:id="rId190"/>
    <hyperlink xmlns:r="http://schemas.openxmlformats.org/officeDocument/2006/relationships" ref="G39" r:id="rId191"/>
    <hyperlink xmlns:r="http://schemas.openxmlformats.org/officeDocument/2006/relationships" ref="H39" r:id="rId192"/>
    <hyperlink xmlns:r="http://schemas.openxmlformats.org/officeDocument/2006/relationships" ref="J39" r:id="rId193"/>
    <hyperlink xmlns:r="http://schemas.openxmlformats.org/officeDocument/2006/relationships" ref="K39" r:id="rId194"/>
    <hyperlink xmlns:r="http://schemas.openxmlformats.org/officeDocument/2006/relationships" ref="L39" r:id="rId195"/>
    <hyperlink xmlns:r="http://schemas.openxmlformats.org/officeDocument/2006/relationships" ref="N39" r:id="rId196"/>
    <hyperlink xmlns:r="http://schemas.openxmlformats.org/officeDocument/2006/relationships" ref="O39" r:id="rId197"/>
    <hyperlink xmlns:r="http://schemas.openxmlformats.org/officeDocument/2006/relationships" ref="F40" r:id="rId198"/>
    <hyperlink xmlns:r="http://schemas.openxmlformats.org/officeDocument/2006/relationships" ref="G40" r:id="rId199"/>
    <hyperlink xmlns:r="http://schemas.openxmlformats.org/officeDocument/2006/relationships" ref="H40" r:id="rId200"/>
    <hyperlink xmlns:r="http://schemas.openxmlformats.org/officeDocument/2006/relationships" ref="J40" r:id="rId201"/>
    <hyperlink xmlns:r="http://schemas.openxmlformats.org/officeDocument/2006/relationships" ref="K40" r:id="rId202"/>
    <hyperlink xmlns:r="http://schemas.openxmlformats.org/officeDocument/2006/relationships" ref="L40" r:id="rId203"/>
    <hyperlink xmlns:r="http://schemas.openxmlformats.org/officeDocument/2006/relationships" ref="N40" r:id="rId204"/>
    <hyperlink xmlns:r="http://schemas.openxmlformats.org/officeDocument/2006/relationships" ref="O40" r:id="rId205"/>
    <hyperlink xmlns:r="http://schemas.openxmlformats.org/officeDocument/2006/relationships" ref="F41" r:id="rId206"/>
    <hyperlink xmlns:r="http://schemas.openxmlformats.org/officeDocument/2006/relationships" ref="G41" r:id="rId207"/>
    <hyperlink xmlns:r="http://schemas.openxmlformats.org/officeDocument/2006/relationships" ref="H41" r:id="rId208"/>
    <hyperlink xmlns:r="http://schemas.openxmlformats.org/officeDocument/2006/relationships" ref="J41" r:id="rId209"/>
    <hyperlink xmlns:r="http://schemas.openxmlformats.org/officeDocument/2006/relationships" ref="K41" r:id="rId210"/>
    <hyperlink xmlns:r="http://schemas.openxmlformats.org/officeDocument/2006/relationships" ref="L41" r:id="rId211"/>
    <hyperlink xmlns:r="http://schemas.openxmlformats.org/officeDocument/2006/relationships" ref="N41" r:id="rId212"/>
    <hyperlink xmlns:r="http://schemas.openxmlformats.org/officeDocument/2006/relationships" ref="O41" r:id="rId213"/>
    <hyperlink xmlns:r="http://schemas.openxmlformats.org/officeDocument/2006/relationships" ref="F42" r:id="rId214"/>
    <hyperlink xmlns:r="http://schemas.openxmlformats.org/officeDocument/2006/relationships" ref="G42" r:id="rId215"/>
    <hyperlink xmlns:r="http://schemas.openxmlformats.org/officeDocument/2006/relationships" ref="H42" r:id="rId216"/>
    <hyperlink xmlns:r="http://schemas.openxmlformats.org/officeDocument/2006/relationships" ref="J42" r:id="rId217"/>
    <hyperlink xmlns:r="http://schemas.openxmlformats.org/officeDocument/2006/relationships" ref="K42" r:id="rId218"/>
    <hyperlink xmlns:r="http://schemas.openxmlformats.org/officeDocument/2006/relationships" ref="L42" r:id="rId219"/>
    <hyperlink xmlns:r="http://schemas.openxmlformats.org/officeDocument/2006/relationships" ref="N42" r:id="rId220"/>
    <hyperlink xmlns:r="http://schemas.openxmlformats.org/officeDocument/2006/relationships" ref="O42" r:id="rId221"/>
    <hyperlink xmlns:r="http://schemas.openxmlformats.org/officeDocument/2006/relationships" ref="F43" r:id="rId222"/>
    <hyperlink xmlns:r="http://schemas.openxmlformats.org/officeDocument/2006/relationships" ref="G43" r:id="rId223"/>
    <hyperlink xmlns:r="http://schemas.openxmlformats.org/officeDocument/2006/relationships" ref="H43" r:id="rId224"/>
    <hyperlink xmlns:r="http://schemas.openxmlformats.org/officeDocument/2006/relationships" ref="J43" r:id="rId225"/>
    <hyperlink xmlns:r="http://schemas.openxmlformats.org/officeDocument/2006/relationships" ref="K43" r:id="rId226"/>
    <hyperlink xmlns:r="http://schemas.openxmlformats.org/officeDocument/2006/relationships" ref="L43" r:id="rId227"/>
    <hyperlink xmlns:r="http://schemas.openxmlformats.org/officeDocument/2006/relationships" ref="N43" r:id="rId228"/>
    <hyperlink xmlns:r="http://schemas.openxmlformats.org/officeDocument/2006/relationships" ref="O43" r:id="rId229"/>
    <hyperlink xmlns:r="http://schemas.openxmlformats.org/officeDocument/2006/relationships" ref="F44" r:id="rId230"/>
    <hyperlink xmlns:r="http://schemas.openxmlformats.org/officeDocument/2006/relationships" ref="G44" r:id="rId231"/>
    <hyperlink xmlns:r="http://schemas.openxmlformats.org/officeDocument/2006/relationships" ref="H44" r:id="rId232"/>
    <hyperlink xmlns:r="http://schemas.openxmlformats.org/officeDocument/2006/relationships" ref="J44" r:id="rId233"/>
    <hyperlink xmlns:r="http://schemas.openxmlformats.org/officeDocument/2006/relationships" ref="L44" r:id="rId234"/>
    <hyperlink xmlns:r="http://schemas.openxmlformats.org/officeDocument/2006/relationships" ref="N44" r:id="rId235"/>
    <hyperlink xmlns:r="http://schemas.openxmlformats.org/officeDocument/2006/relationships" ref="O44" r:id="rId236"/>
    <hyperlink xmlns:r="http://schemas.openxmlformats.org/officeDocument/2006/relationships" ref="F45" r:id="rId237"/>
    <hyperlink xmlns:r="http://schemas.openxmlformats.org/officeDocument/2006/relationships" ref="G45" r:id="rId238"/>
    <hyperlink xmlns:r="http://schemas.openxmlformats.org/officeDocument/2006/relationships" ref="H45" r:id="rId239"/>
    <hyperlink xmlns:r="http://schemas.openxmlformats.org/officeDocument/2006/relationships" ref="J45" r:id="rId240"/>
    <hyperlink xmlns:r="http://schemas.openxmlformats.org/officeDocument/2006/relationships" ref="K45" r:id="rId241"/>
    <hyperlink xmlns:r="http://schemas.openxmlformats.org/officeDocument/2006/relationships" ref="L45" r:id="rId242"/>
    <hyperlink xmlns:r="http://schemas.openxmlformats.org/officeDocument/2006/relationships" ref="N45" r:id="rId243"/>
    <hyperlink xmlns:r="http://schemas.openxmlformats.org/officeDocument/2006/relationships" ref="O45" r:id="rId244"/>
    <hyperlink xmlns:r="http://schemas.openxmlformats.org/officeDocument/2006/relationships" ref="F46" r:id="rId245"/>
    <hyperlink xmlns:r="http://schemas.openxmlformats.org/officeDocument/2006/relationships" ref="G46" r:id="rId246"/>
    <hyperlink xmlns:r="http://schemas.openxmlformats.org/officeDocument/2006/relationships" ref="H46" r:id="rId247"/>
    <hyperlink xmlns:r="http://schemas.openxmlformats.org/officeDocument/2006/relationships" ref="J46" r:id="rId248"/>
    <hyperlink xmlns:r="http://schemas.openxmlformats.org/officeDocument/2006/relationships" ref="L46" r:id="rId249"/>
    <hyperlink xmlns:r="http://schemas.openxmlformats.org/officeDocument/2006/relationships" ref="N46" r:id="rId250"/>
    <hyperlink xmlns:r="http://schemas.openxmlformats.org/officeDocument/2006/relationships" ref="O46" r:id="rId251"/>
    <hyperlink xmlns:r="http://schemas.openxmlformats.org/officeDocument/2006/relationships" ref="F47" r:id="rId252"/>
    <hyperlink xmlns:r="http://schemas.openxmlformats.org/officeDocument/2006/relationships" ref="G47" r:id="rId253"/>
    <hyperlink xmlns:r="http://schemas.openxmlformats.org/officeDocument/2006/relationships" ref="H47" r:id="rId254"/>
    <hyperlink xmlns:r="http://schemas.openxmlformats.org/officeDocument/2006/relationships" ref="J47" r:id="rId255"/>
    <hyperlink xmlns:r="http://schemas.openxmlformats.org/officeDocument/2006/relationships" ref="L47" r:id="rId256"/>
    <hyperlink xmlns:r="http://schemas.openxmlformats.org/officeDocument/2006/relationships" ref="N47" r:id="rId257"/>
    <hyperlink xmlns:r="http://schemas.openxmlformats.org/officeDocument/2006/relationships" ref="O47" r:id="rId258"/>
    <hyperlink xmlns:r="http://schemas.openxmlformats.org/officeDocument/2006/relationships" ref="F48" r:id="rId259"/>
    <hyperlink xmlns:r="http://schemas.openxmlformats.org/officeDocument/2006/relationships" ref="G48" r:id="rId260"/>
    <hyperlink xmlns:r="http://schemas.openxmlformats.org/officeDocument/2006/relationships" ref="H48" r:id="rId261"/>
    <hyperlink xmlns:r="http://schemas.openxmlformats.org/officeDocument/2006/relationships" ref="J48" r:id="rId262"/>
    <hyperlink xmlns:r="http://schemas.openxmlformats.org/officeDocument/2006/relationships" ref="K48" r:id="rId263"/>
    <hyperlink xmlns:r="http://schemas.openxmlformats.org/officeDocument/2006/relationships" ref="L48" r:id="rId264"/>
    <hyperlink xmlns:r="http://schemas.openxmlformats.org/officeDocument/2006/relationships" ref="N48" r:id="rId265"/>
    <hyperlink xmlns:r="http://schemas.openxmlformats.org/officeDocument/2006/relationships" ref="O48" r:id="rId266"/>
    <hyperlink xmlns:r="http://schemas.openxmlformats.org/officeDocument/2006/relationships" ref="F49" r:id="rId267"/>
    <hyperlink xmlns:r="http://schemas.openxmlformats.org/officeDocument/2006/relationships" ref="G49" r:id="rId268"/>
    <hyperlink xmlns:r="http://schemas.openxmlformats.org/officeDocument/2006/relationships" ref="H49" r:id="rId269"/>
    <hyperlink xmlns:r="http://schemas.openxmlformats.org/officeDocument/2006/relationships" ref="J49" r:id="rId270"/>
    <hyperlink xmlns:r="http://schemas.openxmlformats.org/officeDocument/2006/relationships" ref="K49" r:id="rId271"/>
    <hyperlink xmlns:r="http://schemas.openxmlformats.org/officeDocument/2006/relationships" ref="L49" r:id="rId272"/>
    <hyperlink xmlns:r="http://schemas.openxmlformats.org/officeDocument/2006/relationships" ref="N49" r:id="rId273"/>
    <hyperlink xmlns:r="http://schemas.openxmlformats.org/officeDocument/2006/relationships" ref="O49" r:id="rId274"/>
    <hyperlink xmlns:r="http://schemas.openxmlformats.org/officeDocument/2006/relationships" ref="F50" r:id="rId275"/>
    <hyperlink xmlns:r="http://schemas.openxmlformats.org/officeDocument/2006/relationships" ref="G50" r:id="rId276"/>
    <hyperlink xmlns:r="http://schemas.openxmlformats.org/officeDocument/2006/relationships" ref="H50" r:id="rId277"/>
    <hyperlink xmlns:r="http://schemas.openxmlformats.org/officeDocument/2006/relationships" ref="J50" r:id="rId278"/>
    <hyperlink xmlns:r="http://schemas.openxmlformats.org/officeDocument/2006/relationships" ref="K50" r:id="rId279"/>
    <hyperlink xmlns:r="http://schemas.openxmlformats.org/officeDocument/2006/relationships" ref="L50" r:id="rId280"/>
    <hyperlink xmlns:r="http://schemas.openxmlformats.org/officeDocument/2006/relationships" ref="N50" r:id="rId281"/>
    <hyperlink xmlns:r="http://schemas.openxmlformats.org/officeDocument/2006/relationships" ref="O50" r:id="rId282"/>
    <hyperlink xmlns:r="http://schemas.openxmlformats.org/officeDocument/2006/relationships" ref="F51" r:id="rId283"/>
    <hyperlink xmlns:r="http://schemas.openxmlformats.org/officeDocument/2006/relationships" ref="G51" r:id="rId284"/>
    <hyperlink xmlns:r="http://schemas.openxmlformats.org/officeDocument/2006/relationships" ref="H51" r:id="rId285"/>
    <hyperlink xmlns:r="http://schemas.openxmlformats.org/officeDocument/2006/relationships" ref="J51" r:id="rId286"/>
    <hyperlink xmlns:r="http://schemas.openxmlformats.org/officeDocument/2006/relationships" ref="K51" r:id="rId287"/>
    <hyperlink xmlns:r="http://schemas.openxmlformats.org/officeDocument/2006/relationships" ref="L51" r:id="rId288"/>
    <hyperlink xmlns:r="http://schemas.openxmlformats.org/officeDocument/2006/relationships" ref="N51" r:id="rId289"/>
    <hyperlink xmlns:r="http://schemas.openxmlformats.org/officeDocument/2006/relationships" ref="O51" r:id="rId290"/>
    <hyperlink xmlns:r="http://schemas.openxmlformats.org/officeDocument/2006/relationships" ref="F54" r:id="rId291"/>
    <hyperlink xmlns:r="http://schemas.openxmlformats.org/officeDocument/2006/relationships" ref="G54" r:id="rId292"/>
    <hyperlink xmlns:r="http://schemas.openxmlformats.org/officeDocument/2006/relationships" ref="H54" r:id="rId293"/>
    <hyperlink xmlns:r="http://schemas.openxmlformats.org/officeDocument/2006/relationships" ref="J54" r:id="rId294"/>
    <hyperlink xmlns:r="http://schemas.openxmlformats.org/officeDocument/2006/relationships" ref="L54" r:id="rId295"/>
    <hyperlink xmlns:r="http://schemas.openxmlformats.org/officeDocument/2006/relationships" ref="N54" r:id="rId296"/>
    <hyperlink xmlns:r="http://schemas.openxmlformats.org/officeDocument/2006/relationships" ref="O54" r:id="rId297"/>
    <hyperlink xmlns:r="http://schemas.openxmlformats.org/officeDocument/2006/relationships" ref="F55" r:id="rId298"/>
    <hyperlink xmlns:r="http://schemas.openxmlformats.org/officeDocument/2006/relationships" ref="G55" r:id="rId299"/>
    <hyperlink xmlns:r="http://schemas.openxmlformats.org/officeDocument/2006/relationships" ref="H55" r:id="rId300"/>
    <hyperlink xmlns:r="http://schemas.openxmlformats.org/officeDocument/2006/relationships" ref="J55" r:id="rId301"/>
    <hyperlink xmlns:r="http://schemas.openxmlformats.org/officeDocument/2006/relationships" ref="K55" r:id="rId302"/>
    <hyperlink xmlns:r="http://schemas.openxmlformats.org/officeDocument/2006/relationships" ref="L55" r:id="rId303"/>
    <hyperlink xmlns:r="http://schemas.openxmlformats.org/officeDocument/2006/relationships" ref="N55" r:id="rId304"/>
    <hyperlink xmlns:r="http://schemas.openxmlformats.org/officeDocument/2006/relationships" ref="O55" r:id="rId305"/>
    <hyperlink xmlns:r="http://schemas.openxmlformats.org/officeDocument/2006/relationships" ref="F56" r:id="rId306"/>
    <hyperlink xmlns:r="http://schemas.openxmlformats.org/officeDocument/2006/relationships" ref="G56" r:id="rId307"/>
    <hyperlink xmlns:r="http://schemas.openxmlformats.org/officeDocument/2006/relationships" ref="H56" r:id="rId308"/>
    <hyperlink xmlns:r="http://schemas.openxmlformats.org/officeDocument/2006/relationships" ref="J56" r:id="rId309"/>
    <hyperlink xmlns:r="http://schemas.openxmlformats.org/officeDocument/2006/relationships" ref="K56" r:id="rId310"/>
    <hyperlink xmlns:r="http://schemas.openxmlformats.org/officeDocument/2006/relationships" ref="L56" r:id="rId311"/>
    <hyperlink xmlns:r="http://schemas.openxmlformats.org/officeDocument/2006/relationships" ref="N56" r:id="rId312"/>
    <hyperlink xmlns:r="http://schemas.openxmlformats.org/officeDocument/2006/relationships" ref="O56" r:id="rId313"/>
    <hyperlink xmlns:r="http://schemas.openxmlformats.org/officeDocument/2006/relationships" ref="F57" r:id="rId314"/>
    <hyperlink xmlns:r="http://schemas.openxmlformats.org/officeDocument/2006/relationships" ref="G57" r:id="rId315"/>
    <hyperlink xmlns:r="http://schemas.openxmlformats.org/officeDocument/2006/relationships" ref="H57" r:id="rId316"/>
    <hyperlink xmlns:r="http://schemas.openxmlformats.org/officeDocument/2006/relationships" ref="J57" r:id="rId317"/>
    <hyperlink xmlns:r="http://schemas.openxmlformats.org/officeDocument/2006/relationships" ref="K57" r:id="rId318"/>
    <hyperlink xmlns:r="http://schemas.openxmlformats.org/officeDocument/2006/relationships" ref="L57" r:id="rId319"/>
    <hyperlink xmlns:r="http://schemas.openxmlformats.org/officeDocument/2006/relationships" ref="N57" r:id="rId320"/>
    <hyperlink xmlns:r="http://schemas.openxmlformats.org/officeDocument/2006/relationships" ref="O57" r:id="rId321"/>
    <hyperlink xmlns:r="http://schemas.openxmlformats.org/officeDocument/2006/relationships" ref="F58" r:id="rId322"/>
    <hyperlink xmlns:r="http://schemas.openxmlformats.org/officeDocument/2006/relationships" ref="G58" r:id="rId323"/>
    <hyperlink xmlns:r="http://schemas.openxmlformats.org/officeDocument/2006/relationships" ref="H58" r:id="rId324"/>
    <hyperlink xmlns:r="http://schemas.openxmlformats.org/officeDocument/2006/relationships" ref="J58" r:id="rId325"/>
    <hyperlink xmlns:r="http://schemas.openxmlformats.org/officeDocument/2006/relationships" ref="K58" r:id="rId326"/>
    <hyperlink xmlns:r="http://schemas.openxmlformats.org/officeDocument/2006/relationships" ref="L58" r:id="rId327"/>
    <hyperlink xmlns:r="http://schemas.openxmlformats.org/officeDocument/2006/relationships" ref="N58" r:id="rId328"/>
    <hyperlink xmlns:r="http://schemas.openxmlformats.org/officeDocument/2006/relationships" ref="O58" r:id="rId329"/>
    <hyperlink xmlns:r="http://schemas.openxmlformats.org/officeDocument/2006/relationships" ref="F59" r:id="rId330"/>
    <hyperlink xmlns:r="http://schemas.openxmlformats.org/officeDocument/2006/relationships" ref="G59" r:id="rId331"/>
    <hyperlink xmlns:r="http://schemas.openxmlformats.org/officeDocument/2006/relationships" ref="H59" r:id="rId332"/>
    <hyperlink xmlns:r="http://schemas.openxmlformats.org/officeDocument/2006/relationships" ref="J59" r:id="rId333"/>
    <hyperlink xmlns:r="http://schemas.openxmlformats.org/officeDocument/2006/relationships" ref="L59" r:id="rId334"/>
    <hyperlink xmlns:r="http://schemas.openxmlformats.org/officeDocument/2006/relationships" ref="N59" r:id="rId335"/>
    <hyperlink xmlns:r="http://schemas.openxmlformats.org/officeDocument/2006/relationships" ref="O59" r:id="rId336"/>
    <hyperlink xmlns:r="http://schemas.openxmlformats.org/officeDocument/2006/relationships" ref="F60" r:id="rId337"/>
    <hyperlink xmlns:r="http://schemas.openxmlformats.org/officeDocument/2006/relationships" ref="G60" r:id="rId338"/>
    <hyperlink xmlns:r="http://schemas.openxmlformats.org/officeDocument/2006/relationships" ref="H60" r:id="rId339"/>
    <hyperlink xmlns:r="http://schemas.openxmlformats.org/officeDocument/2006/relationships" ref="J60" r:id="rId340"/>
    <hyperlink xmlns:r="http://schemas.openxmlformats.org/officeDocument/2006/relationships" ref="K60" r:id="rId341"/>
    <hyperlink xmlns:r="http://schemas.openxmlformats.org/officeDocument/2006/relationships" ref="L60" r:id="rId342"/>
    <hyperlink xmlns:r="http://schemas.openxmlformats.org/officeDocument/2006/relationships" ref="N60" r:id="rId343"/>
    <hyperlink xmlns:r="http://schemas.openxmlformats.org/officeDocument/2006/relationships" ref="O60" r:id="rId344"/>
    <hyperlink xmlns:r="http://schemas.openxmlformats.org/officeDocument/2006/relationships" ref="F61" r:id="rId345"/>
    <hyperlink xmlns:r="http://schemas.openxmlformats.org/officeDocument/2006/relationships" ref="G61" r:id="rId346"/>
    <hyperlink xmlns:r="http://schemas.openxmlformats.org/officeDocument/2006/relationships" ref="H61" r:id="rId347"/>
    <hyperlink xmlns:r="http://schemas.openxmlformats.org/officeDocument/2006/relationships" ref="J61" r:id="rId348"/>
    <hyperlink xmlns:r="http://schemas.openxmlformats.org/officeDocument/2006/relationships" ref="K61" r:id="rId349"/>
    <hyperlink xmlns:r="http://schemas.openxmlformats.org/officeDocument/2006/relationships" ref="L61" r:id="rId350"/>
    <hyperlink xmlns:r="http://schemas.openxmlformats.org/officeDocument/2006/relationships" ref="N61" r:id="rId351"/>
    <hyperlink xmlns:r="http://schemas.openxmlformats.org/officeDocument/2006/relationships" ref="O61" r:id="rId352"/>
    <hyperlink xmlns:r="http://schemas.openxmlformats.org/officeDocument/2006/relationships" ref="F62" r:id="rId353"/>
    <hyperlink xmlns:r="http://schemas.openxmlformats.org/officeDocument/2006/relationships" ref="G62" r:id="rId354"/>
    <hyperlink xmlns:r="http://schemas.openxmlformats.org/officeDocument/2006/relationships" ref="H62" r:id="rId355"/>
    <hyperlink xmlns:r="http://schemas.openxmlformats.org/officeDocument/2006/relationships" ref="J62" r:id="rId356"/>
    <hyperlink xmlns:r="http://schemas.openxmlformats.org/officeDocument/2006/relationships" ref="K62" r:id="rId357"/>
    <hyperlink xmlns:r="http://schemas.openxmlformats.org/officeDocument/2006/relationships" ref="L62" r:id="rId358"/>
    <hyperlink xmlns:r="http://schemas.openxmlformats.org/officeDocument/2006/relationships" ref="N62" r:id="rId359"/>
    <hyperlink xmlns:r="http://schemas.openxmlformats.org/officeDocument/2006/relationships" ref="O62" r:id="rId360"/>
    <hyperlink xmlns:r="http://schemas.openxmlformats.org/officeDocument/2006/relationships" ref="F63" r:id="rId361"/>
    <hyperlink xmlns:r="http://schemas.openxmlformats.org/officeDocument/2006/relationships" ref="G63" r:id="rId362"/>
    <hyperlink xmlns:r="http://schemas.openxmlformats.org/officeDocument/2006/relationships" ref="H63" r:id="rId363"/>
    <hyperlink xmlns:r="http://schemas.openxmlformats.org/officeDocument/2006/relationships" ref="J63" r:id="rId364"/>
    <hyperlink xmlns:r="http://schemas.openxmlformats.org/officeDocument/2006/relationships" ref="L63" r:id="rId365"/>
    <hyperlink xmlns:r="http://schemas.openxmlformats.org/officeDocument/2006/relationships" ref="F64" r:id="rId366"/>
    <hyperlink xmlns:r="http://schemas.openxmlformats.org/officeDocument/2006/relationships" ref="G64" r:id="rId367"/>
    <hyperlink xmlns:r="http://schemas.openxmlformats.org/officeDocument/2006/relationships" ref="H64" r:id="rId368"/>
    <hyperlink xmlns:r="http://schemas.openxmlformats.org/officeDocument/2006/relationships" ref="J64" r:id="rId369"/>
    <hyperlink xmlns:r="http://schemas.openxmlformats.org/officeDocument/2006/relationships" ref="K64" r:id="rId370"/>
    <hyperlink xmlns:r="http://schemas.openxmlformats.org/officeDocument/2006/relationships" ref="L64" r:id="rId371"/>
    <hyperlink xmlns:r="http://schemas.openxmlformats.org/officeDocument/2006/relationships" ref="N64" r:id="rId372"/>
    <hyperlink xmlns:r="http://schemas.openxmlformats.org/officeDocument/2006/relationships" ref="O64" r:id="rId373"/>
    <hyperlink xmlns:r="http://schemas.openxmlformats.org/officeDocument/2006/relationships" ref="F65" r:id="rId374"/>
    <hyperlink xmlns:r="http://schemas.openxmlformats.org/officeDocument/2006/relationships" ref="G65" r:id="rId375"/>
    <hyperlink xmlns:r="http://schemas.openxmlformats.org/officeDocument/2006/relationships" ref="H65" r:id="rId376"/>
    <hyperlink xmlns:r="http://schemas.openxmlformats.org/officeDocument/2006/relationships" ref="J65" r:id="rId377"/>
    <hyperlink xmlns:r="http://schemas.openxmlformats.org/officeDocument/2006/relationships" ref="K65" r:id="rId378"/>
    <hyperlink xmlns:r="http://schemas.openxmlformats.org/officeDocument/2006/relationships" ref="L65" r:id="rId379"/>
    <hyperlink xmlns:r="http://schemas.openxmlformats.org/officeDocument/2006/relationships" ref="N65" r:id="rId380"/>
    <hyperlink xmlns:r="http://schemas.openxmlformats.org/officeDocument/2006/relationships" ref="O65" r:id="rId381"/>
    <hyperlink xmlns:r="http://schemas.openxmlformats.org/officeDocument/2006/relationships" ref="F66" r:id="rId382"/>
    <hyperlink xmlns:r="http://schemas.openxmlformats.org/officeDocument/2006/relationships" ref="G66" r:id="rId383"/>
    <hyperlink xmlns:r="http://schemas.openxmlformats.org/officeDocument/2006/relationships" ref="H66" r:id="rId384"/>
    <hyperlink xmlns:r="http://schemas.openxmlformats.org/officeDocument/2006/relationships" ref="J66" r:id="rId385"/>
    <hyperlink xmlns:r="http://schemas.openxmlformats.org/officeDocument/2006/relationships" ref="L66" r:id="rId386"/>
    <hyperlink xmlns:r="http://schemas.openxmlformats.org/officeDocument/2006/relationships" ref="N66" r:id="rId387"/>
    <hyperlink xmlns:r="http://schemas.openxmlformats.org/officeDocument/2006/relationships" ref="O66" r:id="rId388"/>
    <hyperlink xmlns:r="http://schemas.openxmlformats.org/officeDocument/2006/relationships" ref="F67" r:id="rId389"/>
    <hyperlink xmlns:r="http://schemas.openxmlformats.org/officeDocument/2006/relationships" ref="G67" r:id="rId390"/>
    <hyperlink xmlns:r="http://schemas.openxmlformats.org/officeDocument/2006/relationships" ref="H67" r:id="rId391"/>
    <hyperlink xmlns:r="http://schemas.openxmlformats.org/officeDocument/2006/relationships" ref="J67" r:id="rId392"/>
    <hyperlink xmlns:r="http://schemas.openxmlformats.org/officeDocument/2006/relationships" ref="K67" r:id="rId393"/>
    <hyperlink xmlns:r="http://schemas.openxmlformats.org/officeDocument/2006/relationships" ref="L67" r:id="rId394"/>
    <hyperlink xmlns:r="http://schemas.openxmlformats.org/officeDocument/2006/relationships" ref="N67" r:id="rId395"/>
    <hyperlink xmlns:r="http://schemas.openxmlformats.org/officeDocument/2006/relationships" ref="O67" r:id="rId396"/>
    <hyperlink xmlns:r="http://schemas.openxmlformats.org/officeDocument/2006/relationships" ref="F68" r:id="rId397"/>
    <hyperlink xmlns:r="http://schemas.openxmlformats.org/officeDocument/2006/relationships" ref="N68" r:id="rId398"/>
    <hyperlink xmlns:r="http://schemas.openxmlformats.org/officeDocument/2006/relationships" ref="O68" r:id="rId399"/>
    <hyperlink xmlns:r="http://schemas.openxmlformats.org/officeDocument/2006/relationships" ref="F71" r:id="rId400"/>
    <hyperlink xmlns:r="http://schemas.openxmlformats.org/officeDocument/2006/relationships" ref="G71" r:id="rId401"/>
    <hyperlink xmlns:r="http://schemas.openxmlformats.org/officeDocument/2006/relationships" ref="H71" r:id="rId402"/>
    <hyperlink xmlns:r="http://schemas.openxmlformats.org/officeDocument/2006/relationships" ref="F72" r:id="rId403"/>
    <hyperlink xmlns:r="http://schemas.openxmlformats.org/officeDocument/2006/relationships" ref="G72" r:id="rId404"/>
    <hyperlink xmlns:r="http://schemas.openxmlformats.org/officeDocument/2006/relationships" ref="H72" r:id="rId405"/>
    <hyperlink xmlns:r="http://schemas.openxmlformats.org/officeDocument/2006/relationships" ref="J72" r:id="rId406"/>
    <hyperlink xmlns:r="http://schemas.openxmlformats.org/officeDocument/2006/relationships" ref="K72" r:id="rId407"/>
    <hyperlink xmlns:r="http://schemas.openxmlformats.org/officeDocument/2006/relationships" ref="L72" r:id="rId408"/>
    <hyperlink xmlns:r="http://schemas.openxmlformats.org/officeDocument/2006/relationships" ref="N72" r:id="rId409"/>
    <hyperlink xmlns:r="http://schemas.openxmlformats.org/officeDocument/2006/relationships" ref="O72" r:id="rId410"/>
    <hyperlink xmlns:r="http://schemas.openxmlformats.org/officeDocument/2006/relationships" ref="F73" r:id="rId411"/>
    <hyperlink xmlns:r="http://schemas.openxmlformats.org/officeDocument/2006/relationships" ref="G73" r:id="rId412"/>
    <hyperlink xmlns:r="http://schemas.openxmlformats.org/officeDocument/2006/relationships" ref="H73" r:id="rId413"/>
    <hyperlink xmlns:r="http://schemas.openxmlformats.org/officeDocument/2006/relationships" ref="J73" r:id="rId414"/>
    <hyperlink xmlns:r="http://schemas.openxmlformats.org/officeDocument/2006/relationships" ref="K73" r:id="rId415"/>
    <hyperlink xmlns:r="http://schemas.openxmlformats.org/officeDocument/2006/relationships" ref="L73" r:id="rId416"/>
    <hyperlink xmlns:r="http://schemas.openxmlformats.org/officeDocument/2006/relationships" ref="N73" r:id="rId417"/>
    <hyperlink xmlns:r="http://schemas.openxmlformats.org/officeDocument/2006/relationships" ref="O73" r:id="rId418"/>
    <hyperlink xmlns:r="http://schemas.openxmlformats.org/officeDocument/2006/relationships" ref="F74" r:id="rId419"/>
    <hyperlink xmlns:r="http://schemas.openxmlformats.org/officeDocument/2006/relationships" ref="G74" r:id="rId420"/>
    <hyperlink xmlns:r="http://schemas.openxmlformats.org/officeDocument/2006/relationships" ref="H74" r:id="rId421"/>
    <hyperlink xmlns:r="http://schemas.openxmlformats.org/officeDocument/2006/relationships" ref="J74" r:id="rId422"/>
    <hyperlink xmlns:r="http://schemas.openxmlformats.org/officeDocument/2006/relationships" ref="L74" r:id="rId423"/>
    <hyperlink xmlns:r="http://schemas.openxmlformats.org/officeDocument/2006/relationships" ref="N74" r:id="rId424"/>
    <hyperlink xmlns:r="http://schemas.openxmlformats.org/officeDocument/2006/relationships" ref="F75" r:id="rId425"/>
    <hyperlink xmlns:r="http://schemas.openxmlformats.org/officeDocument/2006/relationships" ref="G75" r:id="rId426"/>
    <hyperlink xmlns:r="http://schemas.openxmlformats.org/officeDocument/2006/relationships" ref="H75" r:id="rId427"/>
    <hyperlink xmlns:r="http://schemas.openxmlformats.org/officeDocument/2006/relationships" ref="J75" r:id="rId428"/>
    <hyperlink xmlns:r="http://schemas.openxmlformats.org/officeDocument/2006/relationships" ref="L75" r:id="rId429"/>
    <hyperlink xmlns:r="http://schemas.openxmlformats.org/officeDocument/2006/relationships" ref="N75" r:id="rId430"/>
    <hyperlink xmlns:r="http://schemas.openxmlformats.org/officeDocument/2006/relationships" ref="F76" r:id="rId431"/>
    <hyperlink xmlns:r="http://schemas.openxmlformats.org/officeDocument/2006/relationships" ref="G76" r:id="rId432"/>
    <hyperlink xmlns:r="http://schemas.openxmlformats.org/officeDocument/2006/relationships" ref="H76" r:id="rId433"/>
    <hyperlink xmlns:r="http://schemas.openxmlformats.org/officeDocument/2006/relationships" ref="J76" r:id="rId434"/>
    <hyperlink xmlns:r="http://schemas.openxmlformats.org/officeDocument/2006/relationships" ref="K76" r:id="rId435"/>
    <hyperlink xmlns:r="http://schemas.openxmlformats.org/officeDocument/2006/relationships" ref="L76" r:id="rId436"/>
    <hyperlink xmlns:r="http://schemas.openxmlformats.org/officeDocument/2006/relationships" ref="N76" r:id="rId437"/>
    <hyperlink xmlns:r="http://schemas.openxmlformats.org/officeDocument/2006/relationships" ref="F77" r:id="rId438"/>
    <hyperlink xmlns:r="http://schemas.openxmlformats.org/officeDocument/2006/relationships" ref="J77" r:id="rId439"/>
    <hyperlink xmlns:r="http://schemas.openxmlformats.org/officeDocument/2006/relationships" ref="K77" r:id="rId440"/>
    <hyperlink xmlns:r="http://schemas.openxmlformats.org/officeDocument/2006/relationships" ref="L77" r:id="rId441"/>
    <hyperlink xmlns:r="http://schemas.openxmlformats.org/officeDocument/2006/relationships" ref="N77" r:id="rId442"/>
    <hyperlink xmlns:r="http://schemas.openxmlformats.org/officeDocument/2006/relationships" ref="F78" r:id="rId443"/>
    <hyperlink xmlns:r="http://schemas.openxmlformats.org/officeDocument/2006/relationships" ref="G78" r:id="rId444"/>
    <hyperlink xmlns:r="http://schemas.openxmlformats.org/officeDocument/2006/relationships" ref="H78" r:id="rId445"/>
    <hyperlink xmlns:r="http://schemas.openxmlformats.org/officeDocument/2006/relationships" ref="J78" r:id="rId446"/>
    <hyperlink xmlns:r="http://schemas.openxmlformats.org/officeDocument/2006/relationships" ref="K78" r:id="rId447"/>
    <hyperlink xmlns:r="http://schemas.openxmlformats.org/officeDocument/2006/relationships" ref="L78" r:id="rId448"/>
    <hyperlink xmlns:r="http://schemas.openxmlformats.org/officeDocument/2006/relationships" ref="N78" r:id="rId449"/>
    <hyperlink xmlns:r="http://schemas.openxmlformats.org/officeDocument/2006/relationships" ref="O78" r:id="rId450"/>
    <hyperlink xmlns:r="http://schemas.openxmlformats.org/officeDocument/2006/relationships" ref="F79" r:id="rId451"/>
    <hyperlink xmlns:r="http://schemas.openxmlformats.org/officeDocument/2006/relationships" ref="G79" r:id="rId452"/>
    <hyperlink xmlns:r="http://schemas.openxmlformats.org/officeDocument/2006/relationships" ref="H79" r:id="rId453"/>
    <hyperlink xmlns:r="http://schemas.openxmlformats.org/officeDocument/2006/relationships" ref="J79" r:id="rId454"/>
    <hyperlink xmlns:r="http://schemas.openxmlformats.org/officeDocument/2006/relationships" ref="K79" r:id="rId455"/>
    <hyperlink xmlns:r="http://schemas.openxmlformats.org/officeDocument/2006/relationships" ref="L79" r:id="rId456"/>
    <hyperlink xmlns:r="http://schemas.openxmlformats.org/officeDocument/2006/relationships" ref="N79" r:id="rId457"/>
    <hyperlink xmlns:r="http://schemas.openxmlformats.org/officeDocument/2006/relationships" ref="O79" r:id="rId458"/>
    <hyperlink xmlns:r="http://schemas.openxmlformats.org/officeDocument/2006/relationships" ref="F80" r:id="rId459"/>
    <hyperlink xmlns:r="http://schemas.openxmlformats.org/officeDocument/2006/relationships" ref="G80" r:id="rId460"/>
    <hyperlink xmlns:r="http://schemas.openxmlformats.org/officeDocument/2006/relationships" ref="H80" r:id="rId461"/>
    <hyperlink xmlns:r="http://schemas.openxmlformats.org/officeDocument/2006/relationships" ref="J80" r:id="rId462"/>
    <hyperlink xmlns:r="http://schemas.openxmlformats.org/officeDocument/2006/relationships" ref="K80" r:id="rId463"/>
    <hyperlink xmlns:r="http://schemas.openxmlformats.org/officeDocument/2006/relationships" ref="L80" r:id="rId464"/>
    <hyperlink xmlns:r="http://schemas.openxmlformats.org/officeDocument/2006/relationships" ref="N80" r:id="rId465"/>
    <hyperlink xmlns:r="http://schemas.openxmlformats.org/officeDocument/2006/relationships" ref="O80" r:id="rId466"/>
    <hyperlink xmlns:r="http://schemas.openxmlformats.org/officeDocument/2006/relationships" ref="F81" r:id="rId467"/>
    <hyperlink xmlns:r="http://schemas.openxmlformats.org/officeDocument/2006/relationships" ref="G81" r:id="rId468"/>
    <hyperlink xmlns:r="http://schemas.openxmlformats.org/officeDocument/2006/relationships" ref="H81" r:id="rId469"/>
    <hyperlink xmlns:r="http://schemas.openxmlformats.org/officeDocument/2006/relationships" ref="J81" r:id="rId470"/>
    <hyperlink xmlns:r="http://schemas.openxmlformats.org/officeDocument/2006/relationships" ref="K81" r:id="rId471"/>
    <hyperlink xmlns:r="http://schemas.openxmlformats.org/officeDocument/2006/relationships" ref="L81" r:id="rId472"/>
    <hyperlink xmlns:r="http://schemas.openxmlformats.org/officeDocument/2006/relationships" ref="N81" r:id="rId473"/>
    <hyperlink xmlns:r="http://schemas.openxmlformats.org/officeDocument/2006/relationships" ref="O81" r:id="rId474"/>
    <hyperlink xmlns:r="http://schemas.openxmlformats.org/officeDocument/2006/relationships" ref="F82" r:id="rId475"/>
    <hyperlink xmlns:r="http://schemas.openxmlformats.org/officeDocument/2006/relationships" ref="G82" r:id="rId476"/>
    <hyperlink xmlns:r="http://schemas.openxmlformats.org/officeDocument/2006/relationships" ref="H82" r:id="rId477"/>
    <hyperlink xmlns:r="http://schemas.openxmlformats.org/officeDocument/2006/relationships" ref="J82" r:id="rId478"/>
    <hyperlink xmlns:r="http://schemas.openxmlformats.org/officeDocument/2006/relationships" ref="K82" r:id="rId479"/>
    <hyperlink xmlns:r="http://schemas.openxmlformats.org/officeDocument/2006/relationships" ref="L82" r:id="rId480"/>
    <hyperlink xmlns:r="http://schemas.openxmlformats.org/officeDocument/2006/relationships" ref="N82" r:id="rId481"/>
    <hyperlink xmlns:r="http://schemas.openxmlformats.org/officeDocument/2006/relationships" ref="O82" r:id="rId482"/>
    <hyperlink xmlns:r="http://schemas.openxmlformats.org/officeDocument/2006/relationships" ref="F83" r:id="rId483"/>
    <hyperlink xmlns:r="http://schemas.openxmlformats.org/officeDocument/2006/relationships" ref="G83" r:id="rId484"/>
    <hyperlink xmlns:r="http://schemas.openxmlformats.org/officeDocument/2006/relationships" ref="H83" r:id="rId485"/>
    <hyperlink xmlns:r="http://schemas.openxmlformats.org/officeDocument/2006/relationships" ref="J83" r:id="rId486"/>
    <hyperlink xmlns:r="http://schemas.openxmlformats.org/officeDocument/2006/relationships" ref="K83" r:id="rId487"/>
    <hyperlink xmlns:r="http://schemas.openxmlformats.org/officeDocument/2006/relationships" ref="L83" r:id="rId488"/>
    <hyperlink xmlns:r="http://schemas.openxmlformats.org/officeDocument/2006/relationships" ref="N83" r:id="rId489"/>
    <hyperlink xmlns:r="http://schemas.openxmlformats.org/officeDocument/2006/relationships" ref="O83" r:id="rId490"/>
    <hyperlink xmlns:r="http://schemas.openxmlformats.org/officeDocument/2006/relationships" ref="F84" r:id="rId491"/>
    <hyperlink xmlns:r="http://schemas.openxmlformats.org/officeDocument/2006/relationships" ref="G84" r:id="rId492"/>
    <hyperlink xmlns:r="http://schemas.openxmlformats.org/officeDocument/2006/relationships" ref="H84" r:id="rId493"/>
    <hyperlink xmlns:r="http://schemas.openxmlformats.org/officeDocument/2006/relationships" ref="J84" r:id="rId494"/>
    <hyperlink xmlns:r="http://schemas.openxmlformats.org/officeDocument/2006/relationships" ref="K84" r:id="rId495"/>
    <hyperlink xmlns:r="http://schemas.openxmlformats.org/officeDocument/2006/relationships" ref="L84" r:id="rId496"/>
    <hyperlink xmlns:r="http://schemas.openxmlformats.org/officeDocument/2006/relationships" ref="N84" r:id="rId497"/>
    <hyperlink xmlns:r="http://schemas.openxmlformats.org/officeDocument/2006/relationships" ref="O84" r:id="rId498"/>
    <hyperlink xmlns:r="http://schemas.openxmlformats.org/officeDocument/2006/relationships" ref="F85" r:id="rId499"/>
    <hyperlink xmlns:r="http://schemas.openxmlformats.org/officeDocument/2006/relationships" ref="G85" r:id="rId500"/>
    <hyperlink xmlns:r="http://schemas.openxmlformats.org/officeDocument/2006/relationships" ref="H85" r:id="rId501"/>
    <hyperlink xmlns:r="http://schemas.openxmlformats.org/officeDocument/2006/relationships" ref="J85" r:id="rId502"/>
    <hyperlink xmlns:r="http://schemas.openxmlformats.org/officeDocument/2006/relationships" ref="K85" r:id="rId503"/>
    <hyperlink xmlns:r="http://schemas.openxmlformats.org/officeDocument/2006/relationships" ref="L85" r:id="rId504"/>
    <hyperlink xmlns:r="http://schemas.openxmlformats.org/officeDocument/2006/relationships" ref="N85" r:id="rId505"/>
    <hyperlink xmlns:r="http://schemas.openxmlformats.org/officeDocument/2006/relationships" ref="O85" r:id="rId506"/>
    <hyperlink xmlns:r="http://schemas.openxmlformats.org/officeDocument/2006/relationships" ref="F86" r:id="rId507"/>
    <hyperlink xmlns:r="http://schemas.openxmlformats.org/officeDocument/2006/relationships" ref="G86" r:id="rId508"/>
    <hyperlink xmlns:r="http://schemas.openxmlformats.org/officeDocument/2006/relationships" ref="H86" r:id="rId509"/>
    <hyperlink xmlns:r="http://schemas.openxmlformats.org/officeDocument/2006/relationships" ref="J86" r:id="rId510"/>
    <hyperlink xmlns:r="http://schemas.openxmlformats.org/officeDocument/2006/relationships" ref="K86" r:id="rId511"/>
    <hyperlink xmlns:r="http://schemas.openxmlformats.org/officeDocument/2006/relationships" ref="L86" r:id="rId512"/>
    <hyperlink xmlns:r="http://schemas.openxmlformats.org/officeDocument/2006/relationships" ref="N86" r:id="rId513"/>
    <hyperlink xmlns:r="http://schemas.openxmlformats.org/officeDocument/2006/relationships" ref="O86" r:id="rId514"/>
    <hyperlink xmlns:r="http://schemas.openxmlformats.org/officeDocument/2006/relationships" ref="F89" r:id="rId515"/>
    <hyperlink xmlns:r="http://schemas.openxmlformats.org/officeDocument/2006/relationships" ref="G89" r:id="rId516"/>
    <hyperlink xmlns:r="http://schemas.openxmlformats.org/officeDocument/2006/relationships" ref="H89" r:id="rId517"/>
    <hyperlink xmlns:r="http://schemas.openxmlformats.org/officeDocument/2006/relationships" ref="J89" r:id="rId518"/>
    <hyperlink xmlns:r="http://schemas.openxmlformats.org/officeDocument/2006/relationships" ref="K89" r:id="rId519"/>
    <hyperlink xmlns:r="http://schemas.openxmlformats.org/officeDocument/2006/relationships" ref="L89" r:id="rId520"/>
    <hyperlink xmlns:r="http://schemas.openxmlformats.org/officeDocument/2006/relationships" ref="N89" r:id="rId521"/>
    <hyperlink xmlns:r="http://schemas.openxmlformats.org/officeDocument/2006/relationships" ref="O89" r:id="rId522"/>
    <hyperlink xmlns:r="http://schemas.openxmlformats.org/officeDocument/2006/relationships" ref="F90" r:id="rId523"/>
    <hyperlink xmlns:r="http://schemas.openxmlformats.org/officeDocument/2006/relationships" ref="G90" r:id="rId524"/>
    <hyperlink xmlns:r="http://schemas.openxmlformats.org/officeDocument/2006/relationships" ref="H90" r:id="rId525"/>
    <hyperlink xmlns:r="http://schemas.openxmlformats.org/officeDocument/2006/relationships" ref="J90" r:id="rId526"/>
    <hyperlink xmlns:r="http://schemas.openxmlformats.org/officeDocument/2006/relationships" ref="K90" r:id="rId527"/>
    <hyperlink xmlns:r="http://schemas.openxmlformats.org/officeDocument/2006/relationships" ref="L90" r:id="rId528"/>
    <hyperlink xmlns:r="http://schemas.openxmlformats.org/officeDocument/2006/relationships" ref="N90" r:id="rId529"/>
    <hyperlink xmlns:r="http://schemas.openxmlformats.org/officeDocument/2006/relationships" ref="O90" r:id="rId530"/>
    <hyperlink xmlns:r="http://schemas.openxmlformats.org/officeDocument/2006/relationships" ref="F91" r:id="rId531"/>
    <hyperlink xmlns:r="http://schemas.openxmlformats.org/officeDocument/2006/relationships" ref="G91" r:id="rId532"/>
    <hyperlink xmlns:r="http://schemas.openxmlformats.org/officeDocument/2006/relationships" ref="H91" r:id="rId533"/>
    <hyperlink xmlns:r="http://schemas.openxmlformats.org/officeDocument/2006/relationships" ref="J91" r:id="rId534"/>
    <hyperlink xmlns:r="http://schemas.openxmlformats.org/officeDocument/2006/relationships" ref="K91" r:id="rId535"/>
    <hyperlink xmlns:r="http://schemas.openxmlformats.org/officeDocument/2006/relationships" ref="L91" r:id="rId536"/>
    <hyperlink xmlns:r="http://schemas.openxmlformats.org/officeDocument/2006/relationships" ref="N91" r:id="rId537"/>
    <hyperlink xmlns:r="http://schemas.openxmlformats.org/officeDocument/2006/relationships" ref="O91" r:id="rId538"/>
    <hyperlink xmlns:r="http://schemas.openxmlformats.org/officeDocument/2006/relationships" ref="F92" r:id="rId539"/>
    <hyperlink xmlns:r="http://schemas.openxmlformats.org/officeDocument/2006/relationships" ref="G92" r:id="rId540"/>
    <hyperlink xmlns:r="http://schemas.openxmlformats.org/officeDocument/2006/relationships" ref="H92" r:id="rId541"/>
    <hyperlink xmlns:r="http://schemas.openxmlformats.org/officeDocument/2006/relationships" ref="J92" r:id="rId542"/>
    <hyperlink xmlns:r="http://schemas.openxmlformats.org/officeDocument/2006/relationships" ref="K92" r:id="rId543"/>
    <hyperlink xmlns:r="http://schemas.openxmlformats.org/officeDocument/2006/relationships" ref="L92" r:id="rId544"/>
    <hyperlink xmlns:r="http://schemas.openxmlformats.org/officeDocument/2006/relationships" ref="N92" r:id="rId545"/>
    <hyperlink xmlns:r="http://schemas.openxmlformats.org/officeDocument/2006/relationships" ref="O92" r:id="rId546"/>
    <hyperlink xmlns:r="http://schemas.openxmlformats.org/officeDocument/2006/relationships" ref="F93" r:id="rId547"/>
    <hyperlink xmlns:r="http://schemas.openxmlformats.org/officeDocument/2006/relationships" ref="G93" r:id="rId548"/>
    <hyperlink xmlns:r="http://schemas.openxmlformats.org/officeDocument/2006/relationships" ref="H93" r:id="rId549"/>
    <hyperlink xmlns:r="http://schemas.openxmlformats.org/officeDocument/2006/relationships" ref="J93" r:id="rId550"/>
    <hyperlink xmlns:r="http://schemas.openxmlformats.org/officeDocument/2006/relationships" ref="L93" r:id="rId551"/>
    <hyperlink xmlns:r="http://schemas.openxmlformats.org/officeDocument/2006/relationships" ref="F94" r:id="rId552"/>
    <hyperlink xmlns:r="http://schemas.openxmlformats.org/officeDocument/2006/relationships" ref="G94" r:id="rId553"/>
    <hyperlink xmlns:r="http://schemas.openxmlformats.org/officeDocument/2006/relationships" ref="H94" r:id="rId554"/>
    <hyperlink xmlns:r="http://schemas.openxmlformats.org/officeDocument/2006/relationships" ref="J94" r:id="rId555"/>
    <hyperlink xmlns:r="http://schemas.openxmlformats.org/officeDocument/2006/relationships" ref="L94" r:id="rId556"/>
    <hyperlink xmlns:r="http://schemas.openxmlformats.org/officeDocument/2006/relationships" ref="N94" r:id="rId557"/>
    <hyperlink xmlns:r="http://schemas.openxmlformats.org/officeDocument/2006/relationships" ref="O94" r:id="rId558"/>
    <hyperlink xmlns:r="http://schemas.openxmlformats.org/officeDocument/2006/relationships" ref="F95" r:id="rId559"/>
    <hyperlink xmlns:r="http://schemas.openxmlformats.org/officeDocument/2006/relationships" ref="G95" r:id="rId560"/>
    <hyperlink xmlns:r="http://schemas.openxmlformats.org/officeDocument/2006/relationships" ref="H95" r:id="rId561"/>
    <hyperlink xmlns:r="http://schemas.openxmlformats.org/officeDocument/2006/relationships" ref="J95" r:id="rId562"/>
    <hyperlink xmlns:r="http://schemas.openxmlformats.org/officeDocument/2006/relationships" ref="K95" r:id="rId563"/>
    <hyperlink xmlns:r="http://schemas.openxmlformats.org/officeDocument/2006/relationships" ref="L95" r:id="rId564"/>
    <hyperlink xmlns:r="http://schemas.openxmlformats.org/officeDocument/2006/relationships" ref="N95" r:id="rId565"/>
    <hyperlink xmlns:r="http://schemas.openxmlformats.org/officeDocument/2006/relationships" ref="O95" r:id="rId566"/>
    <hyperlink xmlns:r="http://schemas.openxmlformats.org/officeDocument/2006/relationships" ref="F96" r:id="rId567"/>
    <hyperlink xmlns:r="http://schemas.openxmlformats.org/officeDocument/2006/relationships" ref="G96" r:id="rId568"/>
    <hyperlink xmlns:r="http://schemas.openxmlformats.org/officeDocument/2006/relationships" ref="H96" r:id="rId569"/>
    <hyperlink xmlns:r="http://schemas.openxmlformats.org/officeDocument/2006/relationships" ref="J96" r:id="rId570"/>
    <hyperlink xmlns:r="http://schemas.openxmlformats.org/officeDocument/2006/relationships" ref="N96" r:id="rId571"/>
    <hyperlink xmlns:r="http://schemas.openxmlformats.org/officeDocument/2006/relationships" ref="O96" r:id="rId572"/>
    <hyperlink xmlns:r="http://schemas.openxmlformats.org/officeDocument/2006/relationships" ref="F97" r:id="rId573"/>
    <hyperlink xmlns:r="http://schemas.openxmlformats.org/officeDocument/2006/relationships" ref="G97" r:id="rId574"/>
    <hyperlink xmlns:r="http://schemas.openxmlformats.org/officeDocument/2006/relationships" ref="H97" r:id="rId575"/>
    <hyperlink xmlns:r="http://schemas.openxmlformats.org/officeDocument/2006/relationships" ref="J97" r:id="rId576"/>
    <hyperlink xmlns:r="http://schemas.openxmlformats.org/officeDocument/2006/relationships" ref="K97" r:id="rId577"/>
    <hyperlink xmlns:r="http://schemas.openxmlformats.org/officeDocument/2006/relationships" ref="L97" r:id="rId578"/>
    <hyperlink xmlns:r="http://schemas.openxmlformats.org/officeDocument/2006/relationships" ref="N97" r:id="rId579"/>
    <hyperlink xmlns:r="http://schemas.openxmlformats.org/officeDocument/2006/relationships" ref="O97" r:id="rId580"/>
    <hyperlink xmlns:r="http://schemas.openxmlformats.org/officeDocument/2006/relationships" ref="F98" r:id="rId581"/>
    <hyperlink xmlns:r="http://schemas.openxmlformats.org/officeDocument/2006/relationships" ref="G98" r:id="rId582"/>
    <hyperlink xmlns:r="http://schemas.openxmlformats.org/officeDocument/2006/relationships" ref="H98" r:id="rId583"/>
    <hyperlink xmlns:r="http://schemas.openxmlformats.org/officeDocument/2006/relationships" ref="J98" r:id="rId584"/>
    <hyperlink xmlns:r="http://schemas.openxmlformats.org/officeDocument/2006/relationships" ref="K98" r:id="rId585"/>
    <hyperlink xmlns:r="http://schemas.openxmlformats.org/officeDocument/2006/relationships" ref="L98" r:id="rId586"/>
    <hyperlink xmlns:r="http://schemas.openxmlformats.org/officeDocument/2006/relationships" ref="F99" r:id="rId587"/>
    <hyperlink xmlns:r="http://schemas.openxmlformats.org/officeDocument/2006/relationships" ref="G99" r:id="rId588"/>
    <hyperlink xmlns:r="http://schemas.openxmlformats.org/officeDocument/2006/relationships" ref="H99" r:id="rId589"/>
    <hyperlink xmlns:r="http://schemas.openxmlformats.org/officeDocument/2006/relationships" ref="J99" r:id="rId590"/>
    <hyperlink xmlns:r="http://schemas.openxmlformats.org/officeDocument/2006/relationships" ref="L99" r:id="rId591"/>
    <hyperlink xmlns:r="http://schemas.openxmlformats.org/officeDocument/2006/relationships" ref="N99" r:id="rId592"/>
    <hyperlink xmlns:r="http://schemas.openxmlformats.org/officeDocument/2006/relationships" ref="O99" r:id="rId593"/>
    <hyperlink xmlns:r="http://schemas.openxmlformats.org/officeDocument/2006/relationships" ref="F100" r:id="rId594"/>
    <hyperlink xmlns:r="http://schemas.openxmlformats.org/officeDocument/2006/relationships" ref="J100" r:id="rId595"/>
    <hyperlink xmlns:r="http://schemas.openxmlformats.org/officeDocument/2006/relationships" ref="L100" r:id="rId596"/>
    <hyperlink xmlns:r="http://schemas.openxmlformats.org/officeDocument/2006/relationships" ref="F101" r:id="rId597"/>
    <hyperlink xmlns:r="http://schemas.openxmlformats.org/officeDocument/2006/relationships" ref="G101" r:id="rId598"/>
    <hyperlink xmlns:r="http://schemas.openxmlformats.org/officeDocument/2006/relationships" ref="H101" r:id="rId599"/>
    <hyperlink xmlns:r="http://schemas.openxmlformats.org/officeDocument/2006/relationships" ref="J101" r:id="rId600"/>
    <hyperlink xmlns:r="http://schemas.openxmlformats.org/officeDocument/2006/relationships" ref="L101" r:id="rId601"/>
    <hyperlink xmlns:r="http://schemas.openxmlformats.org/officeDocument/2006/relationships" ref="N101" r:id="rId602"/>
    <hyperlink xmlns:r="http://schemas.openxmlformats.org/officeDocument/2006/relationships" ref="O101" r:id="rId603"/>
    <hyperlink xmlns:r="http://schemas.openxmlformats.org/officeDocument/2006/relationships" ref="F102" r:id="rId604"/>
    <hyperlink xmlns:r="http://schemas.openxmlformats.org/officeDocument/2006/relationships" ref="G102" r:id="rId605"/>
    <hyperlink xmlns:r="http://schemas.openxmlformats.org/officeDocument/2006/relationships" ref="H102" r:id="rId606"/>
    <hyperlink xmlns:r="http://schemas.openxmlformats.org/officeDocument/2006/relationships" ref="J102" r:id="rId607"/>
    <hyperlink xmlns:r="http://schemas.openxmlformats.org/officeDocument/2006/relationships" ref="L102" r:id="rId608"/>
    <hyperlink xmlns:r="http://schemas.openxmlformats.org/officeDocument/2006/relationships" ref="F103" r:id="rId609"/>
    <hyperlink xmlns:r="http://schemas.openxmlformats.org/officeDocument/2006/relationships" ref="G103" r:id="rId610"/>
    <hyperlink xmlns:r="http://schemas.openxmlformats.org/officeDocument/2006/relationships" ref="H103" r:id="rId611"/>
    <hyperlink xmlns:r="http://schemas.openxmlformats.org/officeDocument/2006/relationships" ref="J103" r:id="rId612"/>
    <hyperlink xmlns:r="http://schemas.openxmlformats.org/officeDocument/2006/relationships" ref="L103" r:id="rId613"/>
    <hyperlink xmlns:r="http://schemas.openxmlformats.org/officeDocument/2006/relationships" ref="N103" r:id="rId614"/>
    <hyperlink xmlns:r="http://schemas.openxmlformats.org/officeDocument/2006/relationships" ref="O103" r:id="rId615"/>
    <hyperlink xmlns:r="http://schemas.openxmlformats.org/officeDocument/2006/relationships" ref="F104" r:id="rId616"/>
    <hyperlink xmlns:r="http://schemas.openxmlformats.org/officeDocument/2006/relationships" ref="G104" r:id="rId617"/>
    <hyperlink xmlns:r="http://schemas.openxmlformats.org/officeDocument/2006/relationships" ref="H104" r:id="rId618"/>
    <hyperlink xmlns:r="http://schemas.openxmlformats.org/officeDocument/2006/relationships" ref="J104" r:id="rId619"/>
    <hyperlink xmlns:r="http://schemas.openxmlformats.org/officeDocument/2006/relationships" ref="K104" r:id="rId620"/>
    <hyperlink xmlns:r="http://schemas.openxmlformats.org/officeDocument/2006/relationships" ref="L104" r:id="rId621"/>
    <hyperlink xmlns:r="http://schemas.openxmlformats.org/officeDocument/2006/relationships" ref="N104" r:id="rId622"/>
    <hyperlink xmlns:r="http://schemas.openxmlformats.org/officeDocument/2006/relationships" ref="O104" r:id="rId623"/>
    <hyperlink xmlns:r="http://schemas.openxmlformats.org/officeDocument/2006/relationships" ref="F105" r:id="rId624"/>
    <hyperlink xmlns:r="http://schemas.openxmlformats.org/officeDocument/2006/relationships" ref="G105" r:id="rId625"/>
    <hyperlink xmlns:r="http://schemas.openxmlformats.org/officeDocument/2006/relationships" ref="H105" r:id="rId626"/>
    <hyperlink xmlns:r="http://schemas.openxmlformats.org/officeDocument/2006/relationships" ref="J105" r:id="rId627"/>
    <hyperlink xmlns:r="http://schemas.openxmlformats.org/officeDocument/2006/relationships" ref="L105" r:id="rId628"/>
    <hyperlink xmlns:r="http://schemas.openxmlformats.org/officeDocument/2006/relationships" ref="N105" r:id="rId629"/>
    <hyperlink xmlns:r="http://schemas.openxmlformats.org/officeDocument/2006/relationships" ref="O105" r:id="rId630"/>
    <hyperlink xmlns:r="http://schemas.openxmlformats.org/officeDocument/2006/relationships" ref="F106" r:id="rId631"/>
    <hyperlink xmlns:r="http://schemas.openxmlformats.org/officeDocument/2006/relationships" ref="G106" r:id="rId632"/>
    <hyperlink xmlns:r="http://schemas.openxmlformats.org/officeDocument/2006/relationships" ref="H106" r:id="rId633"/>
    <hyperlink xmlns:r="http://schemas.openxmlformats.org/officeDocument/2006/relationships" ref="J106" r:id="rId634"/>
    <hyperlink xmlns:r="http://schemas.openxmlformats.org/officeDocument/2006/relationships" ref="K106" r:id="rId635"/>
    <hyperlink xmlns:r="http://schemas.openxmlformats.org/officeDocument/2006/relationships" ref="L106" r:id="rId636"/>
    <hyperlink xmlns:r="http://schemas.openxmlformats.org/officeDocument/2006/relationships" ref="N106" r:id="rId637"/>
    <hyperlink xmlns:r="http://schemas.openxmlformats.org/officeDocument/2006/relationships" ref="O106" r:id="rId638"/>
    <hyperlink xmlns:r="http://schemas.openxmlformats.org/officeDocument/2006/relationships" ref="F107" r:id="rId639"/>
    <hyperlink xmlns:r="http://schemas.openxmlformats.org/officeDocument/2006/relationships" ref="G107" r:id="rId640"/>
    <hyperlink xmlns:r="http://schemas.openxmlformats.org/officeDocument/2006/relationships" ref="H107" r:id="rId641"/>
    <hyperlink xmlns:r="http://schemas.openxmlformats.org/officeDocument/2006/relationships" ref="J107" r:id="rId642"/>
    <hyperlink xmlns:r="http://schemas.openxmlformats.org/officeDocument/2006/relationships" ref="K107" r:id="rId643"/>
    <hyperlink xmlns:r="http://schemas.openxmlformats.org/officeDocument/2006/relationships" ref="L107" r:id="rId644"/>
    <hyperlink xmlns:r="http://schemas.openxmlformats.org/officeDocument/2006/relationships" ref="N107" r:id="rId645"/>
    <hyperlink xmlns:r="http://schemas.openxmlformats.org/officeDocument/2006/relationships" ref="O107" r:id="rId646"/>
    <hyperlink xmlns:r="http://schemas.openxmlformats.org/officeDocument/2006/relationships" ref="F108" r:id="rId647"/>
    <hyperlink xmlns:r="http://schemas.openxmlformats.org/officeDocument/2006/relationships" ref="G108" r:id="rId648"/>
    <hyperlink xmlns:r="http://schemas.openxmlformats.org/officeDocument/2006/relationships" ref="H108" r:id="rId649"/>
    <hyperlink xmlns:r="http://schemas.openxmlformats.org/officeDocument/2006/relationships" ref="J108" r:id="rId650"/>
    <hyperlink xmlns:r="http://schemas.openxmlformats.org/officeDocument/2006/relationships" ref="K108" r:id="rId651"/>
    <hyperlink xmlns:r="http://schemas.openxmlformats.org/officeDocument/2006/relationships" ref="L108" r:id="rId652"/>
    <hyperlink xmlns:r="http://schemas.openxmlformats.org/officeDocument/2006/relationships" ref="N108" r:id="rId653"/>
    <hyperlink xmlns:r="http://schemas.openxmlformats.org/officeDocument/2006/relationships" ref="O108" r:id="rId654"/>
    <hyperlink xmlns:r="http://schemas.openxmlformats.org/officeDocument/2006/relationships" ref="F109" r:id="rId655"/>
    <hyperlink xmlns:r="http://schemas.openxmlformats.org/officeDocument/2006/relationships" ref="G109" r:id="rId656"/>
    <hyperlink xmlns:r="http://schemas.openxmlformats.org/officeDocument/2006/relationships" ref="H109" r:id="rId657"/>
    <hyperlink xmlns:r="http://schemas.openxmlformats.org/officeDocument/2006/relationships" ref="J109" r:id="rId658"/>
    <hyperlink xmlns:r="http://schemas.openxmlformats.org/officeDocument/2006/relationships" ref="K109" r:id="rId659"/>
    <hyperlink xmlns:r="http://schemas.openxmlformats.org/officeDocument/2006/relationships" ref="L109" r:id="rId660"/>
    <hyperlink xmlns:r="http://schemas.openxmlformats.org/officeDocument/2006/relationships" ref="N109" r:id="rId661"/>
    <hyperlink xmlns:r="http://schemas.openxmlformats.org/officeDocument/2006/relationships" ref="O109" r:id="rId662"/>
    <hyperlink xmlns:r="http://schemas.openxmlformats.org/officeDocument/2006/relationships" ref="F110" r:id="rId663"/>
    <hyperlink xmlns:r="http://schemas.openxmlformats.org/officeDocument/2006/relationships" ref="G110" r:id="rId664"/>
    <hyperlink xmlns:r="http://schemas.openxmlformats.org/officeDocument/2006/relationships" ref="H110" r:id="rId665"/>
    <hyperlink xmlns:r="http://schemas.openxmlformats.org/officeDocument/2006/relationships" ref="J110" r:id="rId666"/>
    <hyperlink xmlns:r="http://schemas.openxmlformats.org/officeDocument/2006/relationships" ref="K110" r:id="rId667"/>
    <hyperlink xmlns:r="http://schemas.openxmlformats.org/officeDocument/2006/relationships" ref="L110" r:id="rId668"/>
    <hyperlink xmlns:r="http://schemas.openxmlformats.org/officeDocument/2006/relationships" ref="N110" r:id="rId669"/>
    <hyperlink xmlns:r="http://schemas.openxmlformats.org/officeDocument/2006/relationships" ref="O110" r:id="rId670"/>
    <hyperlink xmlns:r="http://schemas.openxmlformats.org/officeDocument/2006/relationships" ref="F111" r:id="rId671"/>
    <hyperlink xmlns:r="http://schemas.openxmlformats.org/officeDocument/2006/relationships" ref="G111" r:id="rId672"/>
    <hyperlink xmlns:r="http://schemas.openxmlformats.org/officeDocument/2006/relationships" ref="H111" r:id="rId673"/>
    <hyperlink xmlns:r="http://schemas.openxmlformats.org/officeDocument/2006/relationships" ref="J111" r:id="rId674"/>
    <hyperlink xmlns:r="http://schemas.openxmlformats.org/officeDocument/2006/relationships" ref="K111" r:id="rId675"/>
    <hyperlink xmlns:r="http://schemas.openxmlformats.org/officeDocument/2006/relationships" ref="L111" r:id="rId676"/>
    <hyperlink xmlns:r="http://schemas.openxmlformats.org/officeDocument/2006/relationships" ref="N111" r:id="rId677"/>
    <hyperlink xmlns:r="http://schemas.openxmlformats.org/officeDocument/2006/relationships" ref="O111" r:id="rId678"/>
    <hyperlink xmlns:r="http://schemas.openxmlformats.org/officeDocument/2006/relationships" ref="F112" r:id="rId679"/>
    <hyperlink xmlns:r="http://schemas.openxmlformats.org/officeDocument/2006/relationships" ref="G112" r:id="rId680"/>
    <hyperlink xmlns:r="http://schemas.openxmlformats.org/officeDocument/2006/relationships" ref="H112" r:id="rId681"/>
    <hyperlink xmlns:r="http://schemas.openxmlformats.org/officeDocument/2006/relationships" ref="J112" r:id="rId682"/>
    <hyperlink xmlns:r="http://schemas.openxmlformats.org/officeDocument/2006/relationships" ref="K112" r:id="rId683"/>
    <hyperlink xmlns:r="http://schemas.openxmlformats.org/officeDocument/2006/relationships" ref="L112" r:id="rId684"/>
    <hyperlink xmlns:r="http://schemas.openxmlformats.org/officeDocument/2006/relationships" ref="N112" r:id="rId685"/>
    <hyperlink xmlns:r="http://schemas.openxmlformats.org/officeDocument/2006/relationships" ref="O112" r:id="rId686"/>
    <hyperlink xmlns:r="http://schemas.openxmlformats.org/officeDocument/2006/relationships" ref="F113" r:id="rId687"/>
    <hyperlink xmlns:r="http://schemas.openxmlformats.org/officeDocument/2006/relationships" ref="G113" r:id="rId688"/>
    <hyperlink xmlns:r="http://schemas.openxmlformats.org/officeDocument/2006/relationships" ref="H113" r:id="rId689"/>
    <hyperlink xmlns:r="http://schemas.openxmlformats.org/officeDocument/2006/relationships" ref="J113" r:id="rId690"/>
    <hyperlink xmlns:r="http://schemas.openxmlformats.org/officeDocument/2006/relationships" ref="K113" r:id="rId691"/>
    <hyperlink xmlns:r="http://schemas.openxmlformats.org/officeDocument/2006/relationships" ref="L113" r:id="rId692"/>
    <hyperlink xmlns:r="http://schemas.openxmlformats.org/officeDocument/2006/relationships" ref="N113" r:id="rId693"/>
    <hyperlink xmlns:r="http://schemas.openxmlformats.org/officeDocument/2006/relationships" ref="O113" r:id="rId694"/>
    <hyperlink xmlns:r="http://schemas.openxmlformats.org/officeDocument/2006/relationships" ref="F116" r:id="rId695"/>
    <hyperlink xmlns:r="http://schemas.openxmlformats.org/officeDocument/2006/relationships" ref="J116" r:id="rId696"/>
    <hyperlink xmlns:r="http://schemas.openxmlformats.org/officeDocument/2006/relationships" ref="K116" r:id="rId697"/>
    <hyperlink xmlns:r="http://schemas.openxmlformats.org/officeDocument/2006/relationships" ref="L116" r:id="rId698"/>
    <hyperlink xmlns:r="http://schemas.openxmlformats.org/officeDocument/2006/relationships" ref="F117" r:id="rId699"/>
    <hyperlink xmlns:r="http://schemas.openxmlformats.org/officeDocument/2006/relationships" ref="G117" r:id="rId700"/>
    <hyperlink xmlns:r="http://schemas.openxmlformats.org/officeDocument/2006/relationships" ref="H117" r:id="rId701"/>
    <hyperlink xmlns:r="http://schemas.openxmlformats.org/officeDocument/2006/relationships" ref="J117" r:id="rId702"/>
    <hyperlink xmlns:r="http://schemas.openxmlformats.org/officeDocument/2006/relationships" ref="K117" r:id="rId703"/>
    <hyperlink xmlns:r="http://schemas.openxmlformats.org/officeDocument/2006/relationships" ref="L117" r:id="rId704"/>
    <hyperlink xmlns:r="http://schemas.openxmlformats.org/officeDocument/2006/relationships" ref="N117" r:id="rId705"/>
    <hyperlink xmlns:r="http://schemas.openxmlformats.org/officeDocument/2006/relationships" ref="O117" r:id="rId706"/>
    <hyperlink xmlns:r="http://schemas.openxmlformats.org/officeDocument/2006/relationships" ref="F118" r:id="rId707"/>
    <hyperlink xmlns:r="http://schemas.openxmlformats.org/officeDocument/2006/relationships" ref="G118" r:id="rId708"/>
    <hyperlink xmlns:r="http://schemas.openxmlformats.org/officeDocument/2006/relationships" ref="H118" r:id="rId709"/>
    <hyperlink xmlns:r="http://schemas.openxmlformats.org/officeDocument/2006/relationships" ref="J118" r:id="rId710"/>
    <hyperlink xmlns:r="http://schemas.openxmlformats.org/officeDocument/2006/relationships" ref="L118" r:id="rId711"/>
    <hyperlink xmlns:r="http://schemas.openxmlformats.org/officeDocument/2006/relationships" ref="N118" r:id="rId712"/>
    <hyperlink xmlns:r="http://schemas.openxmlformats.org/officeDocument/2006/relationships" ref="O118" r:id="rId713"/>
    <hyperlink xmlns:r="http://schemas.openxmlformats.org/officeDocument/2006/relationships" ref="F119" r:id="rId714"/>
    <hyperlink xmlns:r="http://schemas.openxmlformats.org/officeDocument/2006/relationships" ref="G119" r:id="rId715"/>
    <hyperlink xmlns:r="http://schemas.openxmlformats.org/officeDocument/2006/relationships" ref="H119" r:id="rId716"/>
    <hyperlink xmlns:r="http://schemas.openxmlformats.org/officeDocument/2006/relationships" ref="J119" r:id="rId717"/>
    <hyperlink xmlns:r="http://schemas.openxmlformats.org/officeDocument/2006/relationships" ref="K119" r:id="rId718"/>
    <hyperlink xmlns:r="http://schemas.openxmlformats.org/officeDocument/2006/relationships" ref="L119" r:id="rId719"/>
    <hyperlink xmlns:r="http://schemas.openxmlformats.org/officeDocument/2006/relationships" ref="N119" r:id="rId720"/>
    <hyperlink xmlns:r="http://schemas.openxmlformats.org/officeDocument/2006/relationships" ref="O119" r:id="rId721"/>
    <hyperlink xmlns:r="http://schemas.openxmlformats.org/officeDocument/2006/relationships" ref="F120" r:id="rId722"/>
    <hyperlink xmlns:r="http://schemas.openxmlformats.org/officeDocument/2006/relationships" ref="G120" r:id="rId723"/>
    <hyperlink xmlns:r="http://schemas.openxmlformats.org/officeDocument/2006/relationships" ref="H120" r:id="rId724"/>
    <hyperlink xmlns:r="http://schemas.openxmlformats.org/officeDocument/2006/relationships" ref="J120" r:id="rId725"/>
    <hyperlink xmlns:r="http://schemas.openxmlformats.org/officeDocument/2006/relationships" ref="K120" r:id="rId726"/>
    <hyperlink xmlns:r="http://schemas.openxmlformats.org/officeDocument/2006/relationships" ref="L120" r:id="rId727"/>
    <hyperlink xmlns:r="http://schemas.openxmlformats.org/officeDocument/2006/relationships" ref="N120" r:id="rId728"/>
    <hyperlink xmlns:r="http://schemas.openxmlformats.org/officeDocument/2006/relationships" ref="O120" r:id="rId729"/>
    <hyperlink xmlns:r="http://schemas.openxmlformats.org/officeDocument/2006/relationships" ref="F121" r:id="rId730"/>
    <hyperlink xmlns:r="http://schemas.openxmlformats.org/officeDocument/2006/relationships" ref="G121" r:id="rId731"/>
    <hyperlink xmlns:r="http://schemas.openxmlformats.org/officeDocument/2006/relationships" ref="H121" r:id="rId732"/>
    <hyperlink xmlns:r="http://schemas.openxmlformats.org/officeDocument/2006/relationships" ref="J121" r:id="rId733"/>
    <hyperlink xmlns:r="http://schemas.openxmlformats.org/officeDocument/2006/relationships" ref="K121" r:id="rId734"/>
    <hyperlink xmlns:r="http://schemas.openxmlformats.org/officeDocument/2006/relationships" ref="L121" r:id="rId735"/>
    <hyperlink xmlns:r="http://schemas.openxmlformats.org/officeDocument/2006/relationships" ref="N121" r:id="rId736"/>
    <hyperlink xmlns:r="http://schemas.openxmlformats.org/officeDocument/2006/relationships" ref="O121" r:id="rId737"/>
    <hyperlink xmlns:r="http://schemas.openxmlformats.org/officeDocument/2006/relationships" ref="F122" r:id="rId738"/>
    <hyperlink xmlns:r="http://schemas.openxmlformats.org/officeDocument/2006/relationships" ref="G122" r:id="rId739"/>
    <hyperlink xmlns:r="http://schemas.openxmlformats.org/officeDocument/2006/relationships" ref="H122" r:id="rId740"/>
    <hyperlink xmlns:r="http://schemas.openxmlformats.org/officeDocument/2006/relationships" ref="J122" r:id="rId741"/>
    <hyperlink xmlns:r="http://schemas.openxmlformats.org/officeDocument/2006/relationships" ref="K122" r:id="rId742"/>
    <hyperlink xmlns:r="http://schemas.openxmlformats.org/officeDocument/2006/relationships" ref="L122" r:id="rId743"/>
    <hyperlink xmlns:r="http://schemas.openxmlformats.org/officeDocument/2006/relationships" ref="N122" r:id="rId744"/>
    <hyperlink xmlns:r="http://schemas.openxmlformats.org/officeDocument/2006/relationships" ref="O122" r:id="rId745"/>
    <hyperlink xmlns:r="http://schemas.openxmlformats.org/officeDocument/2006/relationships" ref="F123" r:id="rId746"/>
    <hyperlink xmlns:r="http://schemas.openxmlformats.org/officeDocument/2006/relationships" ref="G123" r:id="rId747"/>
    <hyperlink xmlns:r="http://schemas.openxmlformats.org/officeDocument/2006/relationships" ref="H123" r:id="rId748"/>
    <hyperlink xmlns:r="http://schemas.openxmlformats.org/officeDocument/2006/relationships" ref="J123" r:id="rId749"/>
    <hyperlink xmlns:r="http://schemas.openxmlformats.org/officeDocument/2006/relationships" ref="K123" r:id="rId750"/>
    <hyperlink xmlns:r="http://schemas.openxmlformats.org/officeDocument/2006/relationships" ref="L123" r:id="rId751"/>
    <hyperlink xmlns:r="http://schemas.openxmlformats.org/officeDocument/2006/relationships" ref="N123" r:id="rId752"/>
    <hyperlink xmlns:r="http://schemas.openxmlformats.org/officeDocument/2006/relationships" ref="O123" r:id="rId753"/>
    <hyperlink xmlns:r="http://schemas.openxmlformats.org/officeDocument/2006/relationships" ref="F126" r:id="rId754"/>
    <hyperlink xmlns:r="http://schemas.openxmlformats.org/officeDocument/2006/relationships" ref="G126" r:id="rId755"/>
    <hyperlink xmlns:r="http://schemas.openxmlformats.org/officeDocument/2006/relationships" ref="H126" r:id="rId756"/>
    <hyperlink xmlns:r="http://schemas.openxmlformats.org/officeDocument/2006/relationships" ref="J126" r:id="rId757"/>
    <hyperlink xmlns:r="http://schemas.openxmlformats.org/officeDocument/2006/relationships" ref="K126" r:id="rId758"/>
    <hyperlink xmlns:r="http://schemas.openxmlformats.org/officeDocument/2006/relationships" ref="L126" r:id="rId759"/>
    <hyperlink xmlns:r="http://schemas.openxmlformats.org/officeDocument/2006/relationships" ref="N126" r:id="rId760"/>
    <hyperlink xmlns:r="http://schemas.openxmlformats.org/officeDocument/2006/relationships" ref="O126" r:id="rId761"/>
    <hyperlink xmlns:r="http://schemas.openxmlformats.org/officeDocument/2006/relationships" ref="F127" r:id="rId762"/>
    <hyperlink xmlns:r="http://schemas.openxmlformats.org/officeDocument/2006/relationships" ref="G127" r:id="rId763"/>
    <hyperlink xmlns:r="http://schemas.openxmlformats.org/officeDocument/2006/relationships" ref="H127" r:id="rId764"/>
    <hyperlink xmlns:r="http://schemas.openxmlformats.org/officeDocument/2006/relationships" ref="J127" r:id="rId765"/>
    <hyperlink xmlns:r="http://schemas.openxmlformats.org/officeDocument/2006/relationships" ref="K127" r:id="rId766"/>
    <hyperlink xmlns:r="http://schemas.openxmlformats.org/officeDocument/2006/relationships" ref="L127" r:id="rId767"/>
    <hyperlink xmlns:r="http://schemas.openxmlformats.org/officeDocument/2006/relationships" ref="N127" r:id="rId768"/>
    <hyperlink xmlns:r="http://schemas.openxmlformats.org/officeDocument/2006/relationships" ref="O127" r:id="rId769"/>
    <hyperlink xmlns:r="http://schemas.openxmlformats.org/officeDocument/2006/relationships" ref="F128" r:id="rId770"/>
    <hyperlink xmlns:r="http://schemas.openxmlformats.org/officeDocument/2006/relationships" ref="G128" r:id="rId771"/>
    <hyperlink xmlns:r="http://schemas.openxmlformats.org/officeDocument/2006/relationships" ref="H128" r:id="rId772"/>
    <hyperlink xmlns:r="http://schemas.openxmlformats.org/officeDocument/2006/relationships" ref="J128" r:id="rId773"/>
    <hyperlink xmlns:r="http://schemas.openxmlformats.org/officeDocument/2006/relationships" ref="K128" r:id="rId774"/>
    <hyperlink xmlns:r="http://schemas.openxmlformats.org/officeDocument/2006/relationships" ref="L128" r:id="rId775"/>
    <hyperlink xmlns:r="http://schemas.openxmlformats.org/officeDocument/2006/relationships" ref="N128" r:id="rId776"/>
    <hyperlink xmlns:r="http://schemas.openxmlformats.org/officeDocument/2006/relationships" ref="O128" r:id="rId777"/>
    <hyperlink xmlns:r="http://schemas.openxmlformats.org/officeDocument/2006/relationships" ref="F129" r:id="rId778"/>
    <hyperlink xmlns:r="http://schemas.openxmlformats.org/officeDocument/2006/relationships" ref="F130" r:id="rId779"/>
    <hyperlink xmlns:r="http://schemas.openxmlformats.org/officeDocument/2006/relationships" ref="G130" r:id="rId780"/>
    <hyperlink xmlns:r="http://schemas.openxmlformats.org/officeDocument/2006/relationships" ref="H130" r:id="rId781"/>
    <hyperlink xmlns:r="http://schemas.openxmlformats.org/officeDocument/2006/relationships" ref="J130" r:id="rId782"/>
    <hyperlink xmlns:r="http://schemas.openxmlformats.org/officeDocument/2006/relationships" ref="K130" r:id="rId783"/>
    <hyperlink xmlns:r="http://schemas.openxmlformats.org/officeDocument/2006/relationships" ref="L130" r:id="rId784"/>
    <hyperlink xmlns:r="http://schemas.openxmlformats.org/officeDocument/2006/relationships" ref="N130" r:id="rId785"/>
    <hyperlink xmlns:r="http://schemas.openxmlformats.org/officeDocument/2006/relationships" ref="O130" r:id="rId786"/>
    <hyperlink xmlns:r="http://schemas.openxmlformats.org/officeDocument/2006/relationships" ref="F131" r:id="rId787"/>
    <hyperlink xmlns:r="http://schemas.openxmlformats.org/officeDocument/2006/relationships" ref="G131" r:id="rId788"/>
    <hyperlink xmlns:r="http://schemas.openxmlformats.org/officeDocument/2006/relationships" ref="H131" r:id="rId789"/>
    <hyperlink xmlns:r="http://schemas.openxmlformats.org/officeDocument/2006/relationships" ref="J131" r:id="rId790"/>
    <hyperlink xmlns:r="http://schemas.openxmlformats.org/officeDocument/2006/relationships" ref="K131" r:id="rId791"/>
    <hyperlink xmlns:r="http://schemas.openxmlformats.org/officeDocument/2006/relationships" ref="L131" r:id="rId792"/>
    <hyperlink xmlns:r="http://schemas.openxmlformats.org/officeDocument/2006/relationships" ref="N131" r:id="rId793"/>
    <hyperlink xmlns:r="http://schemas.openxmlformats.org/officeDocument/2006/relationships" ref="O131" r:id="rId794"/>
    <hyperlink xmlns:r="http://schemas.openxmlformats.org/officeDocument/2006/relationships" ref="F132" r:id="rId795"/>
    <hyperlink xmlns:r="http://schemas.openxmlformats.org/officeDocument/2006/relationships" ref="G132" r:id="rId796"/>
    <hyperlink xmlns:r="http://schemas.openxmlformats.org/officeDocument/2006/relationships" ref="H132" r:id="rId797"/>
    <hyperlink xmlns:r="http://schemas.openxmlformats.org/officeDocument/2006/relationships" ref="J132" r:id="rId798"/>
    <hyperlink xmlns:r="http://schemas.openxmlformats.org/officeDocument/2006/relationships" ref="K132" r:id="rId799"/>
    <hyperlink xmlns:r="http://schemas.openxmlformats.org/officeDocument/2006/relationships" ref="L132" r:id="rId800"/>
    <hyperlink xmlns:r="http://schemas.openxmlformats.org/officeDocument/2006/relationships" ref="N132" r:id="rId801"/>
    <hyperlink xmlns:r="http://schemas.openxmlformats.org/officeDocument/2006/relationships" ref="O132" r:id="rId802"/>
    <hyperlink xmlns:r="http://schemas.openxmlformats.org/officeDocument/2006/relationships" ref="F133" r:id="rId803"/>
    <hyperlink xmlns:r="http://schemas.openxmlformats.org/officeDocument/2006/relationships" ref="G133" r:id="rId804"/>
    <hyperlink xmlns:r="http://schemas.openxmlformats.org/officeDocument/2006/relationships" ref="H133" r:id="rId805"/>
    <hyperlink xmlns:r="http://schemas.openxmlformats.org/officeDocument/2006/relationships" ref="J133" r:id="rId806"/>
    <hyperlink xmlns:r="http://schemas.openxmlformats.org/officeDocument/2006/relationships" ref="K133" r:id="rId807"/>
    <hyperlink xmlns:r="http://schemas.openxmlformats.org/officeDocument/2006/relationships" ref="L133" r:id="rId808"/>
    <hyperlink xmlns:r="http://schemas.openxmlformats.org/officeDocument/2006/relationships" ref="N133" r:id="rId809"/>
    <hyperlink xmlns:r="http://schemas.openxmlformats.org/officeDocument/2006/relationships" ref="O133" r:id="rId810"/>
    <hyperlink xmlns:r="http://schemas.openxmlformats.org/officeDocument/2006/relationships" ref="F134" r:id="rId811"/>
    <hyperlink xmlns:r="http://schemas.openxmlformats.org/officeDocument/2006/relationships" ref="G134" r:id="rId812"/>
    <hyperlink xmlns:r="http://schemas.openxmlformats.org/officeDocument/2006/relationships" ref="H134" r:id="rId813"/>
    <hyperlink xmlns:r="http://schemas.openxmlformats.org/officeDocument/2006/relationships" ref="J134" r:id="rId814"/>
    <hyperlink xmlns:r="http://schemas.openxmlformats.org/officeDocument/2006/relationships" ref="K134" r:id="rId815"/>
    <hyperlink xmlns:r="http://schemas.openxmlformats.org/officeDocument/2006/relationships" ref="L134" r:id="rId816"/>
    <hyperlink xmlns:r="http://schemas.openxmlformats.org/officeDocument/2006/relationships" ref="N134" r:id="rId817"/>
    <hyperlink xmlns:r="http://schemas.openxmlformats.org/officeDocument/2006/relationships" ref="O134" r:id="rId818"/>
    <hyperlink xmlns:r="http://schemas.openxmlformats.org/officeDocument/2006/relationships" ref="F135" r:id="rId819"/>
    <hyperlink xmlns:r="http://schemas.openxmlformats.org/officeDocument/2006/relationships" ref="G135" r:id="rId820"/>
    <hyperlink xmlns:r="http://schemas.openxmlformats.org/officeDocument/2006/relationships" ref="H135" r:id="rId821"/>
    <hyperlink xmlns:r="http://schemas.openxmlformats.org/officeDocument/2006/relationships" ref="J135" r:id="rId822"/>
    <hyperlink xmlns:r="http://schemas.openxmlformats.org/officeDocument/2006/relationships" ref="K135" r:id="rId823"/>
    <hyperlink xmlns:r="http://schemas.openxmlformats.org/officeDocument/2006/relationships" ref="L135" r:id="rId824"/>
    <hyperlink xmlns:r="http://schemas.openxmlformats.org/officeDocument/2006/relationships" ref="N135" r:id="rId825"/>
    <hyperlink xmlns:r="http://schemas.openxmlformats.org/officeDocument/2006/relationships" ref="O135" r:id="rId826"/>
    <hyperlink xmlns:r="http://schemas.openxmlformats.org/officeDocument/2006/relationships" ref="F136" r:id="rId827"/>
    <hyperlink xmlns:r="http://schemas.openxmlformats.org/officeDocument/2006/relationships" ref="G136" r:id="rId828"/>
    <hyperlink xmlns:r="http://schemas.openxmlformats.org/officeDocument/2006/relationships" ref="H136" r:id="rId829"/>
    <hyperlink xmlns:r="http://schemas.openxmlformats.org/officeDocument/2006/relationships" ref="J136" r:id="rId830"/>
    <hyperlink xmlns:r="http://schemas.openxmlformats.org/officeDocument/2006/relationships" ref="K136" r:id="rId831"/>
    <hyperlink xmlns:r="http://schemas.openxmlformats.org/officeDocument/2006/relationships" ref="L136" r:id="rId832"/>
    <hyperlink xmlns:r="http://schemas.openxmlformats.org/officeDocument/2006/relationships" ref="N136" r:id="rId833"/>
    <hyperlink xmlns:r="http://schemas.openxmlformats.org/officeDocument/2006/relationships" ref="O136" r:id="rId834"/>
    <hyperlink xmlns:r="http://schemas.openxmlformats.org/officeDocument/2006/relationships" ref="F137" r:id="rId835"/>
    <hyperlink xmlns:r="http://schemas.openxmlformats.org/officeDocument/2006/relationships" ref="G137" r:id="rId836"/>
    <hyperlink xmlns:r="http://schemas.openxmlformats.org/officeDocument/2006/relationships" ref="H137" r:id="rId837"/>
    <hyperlink xmlns:r="http://schemas.openxmlformats.org/officeDocument/2006/relationships" ref="J137" r:id="rId838"/>
    <hyperlink xmlns:r="http://schemas.openxmlformats.org/officeDocument/2006/relationships" ref="K137" r:id="rId839"/>
    <hyperlink xmlns:r="http://schemas.openxmlformats.org/officeDocument/2006/relationships" ref="L137" r:id="rId840"/>
    <hyperlink xmlns:r="http://schemas.openxmlformats.org/officeDocument/2006/relationships" ref="N137" r:id="rId841"/>
    <hyperlink xmlns:r="http://schemas.openxmlformats.org/officeDocument/2006/relationships" ref="O137" r:id="rId842"/>
    <hyperlink xmlns:r="http://schemas.openxmlformats.org/officeDocument/2006/relationships" ref="F138" r:id="rId843"/>
    <hyperlink xmlns:r="http://schemas.openxmlformats.org/officeDocument/2006/relationships" ref="G138" r:id="rId844"/>
    <hyperlink xmlns:r="http://schemas.openxmlformats.org/officeDocument/2006/relationships" ref="H138" r:id="rId845"/>
    <hyperlink xmlns:r="http://schemas.openxmlformats.org/officeDocument/2006/relationships" ref="J138" r:id="rId846"/>
    <hyperlink xmlns:r="http://schemas.openxmlformats.org/officeDocument/2006/relationships" ref="K138" r:id="rId847"/>
    <hyperlink xmlns:r="http://schemas.openxmlformats.org/officeDocument/2006/relationships" ref="L138" r:id="rId848"/>
    <hyperlink xmlns:r="http://schemas.openxmlformats.org/officeDocument/2006/relationships" ref="N138" r:id="rId849"/>
    <hyperlink xmlns:r="http://schemas.openxmlformats.org/officeDocument/2006/relationships" ref="O138" r:id="rId850"/>
    <hyperlink xmlns:r="http://schemas.openxmlformats.org/officeDocument/2006/relationships" ref="F139" r:id="rId851"/>
    <hyperlink xmlns:r="http://schemas.openxmlformats.org/officeDocument/2006/relationships" ref="G139" r:id="rId852"/>
    <hyperlink xmlns:r="http://schemas.openxmlformats.org/officeDocument/2006/relationships" ref="H139" r:id="rId853"/>
    <hyperlink xmlns:r="http://schemas.openxmlformats.org/officeDocument/2006/relationships" ref="J139" r:id="rId854"/>
    <hyperlink xmlns:r="http://schemas.openxmlformats.org/officeDocument/2006/relationships" ref="K139" r:id="rId855"/>
    <hyperlink xmlns:r="http://schemas.openxmlformats.org/officeDocument/2006/relationships" ref="L139" r:id="rId856"/>
    <hyperlink xmlns:r="http://schemas.openxmlformats.org/officeDocument/2006/relationships" ref="N139" r:id="rId857"/>
    <hyperlink xmlns:r="http://schemas.openxmlformats.org/officeDocument/2006/relationships" ref="O139" r:id="rId858"/>
    <hyperlink xmlns:r="http://schemas.openxmlformats.org/officeDocument/2006/relationships" ref="F140" r:id="rId859"/>
    <hyperlink xmlns:r="http://schemas.openxmlformats.org/officeDocument/2006/relationships" ref="G140" r:id="rId860"/>
    <hyperlink xmlns:r="http://schemas.openxmlformats.org/officeDocument/2006/relationships" ref="H140" r:id="rId861"/>
    <hyperlink xmlns:r="http://schemas.openxmlformats.org/officeDocument/2006/relationships" ref="J140" r:id="rId862"/>
    <hyperlink xmlns:r="http://schemas.openxmlformats.org/officeDocument/2006/relationships" ref="K140" r:id="rId863"/>
    <hyperlink xmlns:r="http://schemas.openxmlformats.org/officeDocument/2006/relationships" ref="L140" r:id="rId864"/>
    <hyperlink xmlns:r="http://schemas.openxmlformats.org/officeDocument/2006/relationships" ref="N140" r:id="rId865"/>
    <hyperlink xmlns:r="http://schemas.openxmlformats.org/officeDocument/2006/relationships" ref="O140" r:id="rId866"/>
    <hyperlink xmlns:r="http://schemas.openxmlformats.org/officeDocument/2006/relationships" ref="F141" r:id="rId867"/>
    <hyperlink xmlns:r="http://schemas.openxmlformats.org/officeDocument/2006/relationships" ref="G141" r:id="rId868"/>
    <hyperlink xmlns:r="http://schemas.openxmlformats.org/officeDocument/2006/relationships" ref="H141" r:id="rId869"/>
    <hyperlink xmlns:r="http://schemas.openxmlformats.org/officeDocument/2006/relationships" ref="J141" r:id="rId870"/>
    <hyperlink xmlns:r="http://schemas.openxmlformats.org/officeDocument/2006/relationships" ref="K141" r:id="rId871"/>
    <hyperlink xmlns:r="http://schemas.openxmlformats.org/officeDocument/2006/relationships" ref="L141" r:id="rId872"/>
    <hyperlink xmlns:r="http://schemas.openxmlformats.org/officeDocument/2006/relationships" ref="N141" r:id="rId873"/>
    <hyperlink xmlns:r="http://schemas.openxmlformats.org/officeDocument/2006/relationships" ref="O141" r:id="rId874"/>
    <hyperlink xmlns:r="http://schemas.openxmlformats.org/officeDocument/2006/relationships" ref="F142" r:id="rId875"/>
    <hyperlink xmlns:r="http://schemas.openxmlformats.org/officeDocument/2006/relationships" ref="G142" r:id="rId876"/>
    <hyperlink xmlns:r="http://schemas.openxmlformats.org/officeDocument/2006/relationships" ref="H142" r:id="rId877"/>
    <hyperlink xmlns:r="http://schemas.openxmlformats.org/officeDocument/2006/relationships" ref="J142" r:id="rId878"/>
    <hyperlink xmlns:r="http://schemas.openxmlformats.org/officeDocument/2006/relationships" ref="L142" r:id="rId879"/>
    <hyperlink xmlns:r="http://schemas.openxmlformats.org/officeDocument/2006/relationships" ref="N142" r:id="rId880"/>
    <hyperlink xmlns:r="http://schemas.openxmlformats.org/officeDocument/2006/relationships" ref="O142" r:id="rId881"/>
    <hyperlink xmlns:r="http://schemas.openxmlformats.org/officeDocument/2006/relationships" ref="F143" r:id="rId882"/>
    <hyperlink xmlns:r="http://schemas.openxmlformats.org/officeDocument/2006/relationships" ref="G143" r:id="rId883"/>
    <hyperlink xmlns:r="http://schemas.openxmlformats.org/officeDocument/2006/relationships" ref="H143" r:id="rId884"/>
    <hyperlink xmlns:r="http://schemas.openxmlformats.org/officeDocument/2006/relationships" ref="J143" r:id="rId885"/>
    <hyperlink xmlns:r="http://schemas.openxmlformats.org/officeDocument/2006/relationships" ref="K143" r:id="rId886"/>
    <hyperlink xmlns:r="http://schemas.openxmlformats.org/officeDocument/2006/relationships" ref="L143" r:id="rId887"/>
    <hyperlink xmlns:r="http://schemas.openxmlformats.org/officeDocument/2006/relationships" ref="N143" r:id="rId888"/>
    <hyperlink xmlns:r="http://schemas.openxmlformats.org/officeDocument/2006/relationships" ref="O143" r:id="rId889"/>
    <hyperlink xmlns:r="http://schemas.openxmlformats.org/officeDocument/2006/relationships" ref="F144" r:id="rId890"/>
    <hyperlink xmlns:r="http://schemas.openxmlformats.org/officeDocument/2006/relationships" ref="G144" r:id="rId891"/>
    <hyperlink xmlns:r="http://schemas.openxmlformats.org/officeDocument/2006/relationships" ref="H144" r:id="rId892"/>
    <hyperlink xmlns:r="http://schemas.openxmlformats.org/officeDocument/2006/relationships" ref="J144" r:id="rId893"/>
    <hyperlink xmlns:r="http://schemas.openxmlformats.org/officeDocument/2006/relationships" ref="K144" r:id="rId894"/>
    <hyperlink xmlns:r="http://schemas.openxmlformats.org/officeDocument/2006/relationships" ref="L144" r:id="rId895"/>
    <hyperlink xmlns:r="http://schemas.openxmlformats.org/officeDocument/2006/relationships" ref="N144" r:id="rId896"/>
    <hyperlink xmlns:r="http://schemas.openxmlformats.org/officeDocument/2006/relationships" ref="O144" r:id="rId897"/>
    <hyperlink xmlns:r="http://schemas.openxmlformats.org/officeDocument/2006/relationships" ref="F145" r:id="rId898"/>
    <hyperlink xmlns:r="http://schemas.openxmlformats.org/officeDocument/2006/relationships" ref="G145" r:id="rId899"/>
    <hyperlink xmlns:r="http://schemas.openxmlformats.org/officeDocument/2006/relationships" ref="H145" r:id="rId900"/>
    <hyperlink xmlns:r="http://schemas.openxmlformats.org/officeDocument/2006/relationships" ref="J145" r:id="rId901"/>
    <hyperlink xmlns:r="http://schemas.openxmlformats.org/officeDocument/2006/relationships" ref="K145" r:id="rId902"/>
    <hyperlink xmlns:r="http://schemas.openxmlformats.org/officeDocument/2006/relationships" ref="L145" r:id="rId903"/>
    <hyperlink xmlns:r="http://schemas.openxmlformats.org/officeDocument/2006/relationships" ref="N145" r:id="rId904"/>
    <hyperlink xmlns:r="http://schemas.openxmlformats.org/officeDocument/2006/relationships" ref="O145" r:id="rId905"/>
    <hyperlink xmlns:r="http://schemas.openxmlformats.org/officeDocument/2006/relationships" ref="F146" r:id="rId906"/>
    <hyperlink xmlns:r="http://schemas.openxmlformats.org/officeDocument/2006/relationships" ref="G146" r:id="rId907"/>
    <hyperlink xmlns:r="http://schemas.openxmlformats.org/officeDocument/2006/relationships" ref="H146" r:id="rId908"/>
    <hyperlink xmlns:r="http://schemas.openxmlformats.org/officeDocument/2006/relationships" ref="J146" r:id="rId909"/>
    <hyperlink xmlns:r="http://schemas.openxmlformats.org/officeDocument/2006/relationships" ref="K146" r:id="rId910"/>
    <hyperlink xmlns:r="http://schemas.openxmlformats.org/officeDocument/2006/relationships" ref="L146" r:id="rId911"/>
    <hyperlink xmlns:r="http://schemas.openxmlformats.org/officeDocument/2006/relationships" ref="N146" r:id="rId912"/>
    <hyperlink xmlns:r="http://schemas.openxmlformats.org/officeDocument/2006/relationships" ref="O146" r:id="rId913"/>
    <hyperlink xmlns:r="http://schemas.openxmlformats.org/officeDocument/2006/relationships" ref="F149" r:id="rId914"/>
    <hyperlink xmlns:r="http://schemas.openxmlformats.org/officeDocument/2006/relationships" ref="G149" r:id="rId915"/>
    <hyperlink xmlns:r="http://schemas.openxmlformats.org/officeDocument/2006/relationships" ref="H149" r:id="rId916"/>
    <hyperlink xmlns:r="http://schemas.openxmlformats.org/officeDocument/2006/relationships" ref="J149" r:id="rId917"/>
    <hyperlink xmlns:r="http://schemas.openxmlformats.org/officeDocument/2006/relationships" ref="K149" r:id="rId918"/>
    <hyperlink xmlns:r="http://schemas.openxmlformats.org/officeDocument/2006/relationships" ref="L149" r:id="rId919"/>
    <hyperlink xmlns:r="http://schemas.openxmlformats.org/officeDocument/2006/relationships" ref="N149" r:id="rId920"/>
    <hyperlink xmlns:r="http://schemas.openxmlformats.org/officeDocument/2006/relationships" ref="O149" r:id="rId921"/>
    <hyperlink xmlns:r="http://schemas.openxmlformats.org/officeDocument/2006/relationships" ref="F150" r:id="rId922"/>
    <hyperlink xmlns:r="http://schemas.openxmlformats.org/officeDocument/2006/relationships" ref="G150" r:id="rId923"/>
    <hyperlink xmlns:r="http://schemas.openxmlformats.org/officeDocument/2006/relationships" ref="H150" r:id="rId924"/>
    <hyperlink xmlns:r="http://schemas.openxmlformats.org/officeDocument/2006/relationships" ref="J150" r:id="rId925"/>
    <hyperlink xmlns:r="http://schemas.openxmlformats.org/officeDocument/2006/relationships" ref="K150" r:id="rId926"/>
    <hyperlink xmlns:r="http://schemas.openxmlformats.org/officeDocument/2006/relationships" ref="L150" r:id="rId927"/>
    <hyperlink xmlns:r="http://schemas.openxmlformats.org/officeDocument/2006/relationships" ref="N150" r:id="rId928"/>
    <hyperlink xmlns:r="http://schemas.openxmlformats.org/officeDocument/2006/relationships" ref="O150" r:id="rId929"/>
    <hyperlink xmlns:r="http://schemas.openxmlformats.org/officeDocument/2006/relationships" ref="F151" r:id="rId930"/>
    <hyperlink xmlns:r="http://schemas.openxmlformats.org/officeDocument/2006/relationships" ref="G151" r:id="rId931"/>
    <hyperlink xmlns:r="http://schemas.openxmlformats.org/officeDocument/2006/relationships" ref="H151" r:id="rId932"/>
    <hyperlink xmlns:r="http://schemas.openxmlformats.org/officeDocument/2006/relationships" ref="J151" r:id="rId933"/>
    <hyperlink xmlns:r="http://schemas.openxmlformats.org/officeDocument/2006/relationships" ref="K151" r:id="rId934"/>
    <hyperlink xmlns:r="http://schemas.openxmlformats.org/officeDocument/2006/relationships" ref="L151" r:id="rId935"/>
    <hyperlink xmlns:r="http://schemas.openxmlformats.org/officeDocument/2006/relationships" ref="N151" r:id="rId936"/>
    <hyperlink xmlns:r="http://schemas.openxmlformats.org/officeDocument/2006/relationships" ref="O151" r:id="rId937"/>
    <hyperlink xmlns:r="http://schemas.openxmlformats.org/officeDocument/2006/relationships" ref="F152" r:id="rId938"/>
    <hyperlink xmlns:r="http://schemas.openxmlformats.org/officeDocument/2006/relationships" ref="G152" r:id="rId939"/>
    <hyperlink xmlns:r="http://schemas.openxmlformats.org/officeDocument/2006/relationships" ref="H152" r:id="rId940"/>
    <hyperlink xmlns:r="http://schemas.openxmlformats.org/officeDocument/2006/relationships" ref="J152" r:id="rId941"/>
    <hyperlink xmlns:r="http://schemas.openxmlformats.org/officeDocument/2006/relationships" ref="K152" r:id="rId942"/>
    <hyperlink xmlns:r="http://schemas.openxmlformats.org/officeDocument/2006/relationships" ref="L152" r:id="rId943"/>
    <hyperlink xmlns:r="http://schemas.openxmlformats.org/officeDocument/2006/relationships" ref="N152" r:id="rId944"/>
    <hyperlink xmlns:r="http://schemas.openxmlformats.org/officeDocument/2006/relationships" ref="O152" r:id="rId945"/>
    <hyperlink xmlns:r="http://schemas.openxmlformats.org/officeDocument/2006/relationships" ref="F153" r:id="rId946"/>
    <hyperlink xmlns:r="http://schemas.openxmlformats.org/officeDocument/2006/relationships" ref="G153" r:id="rId947"/>
    <hyperlink xmlns:r="http://schemas.openxmlformats.org/officeDocument/2006/relationships" ref="H153" r:id="rId948"/>
    <hyperlink xmlns:r="http://schemas.openxmlformats.org/officeDocument/2006/relationships" ref="J153" r:id="rId949"/>
    <hyperlink xmlns:r="http://schemas.openxmlformats.org/officeDocument/2006/relationships" ref="K153" r:id="rId950"/>
    <hyperlink xmlns:r="http://schemas.openxmlformats.org/officeDocument/2006/relationships" ref="L153" r:id="rId951"/>
    <hyperlink xmlns:r="http://schemas.openxmlformats.org/officeDocument/2006/relationships" ref="N153" r:id="rId952"/>
    <hyperlink xmlns:r="http://schemas.openxmlformats.org/officeDocument/2006/relationships" ref="O153" r:id="rId953"/>
    <hyperlink xmlns:r="http://schemas.openxmlformats.org/officeDocument/2006/relationships" ref="F154" r:id="rId954"/>
    <hyperlink xmlns:r="http://schemas.openxmlformats.org/officeDocument/2006/relationships" ref="G154" r:id="rId955"/>
    <hyperlink xmlns:r="http://schemas.openxmlformats.org/officeDocument/2006/relationships" ref="H154" r:id="rId956"/>
    <hyperlink xmlns:r="http://schemas.openxmlformats.org/officeDocument/2006/relationships" ref="J154" r:id="rId957"/>
    <hyperlink xmlns:r="http://schemas.openxmlformats.org/officeDocument/2006/relationships" ref="K154" r:id="rId958"/>
    <hyperlink xmlns:r="http://schemas.openxmlformats.org/officeDocument/2006/relationships" ref="L154" r:id="rId959"/>
    <hyperlink xmlns:r="http://schemas.openxmlformats.org/officeDocument/2006/relationships" ref="N154" r:id="rId960"/>
    <hyperlink xmlns:r="http://schemas.openxmlformats.org/officeDocument/2006/relationships" ref="O154" r:id="rId961"/>
    <hyperlink xmlns:r="http://schemas.openxmlformats.org/officeDocument/2006/relationships" ref="F155" r:id="rId962"/>
    <hyperlink xmlns:r="http://schemas.openxmlformats.org/officeDocument/2006/relationships" ref="G155" r:id="rId963"/>
    <hyperlink xmlns:r="http://schemas.openxmlformats.org/officeDocument/2006/relationships" ref="H155" r:id="rId964"/>
    <hyperlink xmlns:r="http://schemas.openxmlformats.org/officeDocument/2006/relationships" ref="J155" r:id="rId965"/>
    <hyperlink xmlns:r="http://schemas.openxmlformats.org/officeDocument/2006/relationships" ref="K155" r:id="rId966"/>
    <hyperlink xmlns:r="http://schemas.openxmlformats.org/officeDocument/2006/relationships" ref="L155" r:id="rId967"/>
    <hyperlink xmlns:r="http://schemas.openxmlformats.org/officeDocument/2006/relationships" ref="N155" r:id="rId968"/>
    <hyperlink xmlns:r="http://schemas.openxmlformats.org/officeDocument/2006/relationships" ref="O155" r:id="rId969"/>
    <hyperlink xmlns:r="http://schemas.openxmlformats.org/officeDocument/2006/relationships" ref="F156" r:id="rId970"/>
    <hyperlink xmlns:r="http://schemas.openxmlformats.org/officeDocument/2006/relationships" ref="G156" r:id="rId971"/>
    <hyperlink xmlns:r="http://schemas.openxmlformats.org/officeDocument/2006/relationships" ref="H156" r:id="rId972"/>
    <hyperlink xmlns:r="http://schemas.openxmlformats.org/officeDocument/2006/relationships" ref="J156" r:id="rId973"/>
    <hyperlink xmlns:r="http://schemas.openxmlformats.org/officeDocument/2006/relationships" ref="L156" r:id="rId974"/>
    <hyperlink xmlns:r="http://schemas.openxmlformats.org/officeDocument/2006/relationships" ref="N156" r:id="rId975"/>
    <hyperlink xmlns:r="http://schemas.openxmlformats.org/officeDocument/2006/relationships" ref="O156" r:id="rId976"/>
    <hyperlink xmlns:r="http://schemas.openxmlformats.org/officeDocument/2006/relationships" ref="F157" r:id="rId977"/>
    <hyperlink xmlns:r="http://schemas.openxmlformats.org/officeDocument/2006/relationships" ref="G157" r:id="rId978"/>
    <hyperlink xmlns:r="http://schemas.openxmlformats.org/officeDocument/2006/relationships" ref="H157" r:id="rId979"/>
    <hyperlink xmlns:r="http://schemas.openxmlformats.org/officeDocument/2006/relationships" ref="J157" r:id="rId980"/>
    <hyperlink xmlns:r="http://schemas.openxmlformats.org/officeDocument/2006/relationships" ref="L157" r:id="rId981"/>
    <hyperlink xmlns:r="http://schemas.openxmlformats.org/officeDocument/2006/relationships" ref="N157" r:id="rId982"/>
    <hyperlink xmlns:r="http://schemas.openxmlformats.org/officeDocument/2006/relationships" ref="O157" r:id="rId983"/>
    <hyperlink xmlns:r="http://schemas.openxmlformats.org/officeDocument/2006/relationships" ref="F158" r:id="rId984"/>
    <hyperlink xmlns:r="http://schemas.openxmlformats.org/officeDocument/2006/relationships" ref="G158" r:id="rId985"/>
    <hyperlink xmlns:r="http://schemas.openxmlformats.org/officeDocument/2006/relationships" ref="H158" r:id="rId986"/>
    <hyperlink xmlns:r="http://schemas.openxmlformats.org/officeDocument/2006/relationships" ref="J158" r:id="rId987"/>
    <hyperlink xmlns:r="http://schemas.openxmlformats.org/officeDocument/2006/relationships" ref="L158" r:id="rId988"/>
    <hyperlink xmlns:r="http://schemas.openxmlformats.org/officeDocument/2006/relationships" ref="N158" r:id="rId989"/>
    <hyperlink xmlns:r="http://schemas.openxmlformats.org/officeDocument/2006/relationships" ref="O158" r:id="rId990"/>
    <hyperlink xmlns:r="http://schemas.openxmlformats.org/officeDocument/2006/relationships" ref="F159" r:id="rId991"/>
    <hyperlink xmlns:r="http://schemas.openxmlformats.org/officeDocument/2006/relationships" ref="G159" r:id="rId992"/>
    <hyperlink xmlns:r="http://schemas.openxmlformats.org/officeDocument/2006/relationships" ref="H159" r:id="rId993"/>
    <hyperlink xmlns:r="http://schemas.openxmlformats.org/officeDocument/2006/relationships" ref="J159" r:id="rId994"/>
    <hyperlink xmlns:r="http://schemas.openxmlformats.org/officeDocument/2006/relationships" ref="K159" r:id="rId995"/>
    <hyperlink xmlns:r="http://schemas.openxmlformats.org/officeDocument/2006/relationships" ref="L159" r:id="rId996"/>
    <hyperlink xmlns:r="http://schemas.openxmlformats.org/officeDocument/2006/relationships" ref="N159" r:id="rId997"/>
    <hyperlink xmlns:r="http://schemas.openxmlformats.org/officeDocument/2006/relationships" ref="O159" r:id="rId998"/>
    <hyperlink xmlns:r="http://schemas.openxmlformats.org/officeDocument/2006/relationships" ref="F160" r:id="rId999"/>
    <hyperlink xmlns:r="http://schemas.openxmlformats.org/officeDocument/2006/relationships" ref="G160" r:id="rId1000"/>
    <hyperlink xmlns:r="http://schemas.openxmlformats.org/officeDocument/2006/relationships" ref="H160" r:id="rId1001"/>
    <hyperlink xmlns:r="http://schemas.openxmlformats.org/officeDocument/2006/relationships" ref="J160" r:id="rId1002"/>
    <hyperlink xmlns:r="http://schemas.openxmlformats.org/officeDocument/2006/relationships" ref="K160" r:id="rId1003"/>
    <hyperlink xmlns:r="http://schemas.openxmlformats.org/officeDocument/2006/relationships" ref="L160" r:id="rId1004"/>
    <hyperlink xmlns:r="http://schemas.openxmlformats.org/officeDocument/2006/relationships" ref="N160" r:id="rId1005"/>
    <hyperlink xmlns:r="http://schemas.openxmlformats.org/officeDocument/2006/relationships" ref="O160" r:id="rId1006"/>
    <hyperlink xmlns:r="http://schemas.openxmlformats.org/officeDocument/2006/relationships" ref="F161" r:id="rId1007"/>
    <hyperlink xmlns:r="http://schemas.openxmlformats.org/officeDocument/2006/relationships" ref="G161" r:id="rId1008"/>
    <hyperlink xmlns:r="http://schemas.openxmlformats.org/officeDocument/2006/relationships" ref="H161" r:id="rId1009"/>
    <hyperlink xmlns:r="http://schemas.openxmlformats.org/officeDocument/2006/relationships" ref="J161" r:id="rId1010"/>
    <hyperlink xmlns:r="http://schemas.openxmlformats.org/officeDocument/2006/relationships" ref="K161" r:id="rId1011"/>
    <hyperlink xmlns:r="http://schemas.openxmlformats.org/officeDocument/2006/relationships" ref="L161" r:id="rId1012"/>
    <hyperlink xmlns:r="http://schemas.openxmlformats.org/officeDocument/2006/relationships" ref="N161" r:id="rId1013"/>
    <hyperlink xmlns:r="http://schemas.openxmlformats.org/officeDocument/2006/relationships" ref="O161" r:id="rId1014"/>
    <hyperlink xmlns:r="http://schemas.openxmlformats.org/officeDocument/2006/relationships" ref="F162" r:id="rId1015"/>
    <hyperlink xmlns:r="http://schemas.openxmlformats.org/officeDocument/2006/relationships" ref="G162" r:id="rId1016"/>
    <hyperlink xmlns:r="http://schemas.openxmlformats.org/officeDocument/2006/relationships" ref="H162" r:id="rId1017"/>
    <hyperlink xmlns:r="http://schemas.openxmlformats.org/officeDocument/2006/relationships" ref="J162" r:id="rId1018"/>
    <hyperlink xmlns:r="http://schemas.openxmlformats.org/officeDocument/2006/relationships" ref="N162" r:id="rId1019"/>
    <hyperlink xmlns:r="http://schemas.openxmlformats.org/officeDocument/2006/relationships" ref="O162" r:id="rId1020"/>
    <hyperlink xmlns:r="http://schemas.openxmlformats.org/officeDocument/2006/relationships" ref="F163" r:id="rId1021"/>
    <hyperlink xmlns:r="http://schemas.openxmlformats.org/officeDocument/2006/relationships" ref="G163" r:id="rId1022"/>
    <hyperlink xmlns:r="http://schemas.openxmlformats.org/officeDocument/2006/relationships" ref="H163" r:id="rId1023"/>
    <hyperlink xmlns:r="http://schemas.openxmlformats.org/officeDocument/2006/relationships" ref="J163" r:id="rId1024"/>
    <hyperlink xmlns:r="http://schemas.openxmlformats.org/officeDocument/2006/relationships" ref="K163" r:id="rId1025"/>
    <hyperlink xmlns:r="http://schemas.openxmlformats.org/officeDocument/2006/relationships" ref="L163" r:id="rId1026"/>
    <hyperlink xmlns:r="http://schemas.openxmlformats.org/officeDocument/2006/relationships" ref="N163" r:id="rId1027"/>
    <hyperlink xmlns:r="http://schemas.openxmlformats.org/officeDocument/2006/relationships" ref="O163" r:id="rId1028"/>
    <hyperlink xmlns:r="http://schemas.openxmlformats.org/officeDocument/2006/relationships" ref="F164" r:id="rId1029"/>
    <hyperlink xmlns:r="http://schemas.openxmlformats.org/officeDocument/2006/relationships" ref="G164" r:id="rId1030"/>
    <hyperlink xmlns:r="http://schemas.openxmlformats.org/officeDocument/2006/relationships" ref="H164" r:id="rId1031"/>
    <hyperlink xmlns:r="http://schemas.openxmlformats.org/officeDocument/2006/relationships" ref="J164" r:id="rId1032"/>
    <hyperlink xmlns:r="http://schemas.openxmlformats.org/officeDocument/2006/relationships" ref="K164" r:id="rId1033"/>
    <hyperlink xmlns:r="http://schemas.openxmlformats.org/officeDocument/2006/relationships" ref="L164" r:id="rId1034"/>
    <hyperlink xmlns:r="http://schemas.openxmlformats.org/officeDocument/2006/relationships" ref="N164" r:id="rId1035"/>
    <hyperlink xmlns:r="http://schemas.openxmlformats.org/officeDocument/2006/relationships" ref="O164" r:id="rId1036"/>
    <hyperlink xmlns:r="http://schemas.openxmlformats.org/officeDocument/2006/relationships" ref="F165" r:id="rId1037"/>
    <hyperlink xmlns:r="http://schemas.openxmlformats.org/officeDocument/2006/relationships" ref="G165" r:id="rId1038"/>
    <hyperlink xmlns:r="http://schemas.openxmlformats.org/officeDocument/2006/relationships" ref="H165" r:id="rId1039"/>
    <hyperlink xmlns:r="http://schemas.openxmlformats.org/officeDocument/2006/relationships" ref="J165" r:id="rId1040"/>
    <hyperlink xmlns:r="http://schemas.openxmlformats.org/officeDocument/2006/relationships" ref="K165" r:id="rId1041"/>
    <hyperlink xmlns:r="http://schemas.openxmlformats.org/officeDocument/2006/relationships" ref="L165" r:id="rId1042"/>
    <hyperlink xmlns:r="http://schemas.openxmlformats.org/officeDocument/2006/relationships" ref="N165" r:id="rId1043"/>
    <hyperlink xmlns:r="http://schemas.openxmlformats.org/officeDocument/2006/relationships" ref="O165" r:id="rId1044"/>
    <hyperlink xmlns:r="http://schemas.openxmlformats.org/officeDocument/2006/relationships" ref="F166" r:id="rId1045"/>
    <hyperlink xmlns:r="http://schemas.openxmlformats.org/officeDocument/2006/relationships" ref="G166" r:id="rId1046"/>
    <hyperlink xmlns:r="http://schemas.openxmlformats.org/officeDocument/2006/relationships" ref="H166" r:id="rId1047"/>
    <hyperlink xmlns:r="http://schemas.openxmlformats.org/officeDocument/2006/relationships" ref="J166" r:id="rId1048"/>
    <hyperlink xmlns:r="http://schemas.openxmlformats.org/officeDocument/2006/relationships" ref="K166" r:id="rId1049"/>
    <hyperlink xmlns:r="http://schemas.openxmlformats.org/officeDocument/2006/relationships" ref="L166" r:id="rId1050"/>
    <hyperlink xmlns:r="http://schemas.openxmlformats.org/officeDocument/2006/relationships" ref="N166" r:id="rId1051"/>
    <hyperlink xmlns:r="http://schemas.openxmlformats.org/officeDocument/2006/relationships" ref="O166" r:id="rId1052"/>
    <hyperlink xmlns:r="http://schemas.openxmlformats.org/officeDocument/2006/relationships" ref="F169" r:id="rId1053"/>
    <hyperlink xmlns:r="http://schemas.openxmlformats.org/officeDocument/2006/relationships" ref="G169" r:id="rId1054"/>
    <hyperlink xmlns:r="http://schemas.openxmlformats.org/officeDocument/2006/relationships" ref="H169" r:id="rId1055"/>
    <hyperlink xmlns:r="http://schemas.openxmlformats.org/officeDocument/2006/relationships" ref="J169" r:id="rId1056"/>
    <hyperlink xmlns:r="http://schemas.openxmlformats.org/officeDocument/2006/relationships" ref="K169" r:id="rId1057"/>
    <hyperlink xmlns:r="http://schemas.openxmlformats.org/officeDocument/2006/relationships" ref="L169" r:id="rId1058"/>
    <hyperlink xmlns:r="http://schemas.openxmlformats.org/officeDocument/2006/relationships" ref="N169" r:id="rId1059"/>
    <hyperlink xmlns:r="http://schemas.openxmlformats.org/officeDocument/2006/relationships" ref="O169" r:id="rId1060"/>
    <hyperlink xmlns:r="http://schemas.openxmlformats.org/officeDocument/2006/relationships" ref="F170" r:id="rId1061"/>
    <hyperlink xmlns:r="http://schemas.openxmlformats.org/officeDocument/2006/relationships" ref="G170" r:id="rId1062"/>
    <hyperlink xmlns:r="http://schemas.openxmlformats.org/officeDocument/2006/relationships" ref="H170" r:id="rId1063"/>
    <hyperlink xmlns:r="http://schemas.openxmlformats.org/officeDocument/2006/relationships" ref="J170" r:id="rId1064"/>
    <hyperlink xmlns:r="http://schemas.openxmlformats.org/officeDocument/2006/relationships" ref="K170" r:id="rId1065"/>
    <hyperlink xmlns:r="http://schemas.openxmlformats.org/officeDocument/2006/relationships" ref="L170" r:id="rId1066"/>
    <hyperlink xmlns:r="http://schemas.openxmlformats.org/officeDocument/2006/relationships" ref="N170" r:id="rId1067"/>
    <hyperlink xmlns:r="http://schemas.openxmlformats.org/officeDocument/2006/relationships" ref="O170" r:id="rId1068"/>
    <hyperlink xmlns:r="http://schemas.openxmlformats.org/officeDocument/2006/relationships" ref="F171" r:id="rId1069"/>
    <hyperlink xmlns:r="http://schemas.openxmlformats.org/officeDocument/2006/relationships" ref="G171" r:id="rId1070"/>
    <hyperlink xmlns:r="http://schemas.openxmlformats.org/officeDocument/2006/relationships" ref="H171" r:id="rId1071"/>
    <hyperlink xmlns:r="http://schemas.openxmlformats.org/officeDocument/2006/relationships" ref="J171" r:id="rId1072"/>
    <hyperlink xmlns:r="http://schemas.openxmlformats.org/officeDocument/2006/relationships" ref="K171" r:id="rId1073"/>
    <hyperlink xmlns:r="http://schemas.openxmlformats.org/officeDocument/2006/relationships" ref="L171" r:id="rId1074"/>
    <hyperlink xmlns:r="http://schemas.openxmlformats.org/officeDocument/2006/relationships" ref="N171" r:id="rId1075"/>
    <hyperlink xmlns:r="http://schemas.openxmlformats.org/officeDocument/2006/relationships" ref="O171" r:id="rId1076"/>
    <hyperlink xmlns:r="http://schemas.openxmlformats.org/officeDocument/2006/relationships" ref="F172" r:id="rId1077"/>
    <hyperlink xmlns:r="http://schemas.openxmlformats.org/officeDocument/2006/relationships" ref="G172" r:id="rId1078"/>
    <hyperlink xmlns:r="http://schemas.openxmlformats.org/officeDocument/2006/relationships" ref="H172" r:id="rId1079"/>
    <hyperlink xmlns:r="http://schemas.openxmlformats.org/officeDocument/2006/relationships" ref="J172" r:id="rId1080"/>
    <hyperlink xmlns:r="http://schemas.openxmlformats.org/officeDocument/2006/relationships" ref="K172" r:id="rId1081"/>
    <hyperlink xmlns:r="http://schemas.openxmlformats.org/officeDocument/2006/relationships" ref="L172" r:id="rId1082"/>
    <hyperlink xmlns:r="http://schemas.openxmlformats.org/officeDocument/2006/relationships" ref="N172" r:id="rId1083"/>
    <hyperlink xmlns:r="http://schemas.openxmlformats.org/officeDocument/2006/relationships" ref="O172" r:id="rId1084"/>
    <hyperlink xmlns:r="http://schemas.openxmlformats.org/officeDocument/2006/relationships" ref="F173" r:id="rId1085"/>
    <hyperlink xmlns:r="http://schemas.openxmlformats.org/officeDocument/2006/relationships" ref="G173" r:id="rId1086"/>
    <hyperlink xmlns:r="http://schemas.openxmlformats.org/officeDocument/2006/relationships" ref="H173" r:id="rId1087"/>
    <hyperlink xmlns:r="http://schemas.openxmlformats.org/officeDocument/2006/relationships" ref="J173" r:id="rId1088"/>
    <hyperlink xmlns:r="http://schemas.openxmlformats.org/officeDocument/2006/relationships" ref="K173" r:id="rId1089"/>
    <hyperlink xmlns:r="http://schemas.openxmlformats.org/officeDocument/2006/relationships" ref="L173" r:id="rId1090"/>
    <hyperlink xmlns:r="http://schemas.openxmlformats.org/officeDocument/2006/relationships" ref="N173" r:id="rId1091"/>
    <hyperlink xmlns:r="http://schemas.openxmlformats.org/officeDocument/2006/relationships" ref="O173" r:id="rId1092"/>
    <hyperlink xmlns:r="http://schemas.openxmlformats.org/officeDocument/2006/relationships" ref="F176" r:id="rId1093"/>
    <hyperlink xmlns:r="http://schemas.openxmlformats.org/officeDocument/2006/relationships" ref="J176" r:id="rId1094"/>
    <hyperlink xmlns:r="http://schemas.openxmlformats.org/officeDocument/2006/relationships" ref="L176" r:id="rId1095"/>
    <hyperlink xmlns:r="http://schemas.openxmlformats.org/officeDocument/2006/relationships" ref="F177" r:id="rId1096"/>
    <hyperlink xmlns:r="http://schemas.openxmlformats.org/officeDocument/2006/relationships" ref="G177" r:id="rId1097"/>
    <hyperlink xmlns:r="http://schemas.openxmlformats.org/officeDocument/2006/relationships" ref="H177" r:id="rId1098"/>
    <hyperlink xmlns:r="http://schemas.openxmlformats.org/officeDocument/2006/relationships" ref="J177" r:id="rId1099"/>
    <hyperlink xmlns:r="http://schemas.openxmlformats.org/officeDocument/2006/relationships" ref="K177" r:id="rId1100"/>
    <hyperlink xmlns:r="http://schemas.openxmlformats.org/officeDocument/2006/relationships" ref="L177" r:id="rId1101"/>
    <hyperlink xmlns:r="http://schemas.openxmlformats.org/officeDocument/2006/relationships" ref="N177" r:id="rId1102"/>
    <hyperlink xmlns:r="http://schemas.openxmlformats.org/officeDocument/2006/relationships" ref="O177" r:id="rId1103"/>
    <hyperlink xmlns:r="http://schemas.openxmlformats.org/officeDocument/2006/relationships" ref="F178" r:id="rId1104"/>
    <hyperlink xmlns:r="http://schemas.openxmlformats.org/officeDocument/2006/relationships" ref="G178" r:id="rId1105"/>
    <hyperlink xmlns:r="http://schemas.openxmlformats.org/officeDocument/2006/relationships" ref="H178" r:id="rId1106"/>
    <hyperlink xmlns:r="http://schemas.openxmlformats.org/officeDocument/2006/relationships" ref="J178" r:id="rId1107"/>
    <hyperlink xmlns:r="http://schemas.openxmlformats.org/officeDocument/2006/relationships" ref="K178" r:id="rId1108"/>
    <hyperlink xmlns:r="http://schemas.openxmlformats.org/officeDocument/2006/relationships" ref="L178" r:id="rId1109"/>
    <hyperlink xmlns:r="http://schemas.openxmlformats.org/officeDocument/2006/relationships" ref="N178" r:id="rId1110"/>
    <hyperlink xmlns:r="http://schemas.openxmlformats.org/officeDocument/2006/relationships" ref="O178" r:id="rId1111"/>
    <hyperlink xmlns:r="http://schemas.openxmlformats.org/officeDocument/2006/relationships" ref="F179" r:id="rId1112"/>
    <hyperlink xmlns:r="http://schemas.openxmlformats.org/officeDocument/2006/relationships" ref="G179" r:id="rId1113"/>
    <hyperlink xmlns:r="http://schemas.openxmlformats.org/officeDocument/2006/relationships" ref="H179" r:id="rId1114"/>
    <hyperlink xmlns:r="http://schemas.openxmlformats.org/officeDocument/2006/relationships" ref="J179" r:id="rId1115"/>
    <hyperlink xmlns:r="http://schemas.openxmlformats.org/officeDocument/2006/relationships" ref="K179" r:id="rId1116"/>
    <hyperlink xmlns:r="http://schemas.openxmlformats.org/officeDocument/2006/relationships" ref="L179" r:id="rId1117"/>
    <hyperlink xmlns:r="http://schemas.openxmlformats.org/officeDocument/2006/relationships" ref="N179" r:id="rId1118"/>
    <hyperlink xmlns:r="http://schemas.openxmlformats.org/officeDocument/2006/relationships" ref="O179" r:id="rId1119"/>
    <hyperlink xmlns:r="http://schemas.openxmlformats.org/officeDocument/2006/relationships" ref="F180" r:id="rId1120"/>
    <hyperlink xmlns:r="http://schemas.openxmlformats.org/officeDocument/2006/relationships" ref="G180" r:id="rId1121"/>
    <hyperlink xmlns:r="http://schemas.openxmlformats.org/officeDocument/2006/relationships" ref="H180" r:id="rId1122"/>
    <hyperlink xmlns:r="http://schemas.openxmlformats.org/officeDocument/2006/relationships" ref="J180" r:id="rId1123"/>
    <hyperlink xmlns:r="http://schemas.openxmlformats.org/officeDocument/2006/relationships" ref="K180" r:id="rId1124"/>
    <hyperlink xmlns:r="http://schemas.openxmlformats.org/officeDocument/2006/relationships" ref="L180" r:id="rId1125"/>
    <hyperlink xmlns:r="http://schemas.openxmlformats.org/officeDocument/2006/relationships" ref="N180" r:id="rId1126"/>
    <hyperlink xmlns:r="http://schemas.openxmlformats.org/officeDocument/2006/relationships" ref="O180" r:id="rId1127"/>
    <hyperlink xmlns:r="http://schemas.openxmlformats.org/officeDocument/2006/relationships" ref="F181" r:id="rId1128"/>
    <hyperlink xmlns:r="http://schemas.openxmlformats.org/officeDocument/2006/relationships" ref="G181" r:id="rId1129"/>
    <hyperlink xmlns:r="http://schemas.openxmlformats.org/officeDocument/2006/relationships" ref="H181" r:id="rId1130"/>
    <hyperlink xmlns:r="http://schemas.openxmlformats.org/officeDocument/2006/relationships" ref="J181" r:id="rId1131"/>
    <hyperlink xmlns:r="http://schemas.openxmlformats.org/officeDocument/2006/relationships" ref="K181" r:id="rId1132"/>
    <hyperlink xmlns:r="http://schemas.openxmlformats.org/officeDocument/2006/relationships" ref="L181" r:id="rId1133"/>
    <hyperlink xmlns:r="http://schemas.openxmlformats.org/officeDocument/2006/relationships" ref="N181" r:id="rId1134"/>
    <hyperlink xmlns:r="http://schemas.openxmlformats.org/officeDocument/2006/relationships" ref="O181" r:id="rId1135"/>
    <hyperlink xmlns:r="http://schemas.openxmlformats.org/officeDocument/2006/relationships" ref="F182" r:id="rId1136"/>
    <hyperlink xmlns:r="http://schemas.openxmlformats.org/officeDocument/2006/relationships" ref="G182" r:id="rId1137"/>
    <hyperlink xmlns:r="http://schemas.openxmlformats.org/officeDocument/2006/relationships" ref="H182" r:id="rId1138"/>
    <hyperlink xmlns:r="http://schemas.openxmlformats.org/officeDocument/2006/relationships" ref="J182" r:id="rId1139"/>
    <hyperlink xmlns:r="http://schemas.openxmlformats.org/officeDocument/2006/relationships" ref="K182" r:id="rId1140"/>
    <hyperlink xmlns:r="http://schemas.openxmlformats.org/officeDocument/2006/relationships" ref="L182" r:id="rId1141"/>
    <hyperlink xmlns:r="http://schemas.openxmlformats.org/officeDocument/2006/relationships" ref="N182" r:id="rId1142"/>
    <hyperlink xmlns:r="http://schemas.openxmlformats.org/officeDocument/2006/relationships" ref="O182" r:id="rId1143"/>
    <hyperlink xmlns:r="http://schemas.openxmlformats.org/officeDocument/2006/relationships" ref="F183" r:id="rId1144"/>
    <hyperlink xmlns:r="http://schemas.openxmlformats.org/officeDocument/2006/relationships" ref="G183" r:id="rId1145"/>
    <hyperlink xmlns:r="http://schemas.openxmlformats.org/officeDocument/2006/relationships" ref="H183" r:id="rId1146"/>
    <hyperlink xmlns:r="http://schemas.openxmlformats.org/officeDocument/2006/relationships" ref="J183" r:id="rId1147"/>
    <hyperlink xmlns:r="http://schemas.openxmlformats.org/officeDocument/2006/relationships" ref="K183" r:id="rId1148"/>
    <hyperlink xmlns:r="http://schemas.openxmlformats.org/officeDocument/2006/relationships" ref="L183" r:id="rId1149"/>
    <hyperlink xmlns:r="http://schemas.openxmlformats.org/officeDocument/2006/relationships" ref="N183" r:id="rId1150"/>
    <hyperlink xmlns:r="http://schemas.openxmlformats.org/officeDocument/2006/relationships" ref="O183" r:id="rId1151"/>
    <hyperlink xmlns:r="http://schemas.openxmlformats.org/officeDocument/2006/relationships" ref="F184" r:id="rId1152"/>
    <hyperlink xmlns:r="http://schemas.openxmlformats.org/officeDocument/2006/relationships" ref="G184" r:id="rId1153"/>
    <hyperlink xmlns:r="http://schemas.openxmlformats.org/officeDocument/2006/relationships" ref="H184" r:id="rId1154"/>
    <hyperlink xmlns:r="http://schemas.openxmlformats.org/officeDocument/2006/relationships" ref="J184" r:id="rId1155"/>
    <hyperlink xmlns:r="http://schemas.openxmlformats.org/officeDocument/2006/relationships" ref="L184" r:id="rId1156"/>
  </hyperlink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0C8599"/>
    <outlinePr summaryBelow="0"/>
    <pageSetUpPr fitToPage="1"/>
  </sheetPr>
  <dimension ref="A1:P58"/>
  <sheetViews>
    <sheetView showGridLines="0" zoomScale="110" workbookViewId="0">
      <pane xSplit="2" ySplit="6" topLeftCell="C7" activePane="bottomRight" state="frozen"/>
      <selection pane="topRight"/>
      <selection pane="bottomLeft"/>
      <selection pane="bottomRight" activeCell="A1" sqref="A1"/>
    </sheetView>
  </sheetViews>
  <sheetFormatPr baseColWidth="8" defaultRowHeight="15"/>
  <cols>
    <col width="7" customWidth="1" min="1" max="1"/>
    <col width="54" customWidth="1" min="2" max="2"/>
    <col width="6" customWidth="1" min="3" max="3"/>
    <col width="9" customWidth="1" min="4" max="4"/>
    <col width="30" customWidth="1" min="5" max="5"/>
    <col width="10" customWidth="1" min="6" max="6"/>
    <col width="19" customWidth="1" min="7" max="7"/>
    <col width="10" customWidth="1" min="8" max="8"/>
    <col width="30" customWidth="1" min="9" max="9"/>
    <col width="19" customWidth="1" min="10" max="10"/>
    <col width="11" customWidth="1" min="11" max="11"/>
    <col width="9" customWidth="1" min="12" max="12"/>
    <col width="13" customWidth="1" min="13" max="13"/>
    <col width="19" customWidth="1" min="14" max="14"/>
    <col width="11" customWidth="1" min="15" max="15"/>
    <col hidden="1" width="13" customWidth="1" min="16" max="16"/>
  </cols>
  <sheetData>
    <row r="1" ht="34" customHeight="1">
      <c r="A1" s="43" t="inlineStr">
        <is>
          <t>Statistics</t>
        </is>
      </c>
    </row>
    <row r="2">
      <c r="A2" s="20" t="inlineStr">
        <is>
          <t>Paper 3, Section A  ·  42 topics  ·  pick R, A or G in the yellow Rating column for each one</t>
        </is>
      </c>
    </row>
    <row r="3">
      <c r="A3" s="21">
        <f>"Rated so far: "&amp;(COUNTIF($D$7:$D$58,"R")+COUNTIF($D$7:$D$58,"A")+COUNTIF($D$7:$D$58,"G"))&amp;" of 42     Red "&amp;COUNTIF($D$7:$D$58,"R")&amp;"   ·   Amber "&amp;COUNTIF($D$7:$D$58,"A")&amp;"   ·   Green "&amp;COUNTIF($D$7:$D$58,"G")</f>
        <v/>
      </c>
    </row>
    <row r="4" ht="8" customHeight="1"/>
    <row r="5">
      <c r="A5" s="22" t="inlineStr">
        <is>
          <t>Your check</t>
        </is>
      </c>
      <c r="B5" s="23" t="n"/>
      <c r="C5" s="23" t="n"/>
      <c r="D5" s="23" t="n"/>
      <c r="E5" s="23" t="n"/>
      <c r="F5" s="24" t="inlineStr">
        <is>
          <t>Maths Genie</t>
        </is>
      </c>
      <c r="G5" s="23" t="n"/>
      <c r="H5" s="23" t="n"/>
      <c r="I5" s="24" t="inlineStr">
        <is>
          <t>PMT worksheet</t>
        </is>
      </c>
      <c r="J5" s="23" t="n"/>
      <c r="K5" s="23" t="n"/>
      <c r="L5" s="23" t="n"/>
      <c r="M5" s="24" t="inlineStr">
        <is>
          <t>Textbook chapter test</t>
        </is>
      </c>
      <c r="N5" s="23" t="n"/>
      <c r="O5" s="23" t="n"/>
    </row>
    <row r="6" ht="22" customHeight="1">
      <c r="A6" s="44" t="inlineStr">
        <is>
          <t>Ref</t>
        </is>
      </c>
      <c r="B6" s="45" t="inlineStr">
        <is>
          <t>Topic</t>
        </is>
      </c>
      <c r="C6" s="44" t="inlineStr">
        <is>
          <t>Year</t>
        </is>
      </c>
      <c r="D6" s="44" t="inlineStr">
        <is>
          <t>Rating</t>
        </is>
      </c>
      <c r="E6" s="45" t="inlineStr">
        <is>
          <t>Notes</t>
        </is>
      </c>
      <c r="F6" s="44" t="inlineStr">
        <is>
          <t>Video</t>
        </is>
      </c>
      <c r="G6" s="44" t="inlineStr">
        <is>
          <t>Questions</t>
        </is>
      </c>
      <c r="H6" s="44" t="inlineStr">
        <is>
          <t>Answers</t>
        </is>
      </c>
      <c r="I6" s="45" t="inlineStr">
        <is>
          <t>Worksheet</t>
        </is>
      </c>
      <c r="J6" s="44" t="inlineStr">
        <is>
          <t>Questions</t>
        </is>
      </c>
      <c r="K6" s="44" t="inlineStr">
        <is>
          <t>Mark scheme</t>
        </is>
      </c>
      <c r="L6" s="44" t="inlineStr">
        <is>
          <t>Answers</t>
        </is>
      </c>
      <c r="M6" s="44" t="inlineStr">
        <is>
          <t>Textbook</t>
        </is>
      </c>
      <c r="N6" s="44" t="inlineStr">
        <is>
          <t>Questions</t>
        </is>
      </c>
      <c r="O6" s="44" t="inlineStr">
        <is>
          <t>Mark scheme</t>
        </is>
      </c>
    </row>
    <row r="7" ht="10" customHeight="1"/>
    <row r="8" ht="26" customHeight="1">
      <c r="A8" s="46" t="inlineStr">
        <is>
          <t>1</t>
        </is>
      </c>
      <c r="B8" s="47" t="inlineStr">
        <is>
          <t>Statistical sampling</t>
        </is>
      </c>
      <c r="C8" s="48" t="n"/>
      <c r="D8" s="48" t="n"/>
      <c r="E8" s="49" t="inlineStr">
        <is>
          <t>3 topics  ·  Year 1: 3</t>
        </is>
      </c>
      <c r="F8" s="48" t="n"/>
      <c r="G8" s="48" t="n"/>
      <c r="H8" s="48" t="n"/>
      <c r="I8" s="48" t="n"/>
      <c r="J8" s="48" t="n"/>
      <c r="K8" s="48" t="n"/>
      <c r="L8" s="48" t="n"/>
      <c r="M8" s="48" t="n"/>
      <c r="N8" s="48" t="n"/>
      <c r="O8" s="48" t="n"/>
    </row>
    <row r="9" outlineLevel="1" ht="20" customHeight="1">
      <c r="A9" s="31" t="inlineStr">
        <is>
          <t>S1.1</t>
        </is>
      </c>
      <c r="B9" s="32" t="inlineStr">
        <is>
          <t>Populations, samples and census</t>
        </is>
      </c>
      <c r="C9" s="33" t="n">
        <v>1</v>
      </c>
      <c r="D9" s="34" t="n"/>
      <c r="E9" s="35" t="n"/>
      <c r="F9" s="36" t="inlineStr">
        <is>
          <t>▶ Watch</t>
        </is>
      </c>
      <c r="G9" s="36" t="inlineStr">
        <is>
          <t>Q 2, 3</t>
        </is>
      </c>
      <c r="H9" s="36" t="inlineStr">
        <is>
          <t>Answers</t>
        </is>
      </c>
      <c r="I9" s="35" t="inlineStr">
        <is>
          <t>Set A: Sampling methods 1</t>
        </is>
      </c>
      <c r="J9" s="36" t="inlineStr">
        <is>
          <t>Pages 1–5</t>
        </is>
      </c>
      <c r="K9" s="38" t="inlineStr">
        <is>
          <t>in the PDF</t>
        </is>
      </c>
      <c r="L9" s="38" t="inlineStr">
        <is>
          <t>in the PDF</t>
        </is>
      </c>
      <c r="M9" s="31" t="inlineStr">
        <is>
          <t>Applied 1 Ch1</t>
        </is>
      </c>
      <c r="N9" s="37" t="inlineStr">
        <is>
          <t>Page 11</t>
        </is>
      </c>
      <c r="O9" s="37" t="inlineStr">
        <is>
          <t>Marks</t>
        </is>
      </c>
      <c r="P9" t="inlineStr">
        <is>
          <t>S1</t>
        </is>
      </c>
    </row>
    <row r="10" outlineLevel="1" ht="20" customHeight="1">
      <c r="A10" s="31" t="inlineStr">
        <is>
          <t>S1.1</t>
        </is>
      </c>
      <c r="B10" s="32" t="inlineStr">
        <is>
          <t>Random sampling: simple random, systematic, stratified</t>
        </is>
      </c>
      <c r="C10" s="33" t="n">
        <v>1</v>
      </c>
      <c r="D10" s="34" t="n"/>
      <c r="E10" s="35" t="n"/>
      <c r="F10" s="36" t="inlineStr">
        <is>
          <t>▶ Watch</t>
        </is>
      </c>
      <c r="G10" s="36" t="inlineStr">
        <is>
          <t>Q 1, 4, 6, 7</t>
        </is>
      </c>
      <c r="H10" s="36" t="inlineStr">
        <is>
          <t>Answers</t>
        </is>
      </c>
      <c r="I10" s="35" t="inlineStr">
        <is>
          <t>Set A: Sampling methods 2</t>
        </is>
      </c>
      <c r="J10" s="36" t="inlineStr">
        <is>
          <t>Pages 1–5</t>
        </is>
      </c>
      <c r="K10" s="38" t="inlineStr">
        <is>
          <t>in the PDF</t>
        </is>
      </c>
      <c r="L10" s="38" t="inlineStr">
        <is>
          <t>in the PDF</t>
        </is>
      </c>
      <c r="M10" s="31" t="inlineStr">
        <is>
          <t>Applied 1 Ch1</t>
        </is>
      </c>
      <c r="N10" s="37" t="inlineStr">
        <is>
          <t>Page 2</t>
        </is>
      </c>
      <c r="O10" s="37" t="inlineStr">
        <is>
          <t>Marks</t>
        </is>
      </c>
      <c r="P10" t="inlineStr">
        <is>
          <t>S1</t>
        </is>
      </c>
    </row>
    <row r="11" outlineLevel="1" ht="20" customHeight="1">
      <c r="A11" s="31" t="inlineStr">
        <is>
          <t>S1.1</t>
        </is>
      </c>
      <c r="B11" s="32" t="inlineStr">
        <is>
          <t>Non-random sampling: quota and opportunity</t>
        </is>
      </c>
      <c r="C11" s="33" t="n">
        <v>1</v>
      </c>
      <c r="D11" s="34" t="n"/>
      <c r="E11" s="35" t="n"/>
      <c r="F11" s="36" t="inlineStr">
        <is>
          <t>▶ Watch</t>
        </is>
      </c>
      <c r="G11" s="36" t="inlineStr">
        <is>
          <t>Q 1, 3, 5</t>
        </is>
      </c>
      <c r="H11" s="36" t="inlineStr">
        <is>
          <t>Answers</t>
        </is>
      </c>
      <c r="I11" s="35" t="inlineStr">
        <is>
          <t>Set A: Sampling methods 2</t>
        </is>
      </c>
      <c r="J11" s="36" t="inlineStr">
        <is>
          <t>Pages 2–5</t>
        </is>
      </c>
      <c r="K11" s="38" t="inlineStr">
        <is>
          <t>in the PDF</t>
        </is>
      </c>
      <c r="L11" s="38" t="inlineStr">
        <is>
          <t>in the PDF</t>
        </is>
      </c>
      <c r="M11" s="31" t="inlineStr">
        <is>
          <t>Applied 1 Ch1</t>
        </is>
      </c>
      <c r="N11" s="37" t="inlineStr">
        <is>
          <t>Page 5</t>
        </is>
      </c>
      <c r="O11" s="37" t="inlineStr">
        <is>
          <t>Marks</t>
        </is>
      </c>
      <c r="P11" t="inlineStr">
        <is>
          <t>S1</t>
        </is>
      </c>
    </row>
    <row r="12" ht="10" customHeight="1"/>
    <row r="13" ht="26" customHeight="1">
      <c r="A13" s="46" t="inlineStr">
        <is>
          <t>2</t>
        </is>
      </c>
      <c r="B13" s="47" t="inlineStr">
        <is>
          <t>Data presentation and interpretation</t>
        </is>
      </c>
      <c r="C13" s="48" t="n"/>
      <c r="D13" s="48" t="n"/>
      <c r="E13" s="49" t="inlineStr">
        <is>
          <t>14 topics  ·  Year 1: 13  ·  Year 2: 1</t>
        </is>
      </c>
      <c r="F13" s="48" t="n"/>
      <c r="G13" s="48" t="n"/>
      <c r="H13" s="48" t="n"/>
      <c r="I13" s="48" t="n"/>
      <c r="J13" s="48" t="n"/>
      <c r="K13" s="48" t="n"/>
      <c r="L13" s="48" t="n"/>
      <c r="M13" s="48" t="n"/>
      <c r="N13" s="48" t="n"/>
      <c r="O13" s="48" t="n"/>
    </row>
    <row r="14" outlineLevel="1" ht="20" customHeight="1">
      <c r="A14" s="31" t="inlineStr">
        <is>
          <t>S2.3</t>
        </is>
      </c>
      <c r="B14" s="32" t="inlineStr">
        <is>
          <t>Types of data (qualitative, discrete, continuous, grouped)</t>
        </is>
      </c>
      <c r="C14" s="33" t="n">
        <v>1</v>
      </c>
      <c r="D14" s="34" t="n"/>
      <c r="E14" s="35" t="n"/>
      <c r="F14" s="36" t="inlineStr">
        <is>
          <t>▶ Watch</t>
        </is>
      </c>
      <c r="G14" s="38" t="inlineStr">
        <is>
          <t>none on this topic</t>
        </is>
      </c>
      <c r="H14" s="41" t="n"/>
      <c r="I14" s="42" t="inlineStr">
        <is>
          <t>none for this topic</t>
        </is>
      </c>
      <c r="J14" s="38" t="inlineStr">
        <is>
          <t>none on this topic</t>
        </is>
      </c>
      <c r="K14" s="41" t="n"/>
      <c r="L14" s="41" t="n"/>
      <c r="M14" s="31" t="inlineStr">
        <is>
          <t>Applied 1 Ch1</t>
        </is>
      </c>
      <c r="N14" s="38" t="inlineStr">
        <is>
          <t>none</t>
        </is>
      </c>
      <c r="O14" s="40" t="n"/>
      <c r="P14" t="inlineStr">
        <is>
          <t>S2</t>
        </is>
      </c>
    </row>
    <row r="15" outlineLevel="1" ht="32" customHeight="1">
      <c r="A15" s="31" t="inlineStr">
        <is>
          <t>S2.3</t>
        </is>
      </c>
      <c r="B15" s="32" t="inlineStr">
        <is>
          <t>Mean, median and mode (incl. grouped data)</t>
        </is>
      </c>
      <c r="C15" s="33" t="n">
        <v>1</v>
      </c>
      <c r="D15" s="34" t="n"/>
      <c r="E15" s="35" t="n"/>
      <c r="F15" s="36" t="inlineStr">
        <is>
          <t>▶ Watch</t>
        </is>
      </c>
      <c r="G15" s="36" t="inlineStr">
        <is>
          <t>Q 1–4</t>
        </is>
      </c>
      <c r="H15" s="36" t="inlineStr">
        <is>
          <t>Answers</t>
        </is>
      </c>
      <c r="I15" s="35" t="inlineStr">
        <is>
          <t>Data Presentation</t>
        </is>
      </c>
      <c r="J15" s="36" t="inlineStr">
        <is>
          <t>Pages 1–3</t>
        </is>
      </c>
      <c r="K15" s="36" t="inlineStr">
        <is>
          <t>Marks</t>
        </is>
      </c>
      <c r="L15" s="36" t="inlineStr">
        <is>
          <t>Answers</t>
        </is>
      </c>
      <c r="M15" s="31" t="inlineStr">
        <is>
          <t>Applied 1 Ch2</t>
        </is>
      </c>
      <c r="N15" s="37" t="inlineStr">
        <is>
          <t>Pages 1, 3, 8, 9, 11–13, 16</t>
        </is>
      </c>
      <c r="O15" s="37" t="inlineStr">
        <is>
          <t>Marks</t>
        </is>
      </c>
      <c r="P15" t="inlineStr">
        <is>
          <t>S2</t>
        </is>
      </c>
    </row>
    <row r="16" outlineLevel="1" ht="32" customHeight="1">
      <c r="A16" s="31" t="inlineStr">
        <is>
          <t>S2.3</t>
        </is>
      </c>
      <c r="B16" s="32" t="inlineStr">
        <is>
          <t>Quartiles, percentiles and interpolation</t>
        </is>
      </c>
      <c r="C16" s="33" t="n">
        <v>1</v>
      </c>
      <c r="D16" s="34" t="n"/>
      <c r="E16" s="35" t="n"/>
      <c r="F16" s="36" t="inlineStr">
        <is>
          <t>▶ Watch</t>
        </is>
      </c>
      <c r="G16" s="36" t="inlineStr">
        <is>
          <t>Q 1–4</t>
        </is>
      </c>
      <c r="H16" s="36" t="inlineStr">
        <is>
          <t>Answers</t>
        </is>
      </c>
      <c r="I16" s="35" t="inlineStr">
        <is>
          <t>Data Presentation</t>
        </is>
      </c>
      <c r="J16" s="36" t="inlineStr">
        <is>
          <t>Pages 1, 2</t>
        </is>
      </c>
      <c r="K16" s="36" t="inlineStr">
        <is>
          <t>Marks</t>
        </is>
      </c>
      <c r="L16" s="36" t="inlineStr">
        <is>
          <t>Answers</t>
        </is>
      </c>
      <c r="M16" s="31" t="inlineStr">
        <is>
          <t>Applied 1 Ch2</t>
        </is>
      </c>
      <c r="N16" s="37" t="inlineStr">
        <is>
          <t>Pages 1, 3, 8, 9, 11, 12, 16</t>
        </is>
      </c>
      <c r="O16" s="37" t="inlineStr">
        <is>
          <t>Marks</t>
        </is>
      </c>
      <c r="P16" t="inlineStr">
        <is>
          <t>S2</t>
        </is>
      </c>
    </row>
    <row r="17" outlineLevel="1" ht="32" customHeight="1">
      <c r="A17" s="31" t="inlineStr">
        <is>
          <t>S2.3</t>
        </is>
      </c>
      <c r="B17" s="32" t="inlineStr">
        <is>
          <t>Range, IQR, variance and standard deviation</t>
        </is>
      </c>
      <c r="C17" s="33" t="n">
        <v>1</v>
      </c>
      <c r="D17" s="34" t="n"/>
      <c r="E17" s="35" t="n"/>
      <c r="F17" s="36" t="inlineStr">
        <is>
          <t>▶ Watch</t>
        </is>
      </c>
      <c r="G17" s="36" t="inlineStr">
        <is>
          <t>Q 1–7</t>
        </is>
      </c>
      <c r="H17" s="36" t="inlineStr">
        <is>
          <t>Answers</t>
        </is>
      </c>
      <c r="I17" s="35" t="inlineStr">
        <is>
          <t>Large data sets (Yr 2)</t>
        </is>
      </c>
      <c r="J17" s="36" t="inlineStr">
        <is>
          <t>Pages 1–4</t>
        </is>
      </c>
      <c r="K17" s="36" t="inlineStr">
        <is>
          <t>Marks</t>
        </is>
      </c>
      <c r="L17" s="36" t="inlineStr">
        <is>
          <t>Answers</t>
        </is>
      </c>
      <c r="M17" s="31" t="inlineStr">
        <is>
          <t>Applied 1 Ch2</t>
        </is>
      </c>
      <c r="N17" s="37" t="inlineStr">
        <is>
          <t>Pages 2, 3, 5, 6, 9, 12, 13</t>
        </is>
      </c>
      <c r="O17" s="37" t="inlineStr">
        <is>
          <t>Marks</t>
        </is>
      </c>
      <c r="P17" t="inlineStr">
        <is>
          <t>S2</t>
        </is>
      </c>
    </row>
    <row r="18" outlineLevel="1" ht="20" customHeight="1">
      <c r="A18" s="31" t="inlineStr">
        <is>
          <t>S2.3</t>
        </is>
      </c>
      <c r="B18" s="32" t="inlineStr">
        <is>
          <t>Coding</t>
        </is>
      </c>
      <c r="C18" s="33" t="n">
        <v>1</v>
      </c>
      <c r="D18" s="34" t="n"/>
      <c r="E18" s="35" t="n"/>
      <c r="F18" s="36" t="inlineStr">
        <is>
          <t>▶ Watch</t>
        </is>
      </c>
      <c r="G18" s="36" t="inlineStr">
        <is>
          <t>Q 2</t>
        </is>
      </c>
      <c r="H18" s="36" t="inlineStr">
        <is>
          <t>Answers</t>
        </is>
      </c>
      <c r="I18" s="35" t="inlineStr">
        <is>
          <t>Large data sets (Yr 2)</t>
        </is>
      </c>
      <c r="J18" s="36" t="inlineStr">
        <is>
          <t>Page 1</t>
        </is>
      </c>
      <c r="K18" s="36" t="inlineStr">
        <is>
          <t>Marks</t>
        </is>
      </c>
      <c r="L18" s="36" t="inlineStr">
        <is>
          <t>Answers</t>
        </is>
      </c>
      <c r="M18" s="31" t="inlineStr">
        <is>
          <t>Applied 1 Ch2</t>
        </is>
      </c>
      <c r="N18" s="37" t="inlineStr">
        <is>
          <t>Page 13</t>
        </is>
      </c>
      <c r="O18" s="37" t="inlineStr">
        <is>
          <t>Marks</t>
        </is>
      </c>
      <c r="P18" t="inlineStr">
        <is>
          <t>S2</t>
        </is>
      </c>
    </row>
    <row r="19" outlineLevel="1" ht="32" customHeight="1">
      <c r="A19" s="31" t="inlineStr">
        <is>
          <t>S2.1</t>
        </is>
      </c>
      <c r="B19" s="32" t="inlineStr">
        <is>
          <t>Box plots</t>
        </is>
      </c>
      <c r="C19" s="33" t="n">
        <v>1</v>
      </c>
      <c r="D19" s="34" t="n"/>
      <c r="E19" s="35" t="n"/>
      <c r="F19" s="36" t="inlineStr">
        <is>
          <t>▶ Watch</t>
        </is>
      </c>
      <c r="G19" s="36" t="inlineStr">
        <is>
          <t>Q 5–7, 9</t>
        </is>
      </c>
      <c r="H19" s="36" t="inlineStr">
        <is>
          <t>Answers</t>
        </is>
      </c>
      <c r="I19" s="35" t="inlineStr">
        <is>
          <t>Set A: Representation and summary data</t>
        </is>
      </c>
      <c r="J19" s="36" t="inlineStr">
        <is>
          <t>Pages 13, 19, 24–26, 30, 32, 33</t>
        </is>
      </c>
      <c r="K19" s="38" t="inlineStr">
        <is>
          <t>in the PDF</t>
        </is>
      </c>
      <c r="L19" s="38" t="inlineStr">
        <is>
          <t>in the PDF</t>
        </is>
      </c>
      <c r="M19" s="31" t="inlineStr">
        <is>
          <t>Applied 1 Ch3</t>
        </is>
      </c>
      <c r="N19" s="37" t="inlineStr">
        <is>
          <t>Pages 2, 8, 15</t>
        </is>
      </c>
      <c r="O19" s="37" t="inlineStr">
        <is>
          <t>Marks</t>
        </is>
      </c>
      <c r="P19" t="inlineStr">
        <is>
          <t>S2</t>
        </is>
      </c>
    </row>
    <row r="20" outlineLevel="1" ht="20" customHeight="1">
      <c r="A20" s="31" t="inlineStr">
        <is>
          <t>S2.1</t>
        </is>
      </c>
      <c r="B20" s="32" t="inlineStr">
        <is>
          <t>Cumulative frequency diagrams</t>
        </is>
      </c>
      <c r="C20" s="33" t="n">
        <v>1</v>
      </c>
      <c r="D20" s="34" t="n"/>
      <c r="E20" s="35" t="n"/>
      <c r="F20" s="36" t="inlineStr">
        <is>
          <t>▶ Watch</t>
        </is>
      </c>
      <c r="G20" s="38" t="inlineStr">
        <is>
          <t>none on this topic</t>
        </is>
      </c>
      <c r="H20" s="41" t="n"/>
      <c r="I20" s="42" t="inlineStr">
        <is>
          <t>none for this topic</t>
        </is>
      </c>
      <c r="J20" s="38" t="inlineStr">
        <is>
          <t>none on this topic</t>
        </is>
      </c>
      <c r="K20" s="41" t="n"/>
      <c r="L20" s="41" t="n"/>
      <c r="M20" s="31" t="inlineStr">
        <is>
          <t>Applied 1 Ch3</t>
        </is>
      </c>
      <c r="N20" s="38" t="inlineStr">
        <is>
          <t>none</t>
        </is>
      </c>
      <c r="O20" s="40" t="n"/>
      <c r="P20" t="inlineStr">
        <is>
          <t>S2</t>
        </is>
      </c>
    </row>
    <row r="21" outlineLevel="1" ht="32" customHeight="1">
      <c r="A21" s="31" t="inlineStr">
        <is>
          <t>S2.1</t>
        </is>
      </c>
      <c r="B21" s="32" t="inlineStr">
        <is>
          <t>Histograms (frequency density) and frequency polygons</t>
        </is>
      </c>
      <c r="C21" s="33" t="n">
        <v>1</v>
      </c>
      <c r="D21" s="34" t="n"/>
      <c r="E21" s="35" t="n"/>
      <c r="F21" s="36" t="inlineStr">
        <is>
          <t>▶ Watch</t>
        </is>
      </c>
      <c r="G21" s="36" t="inlineStr">
        <is>
          <t>Q 1–4, 10</t>
        </is>
      </c>
      <c r="H21" s="36" t="inlineStr">
        <is>
          <t>Answers</t>
        </is>
      </c>
      <c r="I21" s="35" t="inlineStr">
        <is>
          <t>Data Presentation</t>
        </is>
      </c>
      <c r="J21" s="36" t="inlineStr">
        <is>
          <t>Pages 1–4</t>
        </is>
      </c>
      <c r="K21" s="36" t="inlineStr">
        <is>
          <t>Marks</t>
        </is>
      </c>
      <c r="L21" s="36" t="inlineStr">
        <is>
          <t>Answers</t>
        </is>
      </c>
      <c r="M21" s="31" t="inlineStr">
        <is>
          <t>Applied 1 Ch3</t>
        </is>
      </c>
      <c r="N21" s="37" t="inlineStr">
        <is>
          <t>Pages 1, 4, 7, 10–12, 14, 16</t>
        </is>
      </c>
      <c r="O21" s="37" t="inlineStr">
        <is>
          <t>Marks</t>
        </is>
      </c>
      <c r="P21" t="inlineStr">
        <is>
          <t>S2</t>
        </is>
      </c>
    </row>
    <row r="22" outlineLevel="1" ht="20" customHeight="1">
      <c r="A22" s="31" t="inlineStr">
        <is>
          <t>S2.4</t>
        </is>
      </c>
      <c r="B22" s="32" t="inlineStr">
        <is>
          <t>Outliers and cleaning data</t>
        </is>
      </c>
      <c r="C22" s="33" t="n">
        <v>1</v>
      </c>
      <c r="D22" s="34" t="n"/>
      <c r="E22" s="35" t="n"/>
      <c r="F22" s="36" t="inlineStr">
        <is>
          <t>▶ Watch</t>
        </is>
      </c>
      <c r="G22" s="36" t="inlineStr">
        <is>
          <t>Q 5–7, 9</t>
        </is>
      </c>
      <c r="H22" s="36" t="inlineStr">
        <is>
          <t>Answers</t>
        </is>
      </c>
      <c r="I22" s="35" t="inlineStr">
        <is>
          <t>Data Presentation</t>
        </is>
      </c>
      <c r="J22" s="36" t="inlineStr">
        <is>
          <t>Page 1</t>
        </is>
      </c>
      <c r="K22" s="36" t="inlineStr">
        <is>
          <t>Marks</t>
        </is>
      </c>
      <c r="L22" s="36" t="inlineStr">
        <is>
          <t>Answers</t>
        </is>
      </c>
      <c r="M22" s="31" t="inlineStr">
        <is>
          <t>Applied 1 Ch3</t>
        </is>
      </c>
      <c r="N22" s="37" t="inlineStr">
        <is>
          <t>Pages 1, 3, 8, 15</t>
        </is>
      </c>
      <c r="O22" s="37" t="inlineStr">
        <is>
          <t>Marks</t>
        </is>
      </c>
      <c r="P22" t="inlineStr">
        <is>
          <t>S2</t>
        </is>
      </c>
    </row>
    <row r="23" outlineLevel="1" ht="20" customHeight="1">
      <c r="A23" s="31" t="inlineStr">
        <is>
          <t>S2.4</t>
        </is>
      </c>
      <c r="B23" s="32" t="inlineStr">
        <is>
          <t>Comparing distributions</t>
        </is>
      </c>
      <c r="C23" s="33" t="n">
        <v>1</v>
      </c>
      <c r="D23" s="34" t="n"/>
      <c r="E23" s="35" t="n"/>
      <c r="F23" s="36" t="inlineStr">
        <is>
          <t>▶ Watch</t>
        </is>
      </c>
      <c r="G23" s="36" t="inlineStr">
        <is>
          <t>Q 7, 8</t>
        </is>
      </c>
      <c r="H23" s="36" t="inlineStr">
        <is>
          <t>Answers</t>
        </is>
      </c>
      <c r="I23" s="35" t="inlineStr">
        <is>
          <t>Large data sets</t>
        </is>
      </c>
      <c r="J23" s="36" t="inlineStr">
        <is>
          <t>Page 5</t>
        </is>
      </c>
      <c r="K23" s="36" t="inlineStr">
        <is>
          <t>Marks</t>
        </is>
      </c>
      <c r="L23" s="36" t="inlineStr">
        <is>
          <t>Answers</t>
        </is>
      </c>
      <c r="M23" s="31" t="inlineStr">
        <is>
          <t>Applied 1 Ch3</t>
        </is>
      </c>
      <c r="N23" s="37" t="inlineStr">
        <is>
          <t>Pages 8, 16</t>
        </is>
      </c>
      <c r="O23" s="37" t="inlineStr">
        <is>
          <t>Marks</t>
        </is>
      </c>
      <c r="P23" t="inlineStr">
        <is>
          <t>S2</t>
        </is>
      </c>
    </row>
    <row r="24" outlineLevel="1" ht="32" customHeight="1">
      <c r="A24" s="31" t="inlineStr">
        <is>
          <t>S2.2</t>
        </is>
      </c>
      <c r="B24" s="32" t="inlineStr">
        <is>
          <t>Scatter diagrams and correlation (correlation vs causation)</t>
        </is>
      </c>
      <c r="C24" s="33" t="n">
        <v>1</v>
      </c>
      <c r="D24" s="34" t="n"/>
      <c r="E24" s="35" t="n"/>
      <c r="F24" s="36" t="inlineStr">
        <is>
          <t>▶ Watch</t>
        </is>
      </c>
      <c r="G24" s="36" t="inlineStr">
        <is>
          <t>Q 1, 2</t>
        </is>
      </c>
      <c r="H24" s="36" t="inlineStr">
        <is>
          <t>Answers</t>
        </is>
      </c>
      <c r="I24" s="35" t="inlineStr">
        <is>
          <t>Regression and Correlation</t>
        </is>
      </c>
      <c r="J24" s="36" t="inlineStr">
        <is>
          <t>Pages 1, 2, 4</t>
        </is>
      </c>
      <c r="K24" s="36" t="inlineStr">
        <is>
          <t>Marks</t>
        </is>
      </c>
      <c r="L24" s="36" t="inlineStr">
        <is>
          <t>Answers</t>
        </is>
      </c>
      <c r="M24" s="31" t="inlineStr">
        <is>
          <t>Applied 1 Ch4</t>
        </is>
      </c>
      <c r="N24" s="37" t="inlineStr">
        <is>
          <t>Pages 1, 3, 5</t>
        </is>
      </c>
      <c r="O24" s="37" t="inlineStr">
        <is>
          <t>Marks</t>
        </is>
      </c>
      <c r="P24" t="inlineStr">
        <is>
          <t>S2</t>
        </is>
      </c>
    </row>
    <row r="25" outlineLevel="1" ht="20" customHeight="1">
      <c r="A25" s="31" t="inlineStr">
        <is>
          <t>S2.2</t>
        </is>
      </c>
      <c r="B25" s="32" t="inlineStr">
        <is>
          <t>Linear regression lines (interpolation and extrapolation)</t>
        </is>
      </c>
      <c r="C25" s="33" t="n">
        <v>1</v>
      </c>
      <c r="D25" s="34" t="n"/>
      <c r="E25" s="35" t="n"/>
      <c r="F25" s="36" t="inlineStr">
        <is>
          <t>▶ Watch</t>
        </is>
      </c>
      <c r="G25" s="36" t="inlineStr">
        <is>
          <t>Q 2, 3</t>
        </is>
      </c>
      <c r="H25" s="36" t="inlineStr">
        <is>
          <t>Answers</t>
        </is>
      </c>
      <c r="I25" s="35" t="inlineStr">
        <is>
          <t>Regression and Correlation</t>
        </is>
      </c>
      <c r="J25" s="36" t="inlineStr">
        <is>
          <t>Page 1</t>
        </is>
      </c>
      <c r="K25" s="36" t="inlineStr">
        <is>
          <t>Marks</t>
        </is>
      </c>
      <c r="L25" s="36" t="inlineStr">
        <is>
          <t>Answers</t>
        </is>
      </c>
      <c r="M25" s="31" t="inlineStr">
        <is>
          <t>Applied 1 Ch4</t>
        </is>
      </c>
      <c r="N25" s="37" t="inlineStr">
        <is>
          <t>Pages 1, 2, 5</t>
        </is>
      </c>
      <c r="O25" s="37" t="inlineStr">
        <is>
          <t>Marks</t>
        </is>
      </c>
      <c r="P25" t="inlineStr">
        <is>
          <t>S2</t>
        </is>
      </c>
    </row>
    <row r="26" outlineLevel="1" ht="20" customHeight="1">
      <c r="A26" s="31" t="inlineStr">
        <is>
          <t>S2.2</t>
        </is>
      </c>
      <c r="B26" s="32" t="inlineStr">
        <is>
          <t>Exponential models and log coding (y = axⁿ, y = kbˣ)</t>
        </is>
      </c>
      <c r="C26" s="50" t="n">
        <v>2</v>
      </c>
      <c r="D26" s="34" t="n"/>
      <c r="E26" s="35" t="n"/>
      <c r="F26" s="36" t="inlineStr">
        <is>
          <t>▶ Watch</t>
        </is>
      </c>
      <c r="G26" s="36" t="inlineStr">
        <is>
          <t>Q 6–9</t>
        </is>
      </c>
      <c r="H26" s="36" t="inlineStr">
        <is>
          <t>Answers</t>
        </is>
      </c>
      <c r="I26" s="35" t="inlineStr">
        <is>
          <t>Regression and Correlation</t>
        </is>
      </c>
      <c r="J26" s="36" t="inlineStr">
        <is>
          <t>Page 4</t>
        </is>
      </c>
      <c r="K26" s="36" t="inlineStr">
        <is>
          <t>Marks</t>
        </is>
      </c>
      <c r="L26" s="36" t="inlineStr">
        <is>
          <t>Answers</t>
        </is>
      </c>
      <c r="M26" s="31" t="inlineStr">
        <is>
          <t>Applied 2 Ch1</t>
        </is>
      </c>
      <c r="N26" s="38" t="inlineStr">
        <is>
          <t>none</t>
        </is>
      </c>
      <c r="O26" s="40" t="n"/>
      <c r="P26" t="inlineStr">
        <is>
          <t>S2</t>
        </is>
      </c>
    </row>
    <row r="27" outlineLevel="1" ht="20" customHeight="1">
      <c r="A27" s="31" t="inlineStr">
        <is>
          <t>LDS</t>
        </is>
      </c>
      <c r="B27" s="32" t="inlineStr">
        <is>
          <t>The large data set (context and familiarity)</t>
        </is>
      </c>
      <c r="C27" s="33" t="n">
        <v>1</v>
      </c>
      <c r="D27" s="34" t="n"/>
      <c r="E27" s="35" t="n"/>
      <c r="F27" s="36" t="inlineStr">
        <is>
          <t>▶ Watch</t>
        </is>
      </c>
      <c r="G27" s="38" t="inlineStr">
        <is>
          <t>none on this topic</t>
        </is>
      </c>
      <c r="H27" s="41" t="n"/>
      <c r="I27" s="35" t="inlineStr">
        <is>
          <t>Large data sets</t>
        </is>
      </c>
      <c r="J27" s="36" t="inlineStr">
        <is>
          <t>Pages 1, 2, 4–6</t>
        </is>
      </c>
      <c r="K27" s="36" t="inlineStr">
        <is>
          <t>Marks</t>
        </is>
      </c>
      <c r="L27" s="36" t="inlineStr">
        <is>
          <t>Answers</t>
        </is>
      </c>
      <c r="M27" s="31" t="inlineStr">
        <is>
          <t>Applied 1 Ch1</t>
        </is>
      </c>
      <c r="N27" s="37" t="inlineStr">
        <is>
          <t>Pages 2, 3, 6</t>
        </is>
      </c>
      <c r="O27" s="37" t="inlineStr">
        <is>
          <t>Marks</t>
        </is>
      </c>
      <c r="P27" t="inlineStr">
        <is>
          <t>S2</t>
        </is>
      </c>
    </row>
    <row r="28" ht="10" customHeight="1"/>
    <row r="29" ht="26" customHeight="1">
      <c r="A29" s="46" t="inlineStr">
        <is>
          <t>3</t>
        </is>
      </c>
      <c r="B29" s="47" t="inlineStr">
        <is>
          <t>Probability</t>
        </is>
      </c>
      <c r="C29" s="48" t="n"/>
      <c r="D29" s="48" t="n"/>
      <c r="E29" s="49" t="inlineStr">
        <is>
          <t>10 topics  ·  Year 1: 4  ·  Year 2: 6</t>
        </is>
      </c>
      <c r="F29" s="48" t="n"/>
      <c r="G29" s="48" t="n"/>
      <c r="H29" s="48" t="n"/>
      <c r="I29" s="48" t="n"/>
      <c r="J29" s="48" t="n"/>
      <c r="K29" s="48" t="n"/>
      <c r="L29" s="48" t="n"/>
      <c r="M29" s="48" t="n"/>
      <c r="N29" s="48" t="n"/>
      <c r="O29" s="48" t="n"/>
    </row>
    <row r="30" outlineLevel="1" ht="20" customHeight="1">
      <c r="A30" s="31" t="inlineStr">
        <is>
          <t>S3.1</t>
        </is>
      </c>
      <c r="B30" s="32" t="inlineStr">
        <is>
          <t>Calculating probabilities and sample spaces</t>
        </is>
      </c>
      <c r="C30" s="33" t="n">
        <v>1</v>
      </c>
      <c r="D30" s="34" t="n"/>
      <c r="E30" s="35" t="n"/>
      <c r="F30" s="36" t="inlineStr">
        <is>
          <t>▶ Watch</t>
        </is>
      </c>
      <c r="G30" s="36" t="inlineStr">
        <is>
          <t>Q 3, 5, 6</t>
        </is>
      </c>
      <c r="H30" s="36" t="inlineStr">
        <is>
          <t>Answers</t>
        </is>
      </c>
      <c r="I30" s="35" t="inlineStr">
        <is>
          <t>Probability</t>
        </is>
      </c>
      <c r="J30" s="36" t="inlineStr">
        <is>
          <t>Pages 2, 4</t>
        </is>
      </c>
      <c r="K30" s="36" t="inlineStr">
        <is>
          <t>Marks</t>
        </is>
      </c>
      <c r="L30" s="36" t="inlineStr">
        <is>
          <t>Answers</t>
        </is>
      </c>
      <c r="M30" s="31" t="inlineStr">
        <is>
          <t>Applied 1 Ch5</t>
        </is>
      </c>
      <c r="N30" s="37" t="inlineStr">
        <is>
          <t>Pages 1, 4, 6</t>
        </is>
      </c>
      <c r="O30" s="37" t="inlineStr">
        <is>
          <t>Marks</t>
        </is>
      </c>
      <c r="P30" t="inlineStr">
        <is>
          <t>S3</t>
        </is>
      </c>
    </row>
    <row r="31" outlineLevel="1" ht="20" customHeight="1">
      <c r="A31" s="31" t="inlineStr">
        <is>
          <t>S3.1</t>
        </is>
      </c>
      <c r="B31" s="32" t="inlineStr">
        <is>
          <t>Venn diagrams</t>
        </is>
      </c>
      <c r="C31" s="33" t="n">
        <v>1</v>
      </c>
      <c r="D31" s="34" t="n"/>
      <c r="E31" s="35" t="n"/>
      <c r="F31" s="36" t="inlineStr">
        <is>
          <t>▶ Watch</t>
        </is>
      </c>
      <c r="G31" s="36" t="inlineStr">
        <is>
          <t>Q 1–7</t>
        </is>
      </c>
      <c r="H31" s="36" t="inlineStr">
        <is>
          <t>Answers</t>
        </is>
      </c>
      <c r="I31" s="35" t="inlineStr">
        <is>
          <t>Probability</t>
        </is>
      </c>
      <c r="J31" s="36" t="inlineStr">
        <is>
          <t>Pages 5, 9, 11</t>
        </is>
      </c>
      <c r="K31" s="36" t="inlineStr">
        <is>
          <t>Marks</t>
        </is>
      </c>
      <c r="L31" s="36" t="inlineStr">
        <is>
          <t>Answers</t>
        </is>
      </c>
      <c r="M31" s="31" t="inlineStr">
        <is>
          <t>Applied 1 Ch5</t>
        </is>
      </c>
      <c r="N31" s="37" t="inlineStr">
        <is>
          <t>Pages 3, 5, 7, 9</t>
        </is>
      </c>
      <c r="O31" s="37" t="inlineStr">
        <is>
          <t>Marks</t>
        </is>
      </c>
      <c r="P31" t="inlineStr">
        <is>
          <t>S3</t>
        </is>
      </c>
    </row>
    <row r="32" outlineLevel="1" ht="20" customHeight="1">
      <c r="A32" s="31" t="inlineStr">
        <is>
          <t>S3.1</t>
        </is>
      </c>
      <c r="B32" s="32" t="inlineStr">
        <is>
          <t>Mutually exclusive and independent events</t>
        </is>
      </c>
      <c r="C32" s="33" t="n">
        <v>1</v>
      </c>
      <c r="D32" s="34" t="n"/>
      <c r="E32" s="35" t="n"/>
      <c r="F32" s="36" t="inlineStr">
        <is>
          <t>▶ Watch</t>
        </is>
      </c>
      <c r="G32" s="36" t="inlineStr">
        <is>
          <t>Q 1, 2, 4–6</t>
        </is>
      </c>
      <c r="H32" s="36" t="inlineStr">
        <is>
          <t>Answers</t>
        </is>
      </c>
      <c r="I32" s="35" t="inlineStr">
        <is>
          <t>Probability</t>
        </is>
      </c>
      <c r="J32" s="36" t="inlineStr">
        <is>
          <t>Pages 5, 11</t>
        </is>
      </c>
      <c r="K32" s="36" t="inlineStr">
        <is>
          <t>Marks</t>
        </is>
      </c>
      <c r="L32" s="36" t="inlineStr">
        <is>
          <t>Answers</t>
        </is>
      </c>
      <c r="M32" s="31" t="inlineStr">
        <is>
          <t>Applied 1 Ch5</t>
        </is>
      </c>
      <c r="N32" s="37" t="inlineStr">
        <is>
          <t>Pages 3, 5, 7</t>
        </is>
      </c>
      <c r="O32" s="37" t="inlineStr">
        <is>
          <t>Marks</t>
        </is>
      </c>
      <c r="P32" t="inlineStr">
        <is>
          <t>S3</t>
        </is>
      </c>
    </row>
    <row r="33" outlineLevel="1" ht="20" customHeight="1">
      <c r="A33" s="31" t="inlineStr">
        <is>
          <t>S3.1</t>
        </is>
      </c>
      <c r="B33" s="32" t="inlineStr">
        <is>
          <t>Tree diagrams</t>
        </is>
      </c>
      <c r="C33" s="33" t="n">
        <v>1</v>
      </c>
      <c r="D33" s="34" t="n"/>
      <c r="E33" s="35" t="n"/>
      <c r="F33" s="36" t="inlineStr">
        <is>
          <t>▶ Watch</t>
        </is>
      </c>
      <c r="G33" s="36" t="inlineStr">
        <is>
          <t>Q 5, 6</t>
        </is>
      </c>
      <c r="H33" s="36" t="inlineStr">
        <is>
          <t>Answers</t>
        </is>
      </c>
      <c r="I33" s="35" t="inlineStr">
        <is>
          <t>Probability</t>
        </is>
      </c>
      <c r="J33" s="36" t="inlineStr">
        <is>
          <t>Page 2</t>
        </is>
      </c>
      <c r="K33" s="36" t="inlineStr">
        <is>
          <t>Marks</t>
        </is>
      </c>
      <c r="L33" s="36" t="inlineStr">
        <is>
          <t>Answers</t>
        </is>
      </c>
      <c r="M33" s="31" t="inlineStr">
        <is>
          <t>Applied 1 Ch5</t>
        </is>
      </c>
      <c r="N33" s="37" t="inlineStr">
        <is>
          <t>Pages 1, 6, 8</t>
        </is>
      </c>
      <c r="O33" s="37" t="inlineStr">
        <is>
          <t>Marks</t>
        </is>
      </c>
      <c r="P33" t="inlineStr">
        <is>
          <t>S3</t>
        </is>
      </c>
    </row>
    <row r="34" outlineLevel="1" ht="32" customHeight="1">
      <c r="A34" s="31" t="inlineStr">
        <is>
          <t>S3.1</t>
        </is>
      </c>
      <c r="B34" s="32" t="inlineStr">
        <is>
          <t>Set notation for probability</t>
        </is>
      </c>
      <c r="C34" s="50" t="n">
        <v>2</v>
      </c>
      <c r="D34" s="34" t="n"/>
      <c r="E34" s="35" t="n"/>
      <c r="F34" s="36" t="inlineStr">
        <is>
          <t>▶ Watch</t>
        </is>
      </c>
      <c r="G34" s="36" t="inlineStr">
        <is>
          <t>Q 1–4</t>
        </is>
      </c>
      <c r="H34" s="36" t="inlineStr">
        <is>
          <t>Answers</t>
        </is>
      </c>
      <c r="I34" s="35" t="inlineStr">
        <is>
          <t>Probability (Yr 2)</t>
        </is>
      </c>
      <c r="J34" s="36" t="inlineStr">
        <is>
          <t>Pages 3, 5, 6</t>
        </is>
      </c>
      <c r="K34" s="36" t="inlineStr">
        <is>
          <t>Marks</t>
        </is>
      </c>
      <c r="L34" s="36" t="inlineStr">
        <is>
          <t>Answers</t>
        </is>
      </c>
      <c r="M34" s="31" t="inlineStr">
        <is>
          <t>Applied 2 Ch2</t>
        </is>
      </c>
      <c r="N34" s="37" t="inlineStr">
        <is>
          <t>Pages 6–8, 11, 15, 19</t>
        </is>
      </c>
      <c r="O34" s="37" t="inlineStr">
        <is>
          <t>Marks</t>
        </is>
      </c>
      <c r="P34" t="inlineStr">
        <is>
          <t>S3</t>
        </is>
      </c>
    </row>
    <row r="35" outlineLevel="1" ht="32" customHeight="1">
      <c r="A35" s="31" t="inlineStr">
        <is>
          <t>S3.2</t>
        </is>
      </c>
      <c r="B35" s="32" t="inlineStr">
        <is>
          <t>Conditional probability (incl. two-way tables)</t>
        </is>
      </c>
      <c r="C35" s="50" t="n">
        <v>2</v>
      </c>
      <c r="D35" s="34" t="n"/>
      <c r="E35" s="35" t="n"/>
      <c r="F35" s="36" t="inlineStr">
        <is>
          <t>▶ Watch</t>
        </is>
      </c>
      <c r="G35" s="36" t="inlineStr">
        <is>
          <t>Q 1, 2, 4–8, 10</t>
        </is>
      </c>
      <c r="H35" s="36" t="inlineStr">
        <is>
          <t>Answers</t>
        </is>
      </c>
      <c r="I35" s="35" t="inlineStr">
        <is>
          <t>Conditional Probability (Yr 2)</t>
        </is>
      </c>
      <c r="J35" s="36" t="inlineStr">
        <is>
          <t>Pages 1, 2, 5</t>
        </is>
      </c>
      <c r="K35" s="36" t="inlineStr">
        <is>
          <t>Marks</t>
        </is>
      </c>
      <c r="L35" s="36" t="inlineStr">
        <is>
          <t>Answers</t>
        </is>
      </c>
      <c r="M35" s="31" t="inlineStr">
        <is>
          <t>Applied 2 Ch2</t>
        </is>
      </c>
      <c r="N35" s="37" t="inlineStr">
        <is>
          <t>Pages 9, 10, 12, 14, 16–18, 21</t>
        </is>
      </c>
      <c r="O35" s="37" t="inlineStr">
        <is>
          <t>Marks</t>
        </is>
      </c>
      <c r="P35" t="inlineStr">
        <is>
          <t>S3</t>
        </is>
      </c>
    </row>
    <row r="36" outlineLevel="1" ht="32" customHeight="1">
      <c r="A36" s="31" t="inlineStr">
        <is>
          <t>S3.2</t>
        </is>
      </c>
      <c r="B36" s="32" t="inlineStr">
        <is>
          <t>Conditional probability with Venn diagrams</t>
        </is>
      </c>
      <c r="C36" s="50" t="n">
        <v>2</v>
      </c>
      <c r="D36" s="34" t="n"/>
      <c r="E36" s="35" t="n"/>
      <c r="F36" s="36" t="inlineStr">
        <is>
          <t>▶ Watch</t>
        </is>
      </c>
      <c r="G36" s="36" t="inlineStr">
        <is>
          <t>Q 7, 10</t>
        </is>
      </c>
      <c r="H36" s="36" t="inlineStr">
        <is>
          <t>Answers</t>
        </is>
      </c>
      <c r="I36" s="35" t="inlineStr">
        <is>
          <t>Conditional Probability (Yr 2)</t>
        </is>
      </c>
      <c r="J36" s="36" t="inlineStr">
        <is>
          <t>Pages 1, 2, 4</t>
        </is>
      </c>
      <c r="K36" s="36" t="inlineStr">
        <is>
          <t>Marks</t>
        </is>
      </c>
      <c r="L36" s="36" t="inlineStr">
        <is>
          <t>Answers</t>
        </is>
      </c>
      <c r="M36" s="31" t="inlineStr">
        <is>
          <t>Applied 2 Ch2</t>
        </is>
      </c>
      <c r="N36" s="37" t="inlineStr">
        <is>
          <t>Pages 4, 7, 9, 14, 16, 19, 20</t>
        </is>
      </c>
      <c r="O36" s="37" t="inlineStr">
        <is>
          <t>Marks</t>
        </is>
      </c>
      <c r="P36" t="inlineStr">
        <is>
          <t>S3</t>
        </is>
      </c>
    </row>
    <row r="37" outlineLevel="1" ht="32" customHeight="1">
      <c r="A37" s="31" t="inlineStr">
        <is>
          <t>S3.2</t>
        </is>
      </c>
      <c r="B37" s="32" t="inlineStr">
        <is>
          <t>Probability formulae: P(A ∪ B) and P(A | B)</t>
        </is>
      </c>
      <c r="C37" s="50" t="n">
        <v>2</v>
      </c>
      <c r="D37" s="34" t="n"/>
      <c r="E37" s="35" t="n"/>
      <c r="F37" s="36" t="inlineStr">
        <is>
          <t>▶ Watch</t>
        </is>
      </c>
      <c r="G37" s="36" t="inlineStr">
        <is>
          <t>Q 1–4</t>
        </is>
      </c>
      <c r="H37" s="36" t="inlineStr">
        <is>
          <t>Answers</t>
        </is>
      </c>
      <c r="I37" s="35" t="inlineStr">
        <is>
          <t>Probability (Yr 2)</t>
        </is>
      </c>
      <c r="J37" s="36" t="inlineStr">
        <is>
          <t>Pages 5, 6</t>
        </is>
      </c>
      <c r="K37" s="36" t="inlineStr">
        <is>
          <t>Marks</t>
        </is>
      </c>
      <c r="L37" s="36" t="inlineStr">
        <is>
          <t>Answers</t>
        </is>
      </c>
      <c r="M37" s="31" t="inlineStr">
        <is>
          <t>Applied 2 Ch2</t>
        </is>
      </c>
      <c r="N37" s="37" t="inlineStr">
        <is>
          <t>Pages 6, 7, 11, 15, 19</t>
        </is>
      </c>
      <c r="O37" s="37" t="inlineStr">
        <is>
          <t>Marks</t>
        </is>
      </c>
      <c r="P37" t="inlineStr">
        <is>
          <t>S3</t>
        </is>
      </c>
    </row>
    <row r="38" outlineLevel="1" ht="32" customHeight="1">
      <c r="A38" s="31" t="inlineStr">
        <is>
          <t>S3.2</t>
        </is>
      </c>
      <c r="B38" s="32" t="inlineStr">
        <is>
          <t>Conditional probability with tree diagrams</t>
        </is>
      </c>
      <c r="C38" s="50" t="n">
        <v>2</v>
      </c>
      <c r="D38" s="34" t="n"/>
      <c r="E38" s="35" t="n"/>
      <c r="F38" s="36" t="inlineStr">
        <is>
          <t>▶ Watch</t>
        </is>
      </c>
      <c r="G38" s="36" t="inlineStr">
        <is>
          <t>Q 5, 6, 8</t>
        </is>
      </c>
      <c r="H38" s="36" t="inlineStr">
        <is>
          <t>Answers</t>
        </is>
      </c>
      <c r="I38" s="35" t="inlineStr">
        <is>
          <t>Set A: Probability (Yr 2)</t>
        </is>
      </c>
      <c r="J38" s="36" t="inlineStr">
        <is>
          <t>Pages 1, 4, 8, 11, 19</t>
        </is>
      </c>
      <c r="K38" s="38" t="inlineStr">
        <is>
          <t>in the PDF</t>
        </is>
      </c>
      <c r="L38" s="38" t="inlineStr">
        <is>
          <t>in the PDF</t>
        </is>
      </c>
      <c r="M38" s="31" t="inlineStr">
        <is>
          <t>Applied 2 Ch2</t>
        </is>
      </c>
      <c r="N38" s="37" t="inlineStr">
        <is>
          <t>Pages 8, 10, 17, 18</t>
        </is>
      </c>
      <c r="O38" s="37" t="inlineStr">
        <is>
          <t>Marks</t>
        </is>
      </c>
      <c r="P38" t="inlineStr">
        <is>
          <t>S3</t>
        </is>
      </c>
    </row>
    <row r="39" outlineLevel="1" ht="32" customHeight="1">
      <c r="A39" s="31" t="inlineStr">
        <is>
          <t>S3.3</t>
        </is>
      </c>
      <c r="B39" s="32" t="inlineStr">
        <is>
          <t>Modelling with probability: critiquing assumptions (e.g. a fair die)</t>
        </is>
      </c>
      <c r="C39" s="50" t="n">
        <v>2</v>
      </c>
      <c r="D39" s="34" t="n"/>
      <c r="E39" s="35" t="n"/>
      <c r="F39" s="36" t="inlineStr">
        <is>
          <t>▶ Watch</t>
        </is>
      </c>
      <c r="G39" s="36" t="inlineStr">
        <is>
          <t>Q 12, 14</t>
        </is>
      </c>
      <c r="H39" s="36" t="inlineStr">
        <is>
          <t>Answers</t>
        </is>
      </c>
      <c r="I39" s="35" t="inlineStr">
        <is>
          <t>Conditional Probability (Yr 2)</t>
        </is>
      </c>
      <c r="J39" s="36" t="inlineStr">
        <is>
          <t>Page 5</t>
        </is>
      </c>
      <c r="K39" s="36" t="inlineStr">
        <is>
          <t>Marks</t>
        </is>
      </c>
      <c r="L39" s="36" t="inlineStr">
        <is>
          <t>Answers</t>
        </is>
      </c>
      <c r="M39" s="31" t="inlineStr">
        <is>
          <t>Applied 2 Ch2</t>
        </is>
      </c>
      <c r="N39" s="37" t="inlineStr">
        <is>
          <t>Pages 1, 2</t>
        </is>
      </c>
      <c r="O39" s="37" t="inlineStr">
        <is>
          <t>Marks</t>
        </is>
      </c>
      <c r="P39" t="inlineStr">
        <is>
          <t>S3</t>
        </is>
      </c>
    </row>
    <row r="40" ht="10" customHeight="1"/>
    <row r="41" ht="26" customHeight="1">
      <c r="A41" s="46" t="inlineStr">
        <is>
          <t>4</t>
        </is>
      </c>
      <c r="B41" s="47" t="inlineStr">
        <is>
          <t>Statistical distributions</t>
        </is>
      </c>
      <c r="C41" s="48" t="n"/>
      <c r="D41" s="48" t="n"/>
      <c r="E41" s="49" t="inlineStr">
        <is>
          <t>8 topics  ·  Year 1: 3  ·  Year 2: 5</t>
        </is>
      </c>
      <c r="F41" s="48" t="n"/>
      <c r="G41" s="48" t="n"/>
      <c r="H41" s="48" t="n"/>
      <c r="I41" s="48" t="n"/>
      <c r="J41" s="48" t="n"/>
      <c r="K41" s="48" t="n"/>
      <c r="L41" s="48" t="n"/>
      <c r="M41" s="48" t="n"/>
      <c r="N41" s="48" t="n"/>
      <c r="O41" s="48" t="n"/>
    </row>
    <row r="42" outlineLevel="1" ht="32" customHeight="1">
      <c r="A42" s="31" t="inlineStr">
        <is>
          <t>S4.1</t>
        </is>
      </c>
      <c r="B42" s="32" t="inlineStr">
        <is>
          <t>Discrete random variables, probability distributions and the discrete uniform distribution</t>
        </is>
      </c>
      <c r="C42" s="33" t="n">
        <v>1</v>
      </c>
      <c r="D42" s="34" t="n"/>
      <c r="E42" s="35" t="n"/>
      <c r="F42" s="36" t="inlineStr">
        <is>
          <t>▶ Watch</t>
        </is>
      </c>
      <c r="G42" s="36" t="inlineStr">
        <is>
          <t>Q 1–4, 9, 11, 13, 15</t>
        </is>
      </c>
      <c r="H42" s="36" t="inlineStr">
        <is>
          <t>Answers</t>
        </is>
      </c>
      <c r="I42" s="35" t="inlineStr">
        <is>
          <t>Probability</t>
        </is>
      </c>
      <c r="J42" s="36" t="inlineStr">
        <is>
          <t>Pages 4, 6, 8</t>
        </is>
      </c>
      <c r="K42" s="36" t="inlineStr">
        <is>
          <t>Marks</t>
        </is>
      </c>
      <c r="L42" s="36" t="inlineStr">
        <is>
          <t>Answers</t>
        </is>
      </c>
      <c r="M42" s="31" t="inlineStr">
        <is>
          <t>Applied 1 Ch6</t>
        </is>
      </c>
      <c r="N42" s="37" t="inlineStr">
        <is>
          <t>Pages 1, 2, 5</t>
        </is>
      </c>
      <c r="O42" s="37" t="inlineStr">
        <is>
          <t>Marks</t>
        </is>
      </c>
      <c r="P42" t="inlineStr">
        <is>
          <t>S4</t>
        </is>
      </c>
    </row>
    <row r="43" outlineLevel="1" ht="20" customHeight="1">
      <c r="A43" s="31" t="inlineStr">
        <is>
          <t>S4.1</t>
        </is>
      </c>
      <c r="B43" s="32" t="inlineStr">
        <is>
          <t>The binomial distribution B(n, p)</t>
        </is>
      </c>
      <c r="C43" s="33" t="n">
        <v>1</v>
      </c>
      <c r="D43" s="34" t="n"/>
      <c r="E43" s="35" t="n"/>
      <c r="F43" s="36" t="inlineStr">
        <is>
          <t>▶ Watch</t>
        </is>
      </c>
      <c r="G43" s="36" t="inlineStr">
        <is>
          <t>Q 5–8, 10, 12, 14</t>
        </is>
      </c>
      <c r="H43" s="36" t="inlineStr">
        <is>
          <t>Answers</t>
        </is>
      </c>
      <c r="I43" s="35" t="inlineStr">
        <is>
          <t>Binomial Distribution</t>
        </is>
      </c>
      <c r="J43" s="36" t="inlineStr">
        <is>
          <t>Pages 1, 3–5</t>
        </is>
      </c>
      <c r="K43" s="36" t="inlineStr">
        <is>
          <t>Marks</t>
        </is>
      </c>
      <c r="L43" s="36" t="inlineStr">
        <is>
          <t>Answers</t>
        </is>
      </c>
      <c r="M43" s="31" t="inlineStr">
        <is>
          <t>Applied 1 Ch6</t>
        </is>
      </c>
      <c r="N43" s="37" t="inlineStr">
        <is>
          <t>Pages 1, 2, 4–6</t>
        </is>
      </c>
      <c r="O43" s="37" t="inlineStr">
        <is>
          <t>Marks</t>
        </is>
      </c>
      <c r="P43" t="inlineStr">
        <is>
          <t>S4</t>
        </is>
      </c>
    </row>
    <row r="44" outlineLevel="1" ht="20" customHeight="1">
      <c r="A44" s="31" t="inlineStr">
        <is>
          <t>S4.1</t>
        </is>
      </c>
      <c r="B44" s="32" t="inlineStr">
        <is>
          <t>Cumulative binomial probabilities</t>
        </is>
      </c>
      <c r="C44" s="33" t="n">
        <v>1</v>
      </c>
      <c r="D44" s="34" t="n"/>
      <c r="E44" s="35" t="n"/>
      <c r="F44" s="36" t="inlineStr">
        <is>
          <t>▶ Watch</t>
        </is>
      </c>
      <c r="G44" s="36" t="inlineStr">
        <is>
          <t>Q 5–8, 10, 14</t>
        </is>
      </c>
      <c r="H44" s="36" t="inlineStr">
        <is>
          <t>Answers</t>
        </is>
      </c>
      <c r="I44" s="35" t="inlineStr">
        <is>
          <t>Binomial Distribution</t>
        </is>
      </c>
      <c r="J44" s="36" t="inlineStr">
        <is>
          <t>Pages 1, 3–5</t>
        </is>
      </c>
      <c r="K44" s="36" t="inlineStr">
        <is>
          <t>Marks</t>
        </is>
      </c>
      <c r="L44" s="36" t="inlineStr">
        <is>
          <t>Answers</t>
        </is>
      </c>
      <c r="M44" s="31" t="inlineStr">
        <is>
          <t>Applied 1 Ch6</t>
        </is>
      </c>
      <c r="N44" s="37" t="inlineStr">
        <is>
          <t>Pages 1, 2, 4–6</t>
        </is>
      </c>
      <c r="O44" s="37" t="inlineStr">
        <is>
          <t>Marks</t>
        </is>
      </c>
      <c r="P44" t="inlineStr">
        <is>
          <t>S4</t>
        </is>
      </c>
    </row>
    <row r="45" outlineLevel="1" ht="32" customHeight="1">
      <c r="A45" s="31" t="inlineStr">
        <is>
          <t>S4.2</t>
        </is>
      </c>
      <c r="B45" s="32" t="inlineStr">
        <is>
          <t>The normal distribution: properties (incl. inflection at μ ± σ) and finding probabilities</t>
        </is>
      </c>
      <c r="C45" s="50" t="n">
        <v>2</v>
      </c>
      <c r="D45" s="34" t="n"/>
      <c r="E45" s="35" t="n"/>
      <c r="F45" s="36" t="inlineStr">
        <is>
          <t>▶ Watch</t>
        </is>
      </c>
      <c r="G45" s="36" t="inlineStr">
        <is>
          <t>Q 1, 2, 8, 9, 11</t>
        </is>
      </c>
      <c r="H45" s="36" t="inlineStr">
        <is>
          <t>Answers</t>
        </is>
      </c>
      <c r="I45" s="35" t="inlineStr">
        <is>
          <t>Normal Distribution (Yr 2)</t>
        </is>
      </c>
      <c r="J45" s="36" t="inlineStr">
        <is>
          <t>Page 1</t>
        </is>
      </c>
      <c r="K45" s="36" t="inlineStr">
        <is>
          <t>Marks</t>
        </is>
      </c>
      <c r="L45" s="36" t="inlineStr">
        <is>
          <t>Answers</t>
        </is>
      </c>
      <c r="M45" s="31" t="inlineStr">
        <is>
          <t>Applied 2 Ch3</t>
        </is>
      </c>
      <c r="N45" s="37" t="inlineStr">
        <is>
          <t>Pages 1, 19–24, 26</t>
        </is>
      </c>
      <c r="O45" s="37" t="inlineStr">
        <is>
          <t>Marks</t>
        </is>
      </c>
      <c r="P45" t="inlineStr">
        <is>
          <t>S4</t>
        </is>
      </c>
    </row>
    <row r="46" outlineLevel="1" ht="20" customHeight="1">
      <c r="A46" s="31" t="inlineStr">
        <is>
          <t>S4.2</t>
        </is>
      </c>
      <c r="B46" s="32" t="inlineStr">
        <is>
          <t>The inverse normal distribution</t>
        </is>
      </c>
      <c r="C46" s="50" t="n">
        <v>2</v>
      </c>
      <c r="D46" s="34" t="n"/>
      <c r="E46" s="35" t="n"/>
      <c r="F46" s="36" t="inlineStr">
        <is>
          <t>▶ Watch</t>
        </is>
      </c>
      <c r="G46" s="36" t="inlineStr">
        <is>
          <t>Q 3, 12</t>
        </is>
      </c>
      <c r="H46" s="36" t="inlineStr">
        <is>
          <t>Answers</t>
        </is>
      </c>
      <c r="I46" s="35" t="inlineStr">
        <is>
          <t>Normal Distribution (Yr 2)</t>
        </is>
      </c>
      <c r="J46" s="36" t="inlineStr">
        <is>
          <t>Page 1</t>
        </is>
      </c>
      <c r="K46" s="36" t="inlineStr">
        <is>
          <t>Marks</t>
        </is>
      </c>
      <c r="L46" s="36" t="inlineStr">
        <is>
          <t>Answers</t>
        </is>
      </c>
      <c r="M46" s="31" t="inlineStr">
        <is>
          <t>Applied 2 Ch3</t>
        </is>
      </c>
      <c r="N46" s="37" t="inlineStr">
        <is>
          <t>Pages 4, 20–24, 27</t>
        </is>
      </c>
      <c r="O46" s="37" t="inlineStr">
        <is>
          <t>Marks</t>
        </is>
      </c>
      <c r="P46" t="inlineStr">
        <is>
          <t>S4</t>
        </is>
      </c>
    </row>
    <row r="47" outlineLevel="1" ht="32" customHeight="1">
      <c r="A47" s="31" t="inlineStr">
        <is>
          <t>S4.2</t>
        </is>
      </c>
      <c r="B47" s="32" t="inlineStr">
        <is>
          <t>Standard normal Z and finding an unknown mean or standard deviation</t>
        </is>
      </c>
      <c r="C47" s="50" t="n">
        <v>2</v>
      </c>
      <c r="D47" s="34" t="n"/>
      <c r="E47" s="35" t="n"/>
      <c r="F47" s="36" t="inlineStr">
        <is>
          <t>▶ Watch</t>
        </is>
      </c>
      <c r="G47" s="36" t="inlineStr">
        <is>
          <t>Q 4–7, 12</t>
        </is>
      </c>
      <c r="H47" s="36" t="inlineStr">
        <is>
          <t>Answers</t>
        </is>
      </c>
      <c r="I47" s="35" t="inlineStr">
        <is>
          <t>Binomial Distribution</t>
        </is>
      </c>
      <c r="J47" s="36" t="inlineStr">
        <is>
          <t>Page 4</t>
        </is>
      </c>
      <c r="K47" s="36" t="inlineStr">
        <is>
          <t>Marks</t>
        </is>
      </c>
      <c r="L47" s="36" t="inlineStr">
        <is>
          <t>Answers</t>
        </is>
      </c>
      <c r="M47" s="31" t="inlineStr">
        <is>
          <t>Applied 2 Ch3</t>
        </is>
      </c>
      <c r="N47" s="37" t="inlineStr">
        <is>
          <t>Pages 8, 14, 18, 21, 26–28, 30</t>
        </is>
      </c>
      <c r="O47" s="37" t="inlineStr">
        <is>
          <t>Marks</t>
        </is>
      </c>
      <c r="P47" t="inlineStr">
        <is>
          <t>S4</t>
        </is>
      </c>
    </row>
    <row r="48" outlineLevel="1" ht="32" customHeight="1">
      <c r="A48" s="31" t="inlineStr">
        <is>
          <t>S4.2</t>
        </is>
      </c>
      <c r="B48" s="32" t="inlineStr">
        <is>
          <t>Normal approximation to the binomial (incl. continuity correction)</t>
        </is>
      </c>
      <c r="C48" s="50" t="n">
        <v>2</v>
      </c>
      <c r="D48" s="34" t="n"/>
      <c r="E48" s="35" t="n"/>
      <c r="F48" s="36" t="inlineStr">
        <is>
          <t>▶ Watch</t>
        </is>
      </c>
      <c r="G48" s="38" t="inlineStr">
        <is>
          <t>none on this topic</t>
        </is>
      </c>
      <c r="H48" s="41" t="n"/>
      <c r="I48" s="35" t="inlineStr">
        <is>
          <t>Binomial Distribution (Yr 2)</t>
        </is>
      </c>
      <c r="J48" s="36" t="inlineStr">
        <is>
          <t>Pages 1, 4</t>
        </is>
      </c>
      <c r="K48" s="36" t="inlineStr">
        <is>
          <t>Marks</t>
        </is>
      </c>
      <c r="L48" s="36" t="inlineStr">
        <is>
          <t>Answers</t>
        </is>
      </c>
      <c r="M48" s="31" t="inlineStr">
        <is>
          <t>Applied 2 Ch3</t>
        </is>
      </c>
      <c r="N48" s="37" t="inlineStr">
        <is>
          <t>Pages 7, 9, 11, 13, 14, 17, 30, 31</t>
        </is>
      </c>
      <c r="O48" s="37" t="inlineStr">
        <is>
          <t>Marks</t>
        </is>
      </c>
      <c r="P48" t="inlineStr">
        <is>
          <t>S4</t>
        </is>
      </c>
    </row>
    <row r="49" outlineLevel="1" ht="20" customHeight="1">
      <c r="A49" s="31" t="inlineStr">
        <is>
          <t>S4.3</t>
        </is>
      </c>
      <c r="B49" s="32" t="inlineStr">
        <is>
          <t>Choosing a suitable distribution for a model</t>
        </is>
      </c>
      <c r="C49" s="50" t="n">
        <v>2</v>
      </c>
      <c r="D49" s="34" t="n"/>
      <c r="E49" s="35" t="n"/>
      <c r="F49" s="36" t="inlineStr">
        <is>
          <t>▶ Watch</t>
        </is>
      </c>
      <c r="G49" s="36" t="inlineStr">
        <is>
          <t>Q 8, 12, 14</t>
        </is>
      </c>
      <c r="H49" s="36" t="inlineStr">
        <is>
          <t>Answers</t>
        </is>
      </c>
      <c r="I49" s="35" t="inlineStr">
        <is>
          <t>Normal Distribution (Yr 2)</t>
        </is>
      </c>
      <c r="J49" s="36" t="inlineStr">
        <is>
          <t>Page 4</t>
        </is>
      </c>
      <c r="K49" s="36" t="inlineStr">
        <is>
          <t>Marks</t>
        </is>
      </c>
      <c r="L49" s="36" t="inlineStr">
        <is>
          <t>Answers</t>
        </is>
      </c>
      <c r="M49" s="31" t="inlineStr">
        <is>
          <t>Applied 2 Ch3</t>
        </is>
      </c>
      <c r="N49" s="37" t="inlineStr">
        <is>
          <t>Pages 4, 5, 11, 13</t>
        </is>
      </c>
      <c r="O49" s="37" t="inlineStr">
        <is>
          <t>Marks</t>
        </is>
      </c>
      <c r="P49" t="inlineStr">
        <is>
          <t>S4</t>
        </is>
      </c>
    </row>
    <row r="50" ht="10" customHeight="1"/>
    <row r="51" ht="26" customHeight="1">
      <c r="A51" s="46" t="inlineStr">
        <is>
          <t>5</t>
        </is>
      </c>
      <c r="B51" s="47" t="inlineStr">
        <is>
          <t>Statistical hypothesis testing</t>
        </is>
      </c>
      <c r="C51" s="48" t="n"/>
      <c r="D51" s="48" t="n"/>
      <c r="E51" s="49" t="inlineStr">
        <is>
          <t>7 topics  ·  Year 1: 4  ·  Year 2: 3</t>
        </is>
      </c>
      <c r="F51" s="48" t="n"/>
      <c r="G51" s="48" t="n"/>
      <c r="H51" s="48" t="n"/>
      <c r="I51" s="48" t="n"/>
      <c r="J51" s="48" t="n"/>
      <c r="K51" s="48" t="n"/>
      <c r="L51" s="48" t="n"/>
      <c r="M51" s="48" t="n"/>
      <c r="N51" s="48" t="n"/>
      <c r="O51" s="48" t="n"/>
    </row>
    <row r="52" outlineLevel="1" ht="32" customHeight="1">
      <c r="A52" s="31" t="inlineStr">
        <is>
          <t>S5.1</t>
        </is>
      </c>
      <c r="B52" s="32" t="inlineStr">
        <is>
          <t>Language of hypothesis testing (H₀, H₁, significance level, p-value)</t>
        </is>
      </c>
      <c r="C52" s="33" t="n">
        <v>1</v>
      </c>
      <c r="D52" s="34" t="n"/>
      <c r="E52" s="35" t="n"/>
      <c r="F52" s="36" t="inlineStr">
        <is>
          <t>▶ Watch</t>
        </is>
      </c>
      <c r="G52" s="36" t="inlineStr">
        <is>
          <t>Q 8</t>
        </is>
      </c>
      <c r="H52" s="36" t="inlineStr">
        <is>
          <t>Answers</t>
        </is>
      </c>
      <c r="I52" s="35" t="inlineStr">
        <is>
          <t>Binomial Tests</t>
        </is>
      </c>
      <c r="J52" s="36" t="inlineStr">
        <is>
          <t>Pages 1, 2</t>
        </is>
      </c>
      <c r="K52" s="36" t="inlineStr">
        <is>
          <t>Marks</t>
        </is>
      </c>
      <c r="L52" s="36" t="inlineStr">
        <is>
          <t>Answers</t>
        </is>
      </c>
      <c r="M52" s="31" t="inlineStr">
        <is>
          <t>Applied 1 Ch7</t>
        </is>
      </c>
      <c r="N52" s="37" t="inlineStr">
        <is>
          <t>Pages 3, 8</t>
        </is>
      </c>
      <c r="O52" s="37" t="inlineStr">
        <is>
          <t>Marks</t>
        </is>
      </c>
      <c r="P52" t="inlineStr">
        <is>
          <t>S5</t>
        </is>
      </c>
    </row>
    <row r="53" outlineLevel="1" ht="32" customHeight="1">
      <c r="A53" s="31" t="inlineStr">
        <is>
          <t>S5.1</t>
        </is>
      </c>
      <c r="B53" s="32" t="inlineStr">
        <is>
          <t>Critical values, critical regions and actual significance level</t>
        </is>
      </c>
      <c r="C53" s="33" t="n">
        <v>1</v>
      </c>
      <c r="D53" s="34" t="n"/>
      <c r="E53" s="35" t="n"/>
      <c r="F53" s="36" t="inlineStr">
        <is>
          <t>▶ Watch</t>
        </is>
      </c>
      <c r="G53" s="36" t="inlineStr">
        <is>
          <t>Q 7</t>
        </is>
      </c>
      <c r="H53" s="36" t="inlineStr">
        <is>
          <t>Answers</t>
        </is>
      </c>
      <c r="I53" s="35" t="inlineStr">
        <is>
          <t>Binomial Tests</t>
        </is>
      </c>
      <c r="J53" s="36" t="inlineStr">
        <is>
          <t>Pages 2, 3</t>
        </is>
      </c>
      <c r="K53" s="36" t="inlineStr">
        <is>
          <t>Marks</t>
        </is>
      </c>
      <c r="L53" s="36" t="inlineStr">
        <is>
          <t>Answers</t>
        </is>
      </c>
      <c r="M53" s="31" t="inlineStr">
        <is>
          <t>Applied 1 Ch7</t>
        </is>
      </c>
      <c r="N53" s="37" t="inlineStr">
        <is>
          <t>Pages 3, 5, 8, 9</t>
        </is>
      </c>
      <c r="O53" s="37" t="inlineStr">
        <is>
          <t>Marks</t>
        </is>
      </c>
      <c r="P53" t="inlineStr">
        <is>
          <t>S5</t>
        </is>
      </c>
    </row>
    <row r="54" outlineLevel="1" ht="20" customHeight="1">
      <c r="A54" s="31" t="inlineStr">
        <is>
          <t>S5.2</t>
        </is>
      </c>
      <c r="B54" s="32" t="inlineStr">
        <is>
          <t>One-tailed binomial tests</t>
        </is>
      </c>
      <c r="C54" s="33" t="n">
        <v>1</v>
      </c>
      <c r="D54" s="34" t="n"/>
      <c r="E54" s="35" t="n"/>
      <c r="F54" s="36" t="inlineStr">
        <is>
          <t>▶ Watch</t>
        </is>
      </c>
      <c r="G54" s="36" t="inlineStr">
        <is>
          <t>Q 3–5</t>
        </is>
      </c>
      <c r="H54" s="36" t="inlineStr">
        <is>
          <t>Answers</t>
        </is>
      </c>
      <c r="I54" s="35" t="inlineStr">
        <is>
          <t>Binomial Tests</t>
        </is>
      </c>
      <c r="J54" s="36" t="inlineStr">
        <is>
          <t>Page 4</t>
        </is>
      </c>
      <c r="K54" s="36" t="inlineStr">
        <is>
          <t>Marks</t>
        </is>
      </c>
      <c r="L54" s="36" t="inlineStr">
        <is>
          <t>Answers</t>
        </is>
      </c>
      <c r="M54" s="31" t="inlineStr">
        <is>
          <t>Applied 1 Ch7</t>
        </is>
      </c>
      <c r="N54" s="37" t="inlineStr">
        <is>
          <t>Pages 1, 3, 4, 11</t>
        </is>
      </c>
      <c r="O54" s="37" t="inlineStr">
        <is>
          <t>Marks</t>
        </is>
      </c>
      <c r="P54" t="inlineStr">
        <is>
          <t>S5</t>
        </is>
      </c>
    </row>
    <row r="55" outlineLevel="1" ht="20" customHeight="1">
      <c r="A55" s="31" t="inlineStr">
        <is>
          <t>S5.2</t>
        </is>
      </c>
      <c r="B55" s="32" t="inlineStr">
        <is>
          <t>Two-tailed binomial tests</t>
        </is>
      </c>
      <c r="C55" s="33" t="n">
        <v>1</v>
      </c>
      <c r="D55" s="34" t="n"/>
      <c r="E55" s="35" t="n"/>
      <c r="F55" s="36" t="inlineStr">
        <is>
          <t>▶ Watch</t>
        </is>
      </c>
      <c r="G55" s="36" t="inlineStr">
        <is>
          <t>Q 6, 7</t>
        </is>
      </c>
      <c r="H55" s="36" t="inlineStr">
        <is>
          <t>Answers</t>
        </is>
      </c>
      <c r="I55" s="35" t="inlineStr">
        <is>
          <t>Binomial Tests</t>
        </is>
      </c>
      <c r="J55" s="36" t="inlineStr">
        <is>
          <t>Pages 1–3</t>
        </is>
      </c>
      <c r="K55" s="36" t="inlineStr">
        <is>
          <t>Marks</t>
        </is>
      </c>
      <c r="L55" s="36" t="inlineStr">
        <is>
          <t>Answers</t>
        </is>
      </c>
      <c r="M55" s="31" t="inlineStr">
        <is>
          <t>Applied 1 Ch7</t>
        </is>
      </c>
      <c r="N55" s="37" t="inlineStr">
        <is>
          <t>Pages 5, 9</t>
        </is>
      </c>
      <c r="O55" s="37" t="inlineStr">
        <is>
          <t>Marks</t>
        </is>
      </c>
      <c r="P55" t="inlineStr">
        <is>
          <t>S5</t>
        </is>
      </c>
    </row>
    <row r="56" outlineLevel="1" ht="32" customHeight="1">
      <c r="A56" s="31" t="inlineStr">
        <is>
          <t>S5.1</t>
        </is>
      </c>
      <c r="B56" s="32" t="inlineStr">
        <is>
          <t>Product moment correlation coefficient (PMCC) and interpreting it</t>
        </is>
      </c>
      <c r="C56" s="50" t="n">
        <v>2</v>
      </c>
      <c r="D56" s="34" t="n"/>
      <c r="E56" s="35" t="n"/>
      <c r="F56" s="36" t="inlineStr">
        <is>
          <t>▶ Watch</t>
        </is>
      </c>
      <c r="G56" s="36" t="inlineStr">
        <is>
          <t>Q 5, 6, 9</t>
        </is>
      </c>
      <c r="H56" s="36" t="inlineStr">
        <is>
          <t>Answers</t>
        </is>
      </c>
      <c r="I56" s="35" t="inlineStr">
        <is>
          <t>Regression and Correlation (Yr 2)</t>
        </is>
      </c>
      <c r="J56" s="36" t="inlineStr">
        <is>
          <t>Pages 1, 3, 4</t>
        </is>
      </c>
      <c r="K56" s="36" t="inlineStr">
        <is>
          <t>Marks</t>
        </is>
      </c>
      <c r="L56" s="36" t="inlineStr">
        <is>
          <t>Answers</t>
        </is>
      </c>
      <c r="M56" s="31" t="inlineStr">
        <is>
          <t>Applied 2 Ch1</t>
        </is>
      </c>
      <c r="N56" s="37" t="inlineStr">
        <is>
          <t>Pages 1, 3, 4</t>
        </is>
      </c>
      <c r="O56" s="37" t="inlineStr">
        <is>
          <t>Marks</t>
        </is>
      </c>
      <c r="P56" t="inlineStr">
        <is>
          <t>S5</t>
        </is>
      </c>
    </row>
    <row r="57" outlineLevel="1" ht="32" customHeight="1">
      <c r="A57" s="31" t="inlineStr">
        <is>
          <t>S5.1</t>
        </is>
      </c>
      <c r="B57" s="32" t="inlineStr">
        <is>
          <t>Hypothesis test for zero correlation (PMCC)</t>
        </is>
      </c>
      <c r="C57" s="50" t="n">
        <v>2</v>
      </c>
      <c r="D57" s="34" t="n"/>
      <c r="E57" s="35" t="n"/>
      <c r="F57" s="36" t="inlineStr">
        <is>
          <t>▶ Watch</t>
        </is>
      </c>
      <c r="G57" s="36" t="inlineStr">
        <is>
          <t>Q 1–6, 10, 11</t>
        </is>
      </c>
      <c r="H57" s="36" t="inlineStr">
        <is>
          <t>Answers</t>
        </is>
      </c>
      <c r="I57" s="35" t="inlineStr">
        <is>
          <t>Regression and Correlation (Yr 2)</t>
        </is>
      </c>
      <c r="J57" s="36" t="inlineStr">
        <is>
          <t>Pages 1, 3, 4</t>
        </is>
      </c>
      <c r="K57" s="36" t="inlineStr">
        <is>
          <t>Marks</t>
        </is>
      </c>
      <c r="L57" s="36" t="inlineStr">
        <is>
          <t>Answers</t>
        </is>
      </c>
      <c r="M57" s="31" t="inlineStr">
        <is>
          <t>Applied 2 Ch1</t>
        </is>
      </c>
      <c r="N57" s="37" t="inlineStr">
        <is>
          <t>Pages 1, 3, 4</t>
        </is>
      </c>
      <c r="O57" s="37" t="inlineStr">
        <is>
          <t>Marks</t>
        </is>
      </c>
      <c r="P57" t="inlineStr">
        <is>
          <t>S5</t>
        </is>
      </c>
    </row>
    <row r="58" outlineLevel="1" ht="20" customHeight="1">
      <c r="A58" s="31" t="inlineStr">
        <is>
          <t>S5.3</t>
        </is>
      </c>
      <c r="B58" s="32" t="inlineStr">
        <is>
          <t>Hypothesis test for the mean of a normal distribution</t>
        </is>
      </c>
      <c r="C58" s="50" t="n">
        <v>2</v>
      </c>
      <c r="D58" s="34" t="n"/>
      <c r="E58" s="35" t="n"/>
      <c r="F58" s="36" t="inlineStr">
        <is>
          <t>▶ Watch</t>
        </is>
      </c>
      <c r="G58" s="36" t="inlineStr">
        <is>
          <t>Q 8, 9, 11–13</t>
        </is>
      </c>
      <c r="H58" s="36" t="inlineStr">
        <is>
          <t>Answers</t>
        </is>
      </c>
      <c r="I58" s="35" t="inlineStr">
        <is>
          <t>Normal Distribution (Yr 2)</t>
        </is>
      </c>
      <c r="J58" s="36" t="inlineStr">
        <is>
          <t>Pages 1, 3</t>
        </is>
      </c>
      <c r="K58" s="36" t="inlineStr">
        <is>
          <t>Marks</t>
        </is>
      </c>
      <c r="L58" s="36" t="inlineStr">
        <is>
          <t>Answers</t>
        </is>
      </c>
      <c r="M58" s="31" t="inlineStr">
        <is>
          <t>Applied 2 Ch3</t>
        </is>
      </c>
      <c r="N58" s="37" t="inlineStr">
        <is>
          <t>Pages 1, 4, 6</t>
        </is>
      </c>
      <c r="O58" s="37" t="inlineStr">
        <is>
          <t>Marks</t>
        </is>
      </c>
      <c r="P58" t="inlineStr">
        <is>
          <t>S5</t>
        </is>
      </c>
    </row>
  </sheetData>
  <mergeCells count="4">
    <mergeCell ref="M5:O5"/>
    <mergeCell ref="A5:E5"/>
    <mergeCell ref="F5:H5"/>
    <mergeCell ref="I5:L5"/>
  </mergeCells>
  <conditionalFormatting sqref="D7:D58">
    <cfRule type="cellIs" priority="1" operator="equal" dxfId="0">
      <formula>"R"</formula>
    </cfRule>
    <cfRule type="cellIs" priority="3" operator="equal" dxfId="1">
      <formula>"A"</formula>
    </cfRule>
    <cfRule type="cellIs" priority="5" operator="equal" dxfId="2">
      <formula>"G"</formula>
    </cfRule>
  </conditionalFormatting>
  <conditionalFormatting sqref="B7:B58">
    <cfRule type="expression" priority="2" dxfId="3">
      <formula>$D7="R"</formula>
    </cfRule>
    <cfRule type="expression" priority="4" dxfId="4">
      <formula>$D7="A"</formula>
    </cfRule>
    <cfRule type="expression" priority="6" dxfId="5">
      <formula>$D7="G"</formula>
    </cfRule>
  </conditionalFormatting>
  <dataValidations count="1">
    <dataValidation sqref="D7:D58" showDropDown="0" showInputMessage="0" showErrorMessage="1" allowBlank="1" errorTitle="R, A or G" error="Please pick R, A or G from the list." promptTitle="How confident are you?" prompt="R = can't do it yet&#10;A = getting there&#10;G = confident" type="list">
      <formula1>"R,A,G"</formula1>
    </dataValidation>
  </dataValidations>
  <hyperlinks>
    <hyperlink xmlns:r="http://schemas.openxmlformats.org/officeDocument/2006/relationships" ref="F9" r:id="rId1"/>
    <hyperlink xmlns:r="http://schemas.openxmlformats.org/officeDocument/2006/relationships" ref="G9" r:id="rId2"/>
    <hyperlink xmlns:r="http://schemas.openxmlformats.org/officeDocument/2006/relationships" ref="H9" r:id="rId3"/>
    <hyperlink xmlns:r="http://schemas.openxmlformats.org/officeDocument/2006/relationships" ref="J9" r:id="rId4"/>
    <hyperlink xmlns:r="http://schemas.openxmlformats.org/officeDocument/2006/relationships" ref="N9" r:id="rId5"/>
    <hyperlink xmlns:r="http://schemas.openxmlformats.org/officeDocument/2006/relationships" ref="O9" r:id="rId6"/>
    <hyperlink xmlns:r="http://schemas.openxmlformats.org/officeDocument/2006/relationships" ref="F10" r:id="rId7"/>
    <hyperlink xmlns:r="http://schemas.openxmlformats.org/officeDocument/2006/relationships" ref="G10" r:id="rId8"/>
    <hyperlink xmlns:r="http://schemas.openxmlformats.org/officeDocument/2006/relationships" ref="H10" r:id="rId9"/>
    <hyperlink xmlns:r="http://schemas.openxmlformats.org/officeDocument/2006/relationships" ref="J10" r:id="rId10"/>
    <hyperlink xmlns:r="http://schemas.openxmlformats.org/officeDocument/2006/relationships" ref="N10" r:id="rId11"/>
    <hyperlink xmlns:r="http://schemas.openxmlformats.org/officeDocument/2006/relationships" ref="O10" r:id="rId12"/>
    <hyperlink xmlns:r="http://schemas.openxmlformats.org/officeDocument/2006/relationships" ref="F11" r:id="rId13"/>
    <hyperlink xmlns:r="http://schemas.openxmlformats.org/officeDocument/2006/relationships" ref="G11" r:id="rId14"/>
    <hyperlink xmlns:r="http://schemas.openxmlformats.org/officeDocument/2006/relationships" ref="H11" r:id="rId15"/>
    <hyperlink xmlns:r="http://schemas.openxmlformats.org/officeDocument/2006/relationships" ref="J11" r:id="rId16"/>
    <hyperlink xmlns:r="http://schemas.openxmlformats.org/officeDocument/2006/relationships" ref="N11" r:id="rId17"/>
    <hyperlink xmlns:r="http://schemas.openxmlformats.org/officeDocument/2006/relationships" ref="O11" r:id="rId18"/>
    <hyperlink xmlns:r="http://schemas.openxmlformats.org/officeDocument/2006/relationships" ref="F14" r:id="rId19"/>
    <hyperlink xmlns:r="http://schemas.openxmlformats.org/officeDocument/2006/relationships" ref="F15" r:id="rId20"/>
    <hyperlink xmlns:r="http://schemas.openxmlformats.org/officeDocument/2006/relationships" ref="G15" r:id="rId21"/>
    <hyperlink xmlns:r="http://schemas.openxmlformats.org/officeDocument/2006/relationships" ref="H15" r:id="rId22"/>
    <hyperlink xmlns:r="http://schemas.openxmlformats.org/officeDocument/2006/relationships" ref="J15" r:id="rId23"/>
    <hyperlink xmlns:r="http://schemas.openxmlformats.org/officeDocument/2006/relationships" ref="K15" r:id="rId24"/>
    <hyperlink xmlns:r="http://schemas.openxmlformats.org/officeDocument/2006/relationships" ref="L15" r:id="rId25"/>
    <hyperlink xmlns:r="http://schemas.openxmlformats.org/officeDocument/2006/relationships" ref="N15" r:id="rId26"/>
    <hyperlink xmlns:r="http://schemas.openxmlformats.org/officeDocument/2006/relationships" ref="O15" r:id="rId27"/>
    <hyperlink xmlns:r="http://schemas.openxmlformats.org/officeDocument/2006/relationships" ref="F16" r:id="rId28"/>
    <hyperlink xmlns:r="http://schemas.openxmlformats.org/officeDocument/2006/relationships" ref="G16" r:id="rId29"/>
    <hyperlink xmlns:r="http://schemas.openxmlformats.org/officeDocument/2006/relationships" ref="H16" r:id="rId30"/>
    <hyperlink xmlns:r="http://schemas.openxmlformats.org/officeDocument/2006/relationships" ref="J16" r:id="rId31"/>
    <hyperlink xmlns:r="http://schemas.openxmlformats.org/officeDocument/2006/relationships" ref="K16" r:id="rId32"/>
    <hyperlink xmlns:r="http://schemas.openxmlformats.org/officeDocument/2006/relationships" ref="L16" r:id="rId33"/>
    <hyperlink xmlns:r="http://schemas.openxmlformats.org/officeDocument/2006/relationships" ref="N16" r:id="rId34"/>
    <hyperlink xmlns:r="http://schemas.openxmlformats.org/officeDocument/2006/relationships" ref="O16" r:id="rId35"/>
    <hyperlink xmlns:r="http://schemas.openxmlformats.org/officeDocument/2006/relationships" ref="F17" r:id="rId36"/>
    <hyperlink xmlns:r="http://schemas.openxmlformats.org/officeDocument/2006/relationships" ref="G17" r:id="rId37"/>
    <hyperlink xmlns:r="http://schemas.openxmlformats.org/officeDocument/2006/relationships" ref="H17" r:id="rId38"/>
    <hyperlink xmlns:r="http://schemas.openxmlformats.org/officeDocument/2006/relationships" ref="J17" r:id="rId39"/>
    <hyperlink xmlns:r="http://schemas.openxmlformats.org/officeDocument/2006/relationships" ref="K17" r:id="rId40"/>
    <hyperlink xmlns:r="http://schemas.openxmlformats.org/officeDocument/2006/relationships" ref="L17" r:id="rId41"/>
    <hyperlink xmlns:r="http://schemas.openxmlformats.org/officeDocument/2006/relationships" ref="N17" r:id="rId42"/>
    <hyperlink xmlns:r="http://schemas.openxmlformats.org/officeDocument/2006/relationships" ref="O17" r:id="rId43"/>
    <hyperlink xmlns:r="http://schemas.openxmlformats.org/officeDocument/2006/relationships" ref="F18" r:id="rId44"/>
    <hyperlink xmlns:r="http://schemas.openxmlformats.org/officeDocument/2006/relationships" ref="G18" r:id="rId45"/>
    <hyperlink xmlns:r="http://schemas.openxmlformats.org/officeDocument/2006/relationships" ref="H18" r:id="rId46"/>
    <hyperlink xmlns:r="http://schemas.openxmlformats.org/officeDocument/2006/relationships" ref="J18" r:id="rId47"/>
    <hyperlink xmlns:r="http://schemas.openxmlformats.org/officeDocument/2006/relationships" ref="K18" r:id="rId48"/>
    <hyperlink xmlns:r="http://schemas.openxmlformats.org/officeDocument/2006/relationships" ref="L18" r:id="rId49"/>
    <hyperlink xmlns:r="http://schemas.openxmlformats.org/officeDocument/2006/relationships" ref="N18" r:id="rId50"/>
    <hyperlink xmlns:r="http://schemas.openxmlformats.org/officeDocument/2006/relationships" ref="O18" r:id="rId51"/>
    <hyperlink xmlns:r="http://schemas.openxmlformats.org/officeDocument/2006/relationships" ref="F19" r:id="rId52"/>
    <hyperlink xmlns:r="http://schemas.openxmlformats.org/officeDocument/2006/relationships" ref="G19" r:id="rId53"/>
    <hyperlink xmlns:r="http://schemas.openxmlformats.org/officeDocument/2006/relationships" ref="H19" r:id="rId54"/>
    <hyperlink xmlns:r="http://schemas.openxmlformats.org/officeDocument/2006/relationships" ref="J19" r:id="rId55"/>
    <hyperlink xmlns:r="http://schemas.openxmlformats.org/officeDocument/2006/relationships" ref="N19" r:id="rId56"/>
    <hyperlink xmlns:r="http://schemas.openxmlformats.org/officeDocument/2006/relationships" ref="O19" r:id="rId57"/>
    <hyperlink xmlns:r="http://schemas.openxmlformats.org/officeDocument/2006/relationships" ref="F20" r:id="rId58"/>
    <hyperlink xmlns:r="http://schemas.openxmlformats.org/officeDocument/2006/relationships" ref="F21" r:id="rId59"/>
    <hyperlink xmlns:r="http://schemas.openxmlformats.org/officeDocument/2006/relationships" ref="G21" r:id="rId60"/>
    <hyperlink xmlns:r="http://schemas.openxmlformats.org/officeDocument/2006/relationships" ref="H21" r:id="rId61"/>
    <hyperlink xmlns:r="http://schemas.openxmlformats.org/officeDocument/2006/relationships" ref="J21" r:id="rId62"/>
    <hyperlink xmlns:r="http://schemas.openxmlformats.org/officeDocument/2006/relationships" ref="K21" r:id="rId63"/>
    <hyperlink xmlns:r="http://schemas.openxmlformats.org/officeDocument/2006/relationships" ref="L21" r:id="rId64"/>
    <hyperlink xmlns:r="http://schemas.openxmlformats.org/officeDocument/2006/relationships" ref="N21" r:id="rId65"/>
    <hyperlink xmlns:r="http://schemas.openxmlformats.org/officeDocument/2006/relationships" ref="O21" r:id="rId66"/>
    <hyperlink xmlns:r="http://schemas.openxmlformats.org/officeDocument/2006/relationships" ref="F22" r:id="rId67"/>
    <hyperlink xmlns:r="http://schemas.openxmlformats.org/officeDocument/2006/relationships" ref="G22" r:id="rId68"/>
    <hyperlink xmlns:r="http://schemas.openxmlformats.org/officeDocument/2006/relationships" ref="H22" r:id="rId69"/>
    <hyperlink xmlns:r="http://schemas.openxmlformats.org/officeDocument/2006/relationships" ref="J22" r:id="rId70"/>
    <hyperlink xmlns:r="http://schemas.openxmlformats.org/officeDocument/2006/relationships" ref="K22" r:id="rId71"/>
    <hyperlink xmlns:r="http://schemas.openxmlformats.org/officeDocument/2006/relationships" ref="L22" r:id="rId72"/>
    <hyperlink xmlns:r="http://schemas.openxmlformats.org/officeDocument/2006/relationships" ref="N22" r:id="rId73"/>
    <hyperlink xmlns:r="http://schemas.openxmlformats.org/officeDocument/2006/relationships" ref="O22" r:id="rId74"/>
    <hyperlink xmlns:r="http://schemas.openxmlformats.org/officeDocument/2006/relationships" ref="F23" r:id="rId75"/>
    <hyperlink xmlns:r="http://schemas.openxmlformats.org/officeDocument/2006/relationships" ref="G23" r:id="rId76"/>
    <hyperlink xmlns:r="http://schemas.openxmlformats.org/officeDocument/2006/relationships" ref="H23" r:id="rId77"/>
    <hyperlink xmlns:r="http://schemas.openxmlformats.org/officeDocument/2006/relationships" ref="J23" r:id="rId78"/>
    <hyperlink xmlns:r="http://schemas.openxmlformats.org/officeDocument/2006/relationships" ref="K23" r:id="rId79"/>
    <hyperlink xmlns:r="http://schemas.openxmlformats.org/officeDocument/2006/relationships" ref="L23" r:id="rId80"/>
    <hyperlink xmlns:r="http://schemas.openxmlformats.org/officeDocument/2006/relationships" ref="N23" r:id="rId81"/>
    <hyperlink xmlns:r="http://schemas.openxmlformats.org/officeDocument/2006/relationships" ref="O23" r:id="rId82"/>
    <hyperlink xmlns:r="http://schemas.openxmlformats.org/officeDocument/2006/relationships" ref="F24" r:id="rId83"/>
    <hyperlink xmlns:r="http://schemas.openxmlformats.org/officeDocument/2006/relationships" ref="G24" r:id="rId84"/>
    <hyperlink xmlns:r="http://schemas.openxmlformats.org/officeDocument/2006/relationships" ref="H24" r:id="rId85"/>
    <hyperlink xmlns:r="http://schemas.openxmlformats.org/officeDocument/2006/relationships" ref="J24" r:id="rId86"/>
    <hyperlink xmlns:r="http://schemas.openxmlformats.org/officeDocument/2006/relationships" ref="K24" r:id="rId87"/>
    <hyperlink xmlns:r="http://schemas.openxmlformats.org/officeDocument/2006/relationships" ref="L24" r:id="rId88"/>
    <hyperlink xmlns:r="http://schemas.openxmlformats.org/officeDocument/2006/relationships" ref="N24" r:id="rId89"/>
    <hyperlink xmlns:r="http://schemas.openxmlformats.org/officeDocument/2006/relationships" ref="O24" r:id="rId90"/>
    <hyperlink xmlns:r="http://schemas.openxmlformats.org/officeDocument/2006/relationships" ref="F25" r:id="rId91"/>
    <hyperlink xmlns:r="http://schemas.openxmlformats.org/officeDocument/2006/relationships" ref="G25" r:id="rId92"/>
    <hyperlink xmlns:r="http://schemas.openxmlformats.org/officeDocument/2006/relationships" ref="H25" r:id="rId93"/>
    <hyperlink xmlns:r="http://schemas.openxmlformats.org/officeDocument/2006/relationships" ref="J25" r:id="rId94"/>
    <hyperlink xmlns:r="http://schemas.openxmlformats.org/officeDocument/2006/relationships" ref="K25" r:id="rId95"/>
    <hyperlink xmlns:r="http://schemas.openxmlformats.org/officeDocument/2006/relationships" ref="L25" r:id="rId96"/>
    <hyperlink xmlns:r="http://schemas.openxmlformats.org/officeDocument/2006/relationships" ref="N25" r:id="rId97"/>
    <hyperlink xmlns:r="http://schemas.openxmlformats.org/officeDocument/2006/relationships" ref="O25" r:id="rId98"/>
    <hyperlink xmlns:r="http://schemas.openxmlformats.org/officeDocument/2006/relationships" ref="F26" r:id="rId99"/>
    <hyperlink xmlns:r="http://schemas.openxmlformats.org/officeDocument/2006/relationships" ref="G26" r:id="rId100"/>
    <hyperlink xmlns:r="http://schemas.openxmlformats.org/officeDocument/2006/relationships" ref="H26" r:id="rId101"/>
    <hyperlink xmlns:r="http://schemas.openxmlformats.org/officeDocument/2006/relationships" ref="J26" r:id="rId102"/>
    <hyperlink xmlns:r="http://schemas.openxmlformats.org/officeDocument/2006/relationships" ref="K26" r:id="rId103"/>
    <hyperlink xmlns:r="http://schemas.openxmlformats.org/officeDocument/2006/relationships" ref="L26" r:id="rId104"/>
    <hyperlink xmlns:r="http://schemas.openxmlformats.org/officeDocument/2006/relationships" ref="F27" r:id="rId105"/>
    <hyperlink xmlns:r="http://schemas.openxmlformats.org/officeDocument/2006/relationships" ref="J27" r:id="rId106"/>
    <hyperlink xmlns:r="http://schemas.openxmlformats.org/officeDocument/2006/relationships" ref="K27" r:id="rId107"/>
    <hyperlink xmlns:r="http://schemas.openxmlformats.org/officeDocument/2006/relationships" ref="L27" r:id="rId108"/>
    <hyperlink xmlns:r="http://schemas.openxmlformats.org/officeDocument/2006/relationships" ref="N27" r:id="rId109"/>
    <hyperlink xmlns:r="http://schemas.openxmlformats.org/officeDocument/2006/relationships" ref="O27" r:id="rId110"/>
    <hyperlink xmlns:r="http://schemas.openxmlformats.org/officeDocument/2006/relationships" ref="F30" r:id="rId111"/>
    <hyperlink xmlns:r="http://schemas.openxmlformats.org/officeDocument/2006/relationships" ref="G30" r:id="rId112"/>
    <hyperlink xmlns:r="http://schemas.openxmlformats.org/officeDocument/2006/relationships" ref="H30" r:id="rId113"/>
    <hyperlink xmlns:r="http://schemas.openxmlformats.org/officeDocument/2006/relationships" ref="J30" r:id="rId114"/>
    <hyperlink xmlns:r="http://schemas.openxmlformats.org/officeDocument/2006/relationships" ref="K30" r:id="rId115"/>
    <hyperlink xmlns:r="http://schemas.openxmlformats.org/officeDocument/2006/relationships" ref="L30" r:id="rId116"/>
    <hyperlink xmlns:r="http://schemas.openxmlformats.org/officeDocument/2006/relationships" ref="N30" r:id="rId117"/>
    <hyperlink xmlns:r="http://schemas.openxmlformats.org/officeDocument/2006/relationships" ref="O30" r:id="rId118"/>
    <hyperlink xmlns:r="http://schemas.openxmlformats.org/officeDocument/2006/relationships" ref="F31" r:id="rId119"/>
    <hyperlink xmlns:r="http://schemas.openxmlformats.org/officeDocument/2006/relationships" ref="G31" r:id="rId120"/>
    <hyperlink xmlns:r="http://schemas.openxmlformats.org/officeDocument/2006/relationships" ref="H31" r:id="rId121"/>
    <hyperlink xmlns:r="http://schemas.openxmlformats.org/officeDocument/2006/relationships" ref="J31" r:id="rId122"/>
    <hyperlink xmlns:r="http://schemas.openxmlformats.org/officeDocument/2006/relationships" ref="K31" r:id="rId123"/>
    <hyperlink xmlns:r="http://schemas.openxmlformats.org/officeDocument/2006/relationships" ref="L31" r:id="rId124"/>
    <hyperlink xmlns:r="http://schemas.openxmlformats.org/officeDocument/2006/relationships" ref="N31" r:id="rId125"/>
    <hyperlink xmlns:r="http://schemas.openxmlformats.org/officeDocument/2006/relationships" ref="O31" r:id="rId126"/>
    <hyperlink xmlns:r="http://schemas.openxmlformats.org/officeDocument/2006/relationships" ref="F32" r:id="rId127"/>
    <hyperlink xmlns:r="http://schemas.openxmlformats.org/officeDocument/2006/relationships" ref="G32" r:id="rId128"/>
    <hyperlink xmlns:r="http://schemas.openxmlformats.org/officeDocument/2006/relationships" ref="H32" r:id="rId129"/>
    <hyperlink xmlns:r="http://schemas.openxmlformats.org/officeDocument/2006/relationships" ref="J32" r:id="rId130"/>
    <hyperlink xmlns:r="http://schemas.openxmlformats.org/officeDocument/2006/relationships" ref="K32" r:id="rId131"/>
    <hyperlink xmlns:r="http://schemas.openxmlformats.org/officeDocument/2006/relationships" ref="L32" r:id="rId132"/>
    <hyperlink xmlns:r="http://schemas.openxmlformats.org/officeDocument/2006/relationships" ref="N32" r:id="rId133"/>
    <hyperlink xmlns:r="http://schemas.openxmlformats.org/officeDocument/2006/relationships" ref="O32" r:id="rId134"/>
    <hyperlink xmlns:r="http://schemas.openxmlformats.org/officeDocument/2006/relationships" ref="F33" r:id="rId135"/>
    <hyperlink xmlns:r="http://schemas.openxmlformats.org/officeDocument/2006/relationships" ref="G33" r:id="rId136"/>
    <hyperlink xmlns:r="http://schemas.openxmlformats.org/officeDocument/2006/relationships" ref="H33" r:id="rId137"/>
    <hyperlink xmlns:r="http://schemas.openxmlformats.org/officeDocument/2006/relationships" ref="J33" r:id="rId138"/>
    <hyperlink xmlns:r="http://schemas.openxmlformats.org/officeDocument/2006/relationships" ref="K33" r:id="rId139"/>
    <hyperlink xmlns:r="http://schemas.openxmlformats.org/officeDocument/2006/relationships" ref="L33" r:id="rId140"/>
    <hyperlink xmlns:r="http://schemas.openxmlformats.org/officeDocument/2006/relationships" ref="N33" r:id="rId141"/>
    <hyperlink xmlns:r="http://schemas.openxmlformats.org/officeDocument/2006/relationships" ref="O33" r:id="rId142"/>
    <hyperlink xmlns:r="http://schemas.openxmlformats.org/officeDocument/2006/relationships" ref="F34" r:id="rId143"/>
    <hyperlink xmlns:r="http://schemas.openxmlformats.org/officeDocument/2006/relationships" ref="G34" r:id="rId144"/>
    <hyperlink xmlns:r="http://schemas.openxmlformats.org/officeDocument/2006/relationships" ref="H34" r:id="rId145"/>
    <hyperlink xmlns:r="http://schemas.openxmlformats.org/officeDocument/2006/relationships" ref="J34" r:id="rId146"/>
    <hyperlink xmlns:r="http://schemas.openxmlformats.org/officeDocument/2006/relationships" ref="K34" r:id="rId147"/>
    <hyperlink xmlns:r="http://schemas.openxmlformats.org/officeDocument/2006/relationships" ref="L34" r:id="rId148"/>
    <hyperlink xmlns:r="http://schemas.openxmlformats.org/officeDocument/2006/relationships" ref="N34" r:id="rId149"/>
    <hyperlink xmlns:r="http://schemas.openxmlformats.org/officeDocument/2006/relationships" ref="O34" r:id="rId150"/>
    <hyperlink xmlns:r="http://schemas.openxmlformats.org/officeDocument/2006/relationships" ref="F35" r:id="rId151"/>
    <hyperlink xmlns:r="http://schemas.openxmlformats.org/officeDocument/2006/relationships" ref="G35" r:id="rId152"/>
    <hyperlink xmlns:r="http://schemas.openxmlformats.org/officeDocument/2006/relationships" ref="H35" r:id="rId153"/>
    <hyperlink xmlns:r="http://schemas.openxmlformats.org/officeDocument/2006/relationships" ref="J35" r:id="rId154"/>
    <hyperlink xmlns:r="http://schemas.openxmlformats.org/officeDocument/2006/relationships" ref="K35" r:id="rId155"/>
    <hyperlink xmlns:r="http://schemas.openxmlformats.org/officeDocument/2006/relationships" ref="L35" r:id="rId156"/>
    <hyperlink xmlns:r="http://schemas.openxmlformats.org/officeDocument/2006/relationships" ref="N35" r:id="rId157"/>
    <hyperlink xmlns:r="http://schemas.openxmlformats.org/officeDocument/2006/relationships" ref="O35" r:id="rId158"/>
    <hyperlink xmlns:r="http://schemas.openxmlformats.org/officeDocument/2006/relationships" ref="F36" r:id="rId159"/>
    <hyperlink xmlns:r="http://schemas.openxmlformats.org/officeDocument/2006/relationships" ref="G36" r:id="rId160"/>
    <hyperlink xmlns:r="http://schemas.openxmlformats.org/officeDocument/2006/relationships" ref="H36" r:id="rId161"/>
    <hyperlink xmlns:r="http://schemas.openxmlformats.org/officeDocument/2006/relationships" ref="J36" r:id="rId162"/>
    <hyperlink xmlns:r="http://schemas.openxmlformats.org/officeDocument/2006/relationships" ref="K36" r:id="rId163"/>
    <hyperlink xmlns:r="http://schemas.openxmlformats.org/officeDocument/2006/relationships" ref="L36" r:id="rId164"/>
    <hyperlink xmlns:r="http://schemas.openxmlformats.org/officeDocument/2006/relationships" ref="N36" r:id="rId165"/>
    <hyperlink xmlns:r="http://schemas.openxmlformats.org/officeDocument/2006/relationships" ref="O36" r:id="rId166"/>
    <hyperlink xmlns:r="http://schemas.openxmlformats.org/officeDocument/2006/relationships" ref="F37" r:id="rId167"/>
    <hyperlink xmlns:r="http://schemas.openxmlformats.org/officeDocument/2006/relationships" ref="G37" r:id="rId168"/>
    <hyperlink xmlns:r="http://schemas.openxmlformats.org/officeDocument/2006/relationships" ref="H37" r:id="rId169"/>
    <hyperlink xmlns:r="http://schemas.openxmlformats.org/officeDocument/2006/relationships" ref="J37" r:id="rId170"/>
    <hyperlink xmlns:r="http://schemas.openxmlformats.org/officeDocument/2006/relationships" ref="K37" r:id="rId171"/>
    <hyperlink xmlns:r="http://schemas.openxmlformats.org/officeDocument/2006/relationships" ref="L37" r:id="rId172"/>
    <hyperlink xmlns:r="http://schemas.openxmlformats.org/officeDocument/2006/relationships" ref="N37" r:id="rId173"/>
    <hyperlink xmlns:r="http://schemas.openxmlformats.org/officeDocument/2006/relationships" ref="O37" r:id="rId174"/>
    <hyperlink xmlns:r="http://schemas.openxmlformats.org/officeDocument/2006/relationships" ref="F38" r:id="rId175"/>
    <hyperlink xmlns:r="http://schemas.openxmlformats.org/officeDocument/2006/relationships" ref="G38" r:id="rId176"/>
    <hyperlink xmlns:r="http://schemas.openxmlformats.org/officeDocument/2006/relationships" ref="H38" r:id="rId177"/>
    <hyperlink xmlns:r="http://schemas.openxmlformats.org/officeDocument/2006/relationships" ref="J38" r:id="rId178"/>
    <hyperlink xmlns:r="http://schemas.openxmlformats.org/officeDocument/2006/relationships" ref="N38" r:id="rId179"/>
    <hyperlink xmlns:r="http://schemas.openxmlformats.org/officeDocument/2006/relationships" ref="O38" r:id="rId180"/>
    <hyperlink xmlns:r="http://schemas.openxmlformats.org/officeDocument/2006/relationships" ref="F39" r:id="rId181"/>
    <hyperlink xmlns:r="http://schemas.openxmlformats.org/officeDocument/2006/relationships" ref="G39" r:id="rId182"/>
    <hyperlink xmlns:r="http://schemas.openxmlformats.org/officeDocument/2006/relationships" ref="H39" r:id="rId183"/>
    <hyperlink xmlns:r="http://schemas.openxmlformats.org/officeDocument/2006/relationships" ref="J39" r:id="rId184"/>
    <hyperlink xmlns:r="http://schemas.openxmlformats.org/officeDocument/2006/relationships" ref="K39" r:id="rId185"/>
    <hyperlink xmlns:r="http://schemas.openxmlformats.org/officeDocument/2006/relationships" ref="L39" r:id="rId186"/>
    <hyperlink xmlns:r="http://schemas.openxmlformats.org/officeDocument/2006/relationships" ref="N39" r:id="rId187"/>
    <hyperlink xmlns:r="http://schemas.openxmlformats.org/officeDocument/2006/relationships" ref="O39" r:id="rId188"/>
    <hyperlink xmlns:r="http://schemas.openxmlformats.org/officeDocument/2006/relationships" ref="F42" r:id="rId189"/>
    <hyperlink xmlns:r="http://schemas.openxmlformats.org/officeDocument/2006/relationships" ref="G42" r:id="rId190"/>
    <hyperlink xmlns:r="http://schemas.openxmlformats.org/officeDocument/2006/relationships" ref="H42" r:id="rId191"/>
    <hyperlink xmlns:r="http://schemas.openxmlformats.org/officeDocument/2006/relationships" ref="J42" r:id="rId192"/>
    <hyperlink xmlns:r="http://schemas.openxmlformats.org/officeDocument/2006/relationships" ref="K42" r:id="rId193"/>
    <hyperlink xmlns:r="http://schemas.openxmlformats.org/officeDocument/2006/relationships" ref="L42" r:id="rId194"/>
    <hyperlink xmlns:r="http://schemas.openxmlformats.org/officeDocument/2006/relationships" ref="N42" r:id="rId195"/>
    <hyperlink xmlns:r="http://schemas.openxmlformats.org/officeDocument/2006/relationships" ref="O42" r:id="rId196"/>
    <hyperlink xmlns:r="http://schemas.openxmlformats.org/officeDocument/2006/relationships" ref="F43" r:id="rId197"/>
    <hyperlink xmlns:r="http://schemas.openxmlformats.org/officeDocument/2006/relationships" ref="G43" r:id="rId198"/>
    <hyperlink xmlns:r="http://schemas.openxmlformats.org/officeDocument/2006/relationships" ref="H43" r:id="rId199"/>
    <hyperlink xmlns:r="http://schemas.openxmlformats.org/officeDocument/2006/relationships" ref="J43" r:id="rId200"/>
    <hyperlink xmlns:r="http://schemas.openxmlformats.org/officeDocument/2006/relationships" ref="K43" r:id="rId201"/>
    <hyperlink xmlns:r="http://schemas.openxmlformats.org/officeDocument/2006/relationships" ref="L43" r:id="rId202"/>
    <hyperlink xmlns:r="http://schemas.openxmlformats.org/officeDocument/2006/relationships" ref="N43" r:id="rId203"/>
    <hyperlink xmlns:r="http://schemas.openxmlformats.org/officeDocument/2006/relationships" ref="O43" r:id="rId204"/>
    <hyperlink xmlns:r="http://schemas.openxmlformats.org/officeDocument/2006/relationships" ref="F44" r:id="rId205"/>
    <hyperlink xmlns:r="http://schemas.openxmlformats.org/officeDocument/2006/relationships" ref="G44" r:id="rId206"/>
    <hyperlink xmlns:r="http://schemas.openxmlformats.org/officeDocument/2006/relationships" ref="H44" r:id="rId207"/>
    <hyperlink xmlns:r="http://schemas.openxmlformats.org/officeDocument/2006/relationships" ref="J44" r:id="rId208"/>
    <hyperlink xmlns:r="http://schemas.openxmlformats.org/officeDocument/2006/relationships" ref="K44" r:id="rId209"/>
    <hyperlink xmlns:r="http://schemas.openxmlformats.org/officeDocument/2006/relationships" ref="L44" r:id="rId210"/>
    <hyperlink xmlns:r="http://schemas.openxmlformats.org/officeDocument/2006/relationships" ref="N44" r:id="rId211"/>
    <hyperlink xmlns:r="http://schemas.openxmlformats.org/officeDocument/2006/relationships" ref="O44" r:id="rId212"/>
    <hyperlink xmlns:r="http://schemas.openxmlformats.org/officeDocument/2006/relationships" ref="F45" r:id="rId213"/>
    <hyperlink xmlns:r="http://schemas.openxmlformats.org/officeDocument/2006/relationships" ref="G45" r:id="rId214"/>
    <hyperlink xmlns:r="http://schemas.openxmlformats.org/officeDocument/2006/relationships" ref="H45" r:id="rId215"/>
    <hyperlink xmlns:r="http://schemas.openxmlformats.org/officeDocument/2006/relationships" ref="J45" r:id="rId216"/>
    <hyperlink xmlns:r="http://schemas.openxmlformats.org/officeDocument/2006/relationships" ref="K45" r:id="rId217"/>
    <hyperlink xmlns:r="http://schemas.openxmlformats.org/officeDocument/2006/relationships" ref="L45" r:id="rId218"/>
    <hyperlink xmlns:r="http://schemas.openxmlformats.org/officeDocument/2006/relationships" ref="N45" r:id="rId219"/>
    <hyperlink xmlns:r="http://schemas.openxmlformats.org/officeDocument/2006/relationships" ref="O45" r:id="rId220"/>
    <hyperlink xmlns:r="http://schemas.openxmlformats.org/officeDocument/2006/relationships" ref="F46" r:id="rId221"/>
    <hyperlink xmlns:r="http://schemas.openxmlformats.org/officeDocument/2006/relationships" ref="G46" r:id="rId222"/>
    <hyperlink xmlns:r="http://schemas.openxmlformats.org/officeDocument/2006/relationships" ref="H46" r:id="rId223"/>
    <hyperlink xmlns:r="http://schemas.openxmlformats.org/officeDocument/2006/relationships" ref="J46" r:id="rId224"/>
    <hyperlink xmlns:r="http://schemas.openxmlformats.org/officeDocument/2006/relationships" ref="K46" r:id="rId225"/>
    <hyperlink xmlns:r="http://schemas.openxmlformats.org/officeDocument/2006/relationships" ref="L46" r:id="rId226"/>
    <hyperlink xmlns:r="http://schemas.openxmlformats.org/officeDocument/2006/relationships" ref="N46" r:id="rId227"/>
    <hyperlink xmlns:r="http://schemas.openxmlformats.org/officeDocument/2006/relationships" ref="O46" r:id="rId228"/>
    <hyperlink xmlns:r="http://schemas.openxmlformats.org/officeDocument/2006/relationships" ref="F47" r:id="rId229"/>
    <hyperlink xmlns:r="http://schemas.openxmlformats.org/officeDocument/2006/relationships" ref="G47" r:id="rId230"/>
    <hyperlink xmlns:r="http://schemas.openxmlformats.org/officeDocument/2006/relationships" ref="H47" r:id="rId231"/>
    <hyperlink xmlns:r="http://schemas.openxmlformats.org/officeDocument/2006/relationships" ref="J47" r:id="rId232"/>
    <hyperlink xmlns:r="http://schemas.openxmlformats.org/officeDocument/2006/relationships" ref="K47" r:id="rId233"/>
    <hyperlink xmlns:r="http://schemas.openxmlformats.org/officeDocument/2006/relationships" ref="L47" r:id="rId234"/>
    <hyperlink xmlns:r="http://schemas.openxmlformats.org/officeDocument/2006/relationships" ref="N47" r:id="rId235"/>
    <hyperlink xmlns:r="http://schemas.openxmlformats.org/officeDocument/2006/relationships" ref="O47" r:id="rId236"/>
    <hyperlink xmlns:r="http://schemas.openxmlformats.org/officeDocument/2006/relationships" ref="F48" r:id="rId237"/>
    <hyperlink xmlns:r="http://schemas.openxmlformats.org/officeDocument/2006/relationships" ref="J48" r:id="rId238"/>
    <hyperlink xmlns:r="http://schemas.openxmlformats.org/officeDocument/2006/relationships" ref="K48" r:id="rId239"/>
    <hyperlink xmlns:r="http://schemas.openxmlformats.org/officeDocument/2006/relationships" ref="L48" r:id="rId240"/>
    <hyperlink xmlns:r="http://schemas.openxmlformats.org/officeDocument/2006/relationships" ref="N48" r:id="rId241"/>
    <hyperlink xmlns:r="http://schemas.openxmlformats.org/officeDocument/2006/relationships" ref="O48" r:id="rId242"/>
    <hyperlink xmlns:r="http://schemas.openxmlformats.org/officeDocument/2006/relationships" ref="F49" r:id="rId243"/>
    <hyperlink xmlns:r="http://schemas.openxmlformats.org/officeDocument/2006/relationships" ref="G49" r:id="rId244"/>
    <hyperlink xmlns:r="http://schemas.openxmlformats.org/officeDocument/2006/relationships" ref="H49" r:id="rId245"/>
    <hyperlink xmlns:r="http://schemas.openxmlformats.org/officeDocument/2006/relationships" ref="J49" r:id="rId246"/>
    <hyperlink xmlns:r="http://schemas.openxmlformats.org/officeDocument/2006/relationships" ref="K49" r:id="rId247"/>
    <hyperlink xmlns:r="http://schemas.openxmlformats.org/officeDocument/2006/relationships" ref="L49" r:id="rId248"/>
    <hyperlink xmlns:r="http://schemas.openxmlformats.org/officeDocument/2006/relationships" ref="N49" r:id="rId249"/>
    <hyperlink xmlns:r="http://schemas.openxmlformats.org/officeDocument/2006/relationships" ref="O49" r:id="rId250"/>
    <hyperlink xmlns:r="http://schemas.openxmlformats.org/officeDocument/2006/relationships" ref="F52" r:id="rId251"/>
    <hyperlink xmlns:r="http://schemas.openxmlformats.org/officeDocument/2006/relationships" ref="G52" r:id="rId252"/>
    <hyperlink xmlns:r="http://schemas.openxmlformats.org/officeDocument/2006/relationships" ref="H52" r:id="rId253"/>
    <hyperlink xmlns:r="http://schemas.openxmlformats.org/officeDocument/2006/relationships" ref="J52" r:id="rId254"/>
    <hyperlink xmlns:r="http://schemas.openxmlformats.org/officeDocument/2006/relationships" ref="K52" r:id="rId255"/>
    <hyperlink xmlns:r="http://schemas.openxmlformats.org/officeDocument/2006/relationships" ref="L52" r:id="rId256"/>
    <hyperlink xmlns:r="http://schemas.openxmlformats.org/officeDocument/2006/relationships" ref="N52" r:id="rId257"/>
    <hyperlink xmlns:r="http://schemas.openxmlformats.org/officeDocument/2006/relationships" ref="O52" r:id="rId258"/>
    <hyperlink xmlns:r="http://schemas.openxmlformats.org/officeDocument/2006/relationships" ref="F53" r:id="rId259"/>
    <hyperlink xmlns:r="http://schemas.openxmlformats.org/officeDocument/2006/relationships" ref="G53" r:id="rId260"/>
    <hyperlink xmlns:r="http://schemas.openxmlformats.org/officeDocument/2006/relationships" ref="H53" r:id="rId261"/>
    <hyperlink xmlns:r="http://schemas.openxmlformats.org/officeDocument/2006/relationships" ref="J53" r:id="rId262"/>
    <hyperlink xmlns:r="http://schemas.openxmlformats.org/officeDocument/2006/relationships" ref="K53" r:id="rId263"/>
    <hyperlink xmlns:r="http://schemas.openxmlformats.org/officeDocument/2006/relationships" ref="L53" r:id="rId264"/>
    <hyperlink xmlns:r="http://schemas.openxmlformats.org/officeDocument/2006/relationships" ref="N53" r:id="rId265"/>
    <hyperlink xmlns:r="http://schemas.openxmlformats.org/officeDocument/2006/relationships" ref="O53" r:id="rId266"/>
    <hyperlink xmlns:r="http://schemas.openxmlformats.org/officeDocument/2006/relationships" ref="F54" r:id="rId267"/>
    <hyperlink xmlns:r="http://schemas.openxmlformats.org/officeDocument/2006/relationships" ref="G54" r:id="rId268"/>
    <hyperlink xmlns:r="http://schemas.openxmlformats.org/officeDocument/2006/relationships" ref="H54" r:id="rId269"/>
    <hyperlink xmlns:r="http://schemas.openxmlformats.org/officeDocument/2006/relationships" ref="J54" r:id="rId270"/>
    <hyperlink xmlns:r="http://schemas.openxmlformats.org/officeDocument/2006/relationships" ref="K54" r:id="rId271"/>
    <hyperlink xmlns:r="http://schemas.openxmlformats.org/officeDocument/2006/relationships" ref="L54" r:id="rId272"/>
    <hyperlink xmlns:r="http://schemas.openxmlformats.org/officeDocument/2006/relationships" ref="N54" r:id="rId273"/>
    <hyperlink xmlns:r="http://schemas.openxmlformats.org/officeDocument/2006/relationships" ref="O54" r:id="rId274"/>
    <hyperlink xmlns:r="http://schemas.openxmlformats.org/officeDocument/2006/relationships" ref="F55" r:id="rId275"/>
    <hyperlink xmlns:r="http://schemas.openxmlformats.org/officeDocument/2006/relationships" ref="G55" r:id="rId276"/>
    <hyperlink xmlns:r="http://schemas.openxmlformats.org/officeDocument/2006/relationships" ref="H55" r:id="rId277"/>
    <hyperlink xmlns:r="http://schemas.openxmlformats.org/officeDocument/2006/relationships" ref="J55" r:id="rId278"/>
    <hyperlink xmlns:r="http://schemas.openxmlformats.org/officeDocument/2006/relationships" ref="K55" r:id="rId279"/>
    <hyperlink xmlns:r="http://schemas.openxmlformats.org/officeDocument/2006/relationships" ref="L55" r:id="rId280"/>
    <hyperlink xmlns:r="http://schemas.openxmlformats.org/officeDocument/2006/relationships" ref="N55" r:id="rId281"/>
    <hyperlink xmlns:r="http://schemas.openxmlformats.org/officeDocument/2006/relationships" ref="O55" r:id="rId282"/>
    <hyperlink xmlns:r="http://schemas.openxmlformats.org/officeDocument/2006/relationships" ref="F56" r:id="rId283"/>
    <hyperlink xmlns:r="http://schemas.openxmlformats.org/officeDocument/2006/relationships" ref="G56" r:id="rId284"/>
    <hyperlink xmlns:r="http://schemas.openxmlformats.org/officeDocument/2006/relationships" ref="H56" r:id="rId285"/>
    <hyperlink xmlns:r="http://schemas.openxmlformats.org/officeDocument/2006/relationships" ref="J56" r:id="rId286"/>
    <hyperlink xmlns:r="http://schemas.openxmlformats.org/officeDocument/2006/relationships" ref="K56" r:id="rId287"/>
    <hyperlink xmlns:r="http://schemas.openxmlformats.org/officeDocument/2006/relationships" ref="L56" r:id="rId288"/>
    <hyperlink xmlns:r="http://schemas.openxmlformats.org/officeDocument/2006/relationships" ref="N56" r:id="rId289"/>
    <hyperlink xmlns:r="http://schemas.openxmlformats.org/officeDocument/2006/relationships" ref="O56" r:id="rId290"/>
    <hyperlink xmlns:r="http://schemas.openxmlformats.org/officeDocument/2006/relationships" ref="F57" r:id="rId291"/>
    <hyperlink xmlns:r="http://schemas.openxmlformats.org/officeDocument/2006/relationships" ref="G57" r:id="rId292"/>
    <hyperlink xmlns:r="http://schemas.openxmlformats.org/officeDocument/2006/relationships" ref="H57" r:id="rId293"/>
    <hyperlink xmlns:r="http://schemas.openxmlformats.org/officeDocument/2006/relationships" ref="J57" r:id="rId294"/>
    <hyperlink xmlns:r="http://schemas.openxmlformats.org/officeDocument/2006/relationships" ref="K57" r:id="rId295"/>
    <hyperlink xmlns:r="http://schemas.openxmlformats.org/officeDocument/2006/relationships" ref="L57" r:id="rId296"/>
    <hyperlink xmlns:r="http://schemas.openxmlformats.org/officeDocument/2006/relationships" ref="N57" r:id="rId297"/>
    <hyperlink xmlns:r="http://schemas.openxmlformats.org/officeDocument/2006/relationships" ref="O57" r:id="rId298"/>
    <hyperlink xmlns:r="http://schemas.openxmlformats.org/officeDocument/2006/relationships" ref="F58" r:id="rId299"/>
    <hyperlink xmlns:r="http://schemas.openxmlformats.org/officeDocument/2006/relationships" ref="G58" r:id="rId300"/>
    <hyperlink xmlns:r="http://schemas.openxmlformats.org/officeDocument/2006/relationships" ref="H58" r:id="rId301"/>
    <hyperlink xmlns:r="http://schemas.openxmlformats.org/officeDocument/2006/relationships" ref="J58" r:id="rId302"/>
    <hyperlink xmlns:r="http://schemas.openxmlformats.org/officeDocument/2006/relationships" ref="K58" r:id="rId303"/>
    <hyperlink xmlns:r="http://schemas.openxmlformats.org/officeDocument/2006/relationships" ref="L58" r:id="rId304"/>
    <hyperlink xmlns:r="http://schemas.openxmlformats.org/officeDocument/2006/relationships" ref="N58" r:id="rId305"/>
    <hyperlink xmlns:r="http://schemas.openxmlformats.org/officeDocument/2006/relationships" ref="O58" r:id="rId306"/>
  </hyperlink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D9480F"/>
    <outlinePr summaryBelow="0"/>
    <pageSetUpPr fitToPage="1"/>
  </sheetPr>
  <dimension ref="A1:P50"/>
  <sheetViews>
    <sheetView showGridLines="0" zoomScale="110" workbookViewId="0">
      <pane xSplit="2" ySplit="6" topLeftCell="C7" activePane="bottomRight" state="frozen"/>
      <selection pane="topRight"/>
      <selection pane="bottomLeft"/>
      <selection pane="bottomRight" activeCell="A1" sqref="A1"/>
    </sheetView>
  </sheetViews>
  <sheetFormatPr baseColWidth="8" defaultRowHeight="15"/>
  <cols>
    <col width="7" customWidth="1" min="1" max="1"/>
    <col width="54" customWidth="1" min="2" max="2"/>
    <col width="6" customWidth="1" min="3" max="3"/>
    <col width="9" customWidth="1" min="4" max="4"/>
    <col width="30" customWidth="1" min="5" max="5"/>
    <col width="10" customWidth="1" min="6" max="6"/>
    <col width="19" customWidth="1" min="7" max="7"/>
    <col width="10" customWidth="1" min="8" max="8"/>
    <col width="30" customWidth="1" min="9" max="9"/>
    <col width="19" customWidth="1" min="10" max="10"/>
    <col width="11" customWidth="1" min="11" max="11"/>
    <col width="9" customWidth="1" min="12" max="12"/>
    <col width="13" customWidth="1" min="13" max="13"/>
    <col width="19" customWidth="1" min="14" max="14"/>
    <col width="11" customWidth="1" min="15" max="15"/>
    <col hidden="1" width="13" customWidth="1" min="16" max="16"/>
  </cols>
  <sheetData>
    <row r="1" ht="34" customHeight="1">
      <c r="A1" s="51" t="inlineStr">
        <is>
          <t>Mechanics</t>
        </is>
      </c>
    </row>
    <row r="2">
      <c r="A2" s="20" t="inlineStr">
        <is>
          <t>Paper 3, Section B  ·  36 topics  ·  pick R, A or G in the yellow Rating column for each one</t>
        </is>
      </c>
    </row>
    <row r="3">
      <c r="A3" s="21">
        <f>"Rated so far: "&amp;(COUNTIF($D$7:$D$50,"R")+COUNTIF($D$7:$D$50,"A")+COUNTIF($D$7:$D$50,"G"))&amp;" of 36     Red "&amp;COUNTIF($D$7:$D$50,"R")&amp;"   ·   Amber "&amp;COUNTIF($D$7:$D$50,"A")&amp;"   ·   Green "&amp;COUNTIF($D$7:$D$50,"G")</f>
        <v/>
      </c>
    </row>
    <row r="4" ht="8" customHeight="1"/>
    <row r="5">
      <c r="A5" s="22" t="inlineStr">
        <is>
          <t>Your check</t>
        </is>
      </c>
      <c r="B5" s="23" t="n"/>
      <c r="C5" s="23" t="n"/>
      <c r="D5" s="23" t="n"/>
      <c r="E5" s="23" t="n"/>
      <c r="F5" s="24" t="inlineStr">
        <is>
          <t>Maths Genie</t>
        </is>
      </c>
      <c r="G5" s="23" t="n"/>
      <c r="H5" s="23" t="n"/>
      <c r="I5" s="24" t="inlineStr">
        <is>
          <t>PMT worksheet</t>
        </is>
      </c>
      <c r="J5" s="23" t="n"/>
      <c r="K5" s="23" t="n"/>
      <c r="L5" s="23" t="n"/>
      <c r="M5" s="24" t="inlineStr">
        <is>
          <t>Textbook chapter test</t>
        </is>
      </c>
      <c r="N5" s="23" t="n"/>
      <c r="O5" s="23" t="n"/>
    </row>
    <row r="6" ht="22" customHeight="1">
      <c r="A6" s="52" t="inlineStr">
        <is>
          <t>Ref</t>
        </is>
      </c>
      <c r="B6" s="53" t="inlineStr">
        <is>
          <t>Topic</t>
        </is>
      </c>
      <c r="C6" s="52" t="inlineStr">
        <is>
          <t>Year</t>
        </is>
      </c>
      <c r="D6" s="52" t="inlineStr">
        <is>
          <t>Rating</t>
        </is>
      </c>
      <c r="E6" s="53" t="inlineStr">
        <is>
          <t>Notes</t>
        </is>
      </c>
      <c r="F6" s="52" t="inlineStr">
        <is>
          <t>Video</t>
        </is>
      </c>
      <c r="G6" s="52" t="inlineStr">
        <is>
          <t>Questions</t>
        </is>
      </c>
      <c r="H6" s="52" t="inlineStr">
        <is>
          <t>Answers</t>
        </is>
      </c>
      <c r="I6" s="53" t="inlineStr">
        <is>
          <t>Worksheet</t>
        </is>
      </c>
      <c r="J6" s="52" t="inlineStr">
        <is>
          <t>Questions</t>
        </is>
      </c>
      <c r="K6" s="52" t="inlineStr">
        <is>
          <t>Mark scheme</t>
        </is>
      </c>
      <c r="L6" s="52" t="inlineStr">
        <is>
          <t>Answers</t>
        </is>
      </c>
      <c r="M6" s="52" t="inlineStr">
        <is>
          <t>Textbook</t>
        </is>
      </c>
      <c r="N6" s="52" t="inlineStr">
        <is>
          <t>Questions</t>
        </is>
      </c>
      <c r="O6" s="52" t="inlineStr">
        <is>
          <t>Mark scheme</t>
        </is>
      </c>
    </row>
    <row r="7" ht="10" customHeight="1"/>
    <row r="8" ht="26" customHeight="1">
      <c r="A8" s="54" t="inlineStr">
        <is>
          <t>6</t>
        </is>
      </c>
      <c r="B8" s="55" t="inlineStr">
        <is>
          <t>Quantities and units in mechanics</t>
        </is>
      </c>
      <c r="C8" s="56" t="n"/>
      <c r="D8" s="56" t="n"/>
      <c r="E8" s="57" t="inlineStr">
        <is>
          <t>2 topics  ·  Year 1: 2</t>
        </is>
      </c>
      <c r="F8" s="56" t="n"/>
      <c r="G8" s="56" t="n"/>
      <c r="H8" s="56" t="n"/>
      <c r="I8" s="56" t="n"/>
      <c r="J8" s="56" t="n"/>
      <c r="K8" s="56" t="n"/>
      <c r="L8" s="56" t="n"/>
      <c r="M8" s="56" t="n"/>
      <c r="N8" s="56" t="n"/>
      <c r="O8" s="56" t="n"/>
    </row>
    <row r="9" outlineLevel="1" ht="20" customHeight="1">
      <c r="A9" s="31" t="inlineStr">
        <is>
          <t>M6.1</t>
        </is>
      </c>
      <c r="B9" s="32" t="inlineStr">
        <is>
          <t>SI units and derived quantities</t>
        </is>
      </c>
      <c r="C9" s="33" t="n">
        <v>1</v>
      </c>
      <c r="D9" s="34" t="n"/>
      <c r="E9" s="35" t="n"/>
      <c r="F9" s="36" t="inlineStr">
        <is>
          <t>▶ Watch</t>
        </is>
      </c>
      <c r="G9" s="36" t="inlineStr">
        <is>
          <t>Q 3</t>
        </is>
      </c>
      <c r="H9" s="36" t="inlineStr">
        <is>
          <t>Answers</t>
        </is>
      </c>
      <c r="I9" s="35" t="inlineStr">
        <is>
          <t>Motion Graphs (Yr 2)</t>
        </is>
      </c>
      <c r="J9" s="36" t="inlineStr">
        <is>
          <t>Page 1</t>
        </is>
      </c>
      <c r="K9" s="36" t="inlineStr">
        <is>
          <t>Marks</t>
        </is>
      </c>
      <c r="L9" s="36" t="inlineStr">
        <is>
          <t>Answers</t>
        </is>
      </c>
      <c r="M9" s="31" t="inlineStr">
        <is>
          <t>Applied 1 Ch8</t>
        </is>
      </c>
      <c r="N9" s="37" t="inlineStr">
        <is>
          <t>Page 11</t>
        </is>
      </c>
      <c r="O9" s="37" t="inlineStr">
        <is>
          <t>Marks</t>
        </is>
      </c>
      <c r="P9" t="inlineStr">
        <is>
          <t>M6</t>
        </is>
      </c>
    </row>
    <row r="10" outlineLevel="1" ht="32" customHeight="1">
      <c r="A10" s="31" t="inlineStr">
        <is>
          <t>OT3.5</t>
        </is>
      </c>
      <c r="B10" s="32" t="inlineStr">
        <is>
          <t>Modelling assumptions (particle, light, inextensible, smooth, rigid)</t>
        </is>
      </c>
      <c r="C10" s="33" t="n">
        <v>1</v>
      </c>
      <c r="D10" s="34" t="n"/>
      <c r="E10" s="35" t="n"/>
      <c r="F10" s="36" t="inlineStr">
        <is>
          <t>▶ Watch</t>
        </is>
      </c>
      <c r="G10" s="36" t="inlineStr">
        <is>
          <t>Q 16, 17</t>
        </is>
      </c>
      <c r="H10" s="36" t="inlineStr">
        <is>
          <t>Answers</t>
        </is>
      </c>
      <c r="I10" s="35" t="inlineStr">
        <is>
          <t>suvat</t>
        </is>
      </c>
      <c r="J10" s="36" t="inlineStr">
        <is>
          <t>Pages 1–3, 7</t>
        </is>
      </c>
      <c r="K10" s="36" t="inlineStr">
        <is>
          <t>Marks</t>
        </is>
      </c>
      <c r="L10" s="36" t="inlineStr">
        <is>
          <t>Answers</t>
        </is>
      </c>
      <c r="M10" s="31" t="inlineStr">
        <is>
          <t>Applied 1 Ch8</t>
        </is>
      </c>
      <c r="N10" s="37" t="inlineStr">
        <is>
          <t>Pages 2, 3</t>
        </is>
      </c>
      <c r="O10" s="37" t="inlineStr">
        <is>
          <t>Marks</t>
        </is>
      </c>
      <c r="P10" t="inlineStr">
        <is>
          <t>M6</t>
        </is>
      </c>
    </row>
    <row r="11" ht="10" customHeight="1"/>
    <row r="12" ht="26" customHeight="1">
      <c r="A12" s="54" t="inlineStr">
        <is>
          <t>7</t>
        </is>
      </c>
      <c r="B12" s="55" t="inlineStr">
        <is>
          <t>Kinematics</t>
        </is>
      </c>
      <c r="C12" s="56" t="n"/>
      <c r="D12" s="56" t="n"/>
      <c r="E12" s="57" t="inlineStr">
        <is>
          <t>15 topics  ·  Year 1: 10  ·  Year 2: 5</t>
        </is>
      </c>
      <c r="F12" s="56" t="n"/>
      <c r="G12" s="56" t="n"/>
      <c r="H12" s="56" t="n"/>
      <c r="I12" s="56" t="n"/>
      <c r="J12" s="56" t="n"/>
      <c r="K12" s="56" t="n"/>
      <c r="L12" s="56" t="n"/>
      <c r="M12" s="56" t="n"/>
      <c r="N12" s="56" t="n"/>
      <c r="O12" s="56" t="n"/>
    </row>
    <row r="13" outlineLevel="1" ht="32" customHeight="1">
      <c r="A13" s="31" t="inlineStr">
        <is>
          <t>M7.1</t>
        </is>
      </c>
      <c r="B13" s="32" t="inlineStr">
        <is>
          <t>Language of kinematics: position, displacement, distance, velocity, speed, acceleration</t>
        </is>
      </c>
      <c r="C13" s="33" t="n">
        <v>1</v>
      </c>
      <c r="D13" s="34" t="n"/>
      <c r="E13" s="35" t="n"/>
      <c r="F13" s="36" t="inlineStr">
        <is>
          <t>▶ Watch</t>
        </is>
      </c>
      <c r="G13" s="38" t="inlineStr">
        <is>
          <t>none on this topic</t>
        </is>
      </c>
      <c r="H13" s="41" t="n"/>
      <c r="I13" s="35" t="inlineStr">
        <is>
          <t>suvat</t>
        </is>
      </c>
      <c r="J13" s="36" t="inlineStr">
        <is>
          <t>Page 1</t>
        </is>
      </c>
      <c r="K13" s="36" t="inlineStr">
        <is>
          <t>Marks</t>
        </is>
      </c>
      <c r="L13" s="36" t="inlineStr">
        <is>
          <t>Answers</t>
        </is>
      </c>
      <c r="M13" s="31" t="inlineStr">
        <is>
          <t>Applied 1 Ch9</t>
        </is>
      </c>
      <c r="N13" s="37" t="inlineStr">
        <is>
          <t>Page 9</t>
        </is>
      </c>
      <c r="O13" s="37" t="inlineStr">
        <is>
          <t>Marks</t>
        </is>
      </c>
      <c r="P13" t="inlineStr">
        <is>
          <t>M7</t>
        </is>
      </c>
    </row>
    <row r="14" outlineLevel="1" ht="20" customHeight="1">
      <c r="A14" s="31" t="inlineStr">
        <is>
          <t>M7.2</t>
        </is>
      </c>
      <c r="B14" s="32" t="inlineStr">
        <is>
          <t>Displacement-time graphs</t>
        </is>
      </c>
      <c r="C14" s="33" t="n">
        <v>1</v>
      </c>
      <c r="D14" s="34" t="n"/>
      <c r="E14" s="35" t="n"/>
      <c r="F14" s="36" t="inlineStr">
        <is>
          <t>▶ Watch</t>
        </is>
      </c>
      <c r="G14" s="38" t="inlineStr">
        <is>
          <t>none on this topic</t>
        </is>
      </c>
      <c r="H14" s="41" t="n"/>
      <c r="I14" s="42" t="inlineStr">
        <is>
          <t>none for this topic</t>
        </is>
      </c>
      <c r="J14" s="38" t="inlineStr">
        <is>
          <t>none on this topic</t>
        </is>
      </c>
      <c r="K14" s="41" t="n"/>
      <c r="L14" s="41" t="n"/>
      <c r="M14" s="31" t="inlineStr">
        <is>
          <t>Applied 1 Ch9</t>
        </is>
      </c>
      <c r="N14" s="38" t="inlineStr">
        <is>
          <t>none</t>
        </is>
      </c>
      <c r="O14" s="40" t="n"/>
      <c r="P14" t="inlineStr">
        <is>
          <t>M7</t>
        </is>
      </c>
    </row>
    <row r="15" outlineLevel="1" ht="20" customHeight="1">
      <c r="A15" s="31" t="inlineStr">
        <is>
          <t>M7.2</t>
        </is>
      </c>
      <c r="B15" s="32" t="inlineStr">
        <is>
          <t>Velocity-time graphs (gradient and area)</t>
        </is>
      </c>
      <c r="C15" s="33" t="n">
        <v>1</v>
      </c>
      <c r="D15" s="34" t="n"/>
      <c r="E15" s="35" t="n"/>
      <c r="F15" s="36" t="inlineStr">
        <is>
          <t>▶ Watch</t>
        </is>
      </c>
      <c r="G15" s="36" t="inlineStr">
        <is>
          <t>Q 1–4</t>
        </is>
      </c>
      <c r="H15" s="36" t="inlineStr">
        <is>
          <t>Answers</t>
        </is>
      </c>
      <c r="I15" s="35" t="inlineStr">
        <is>
          <t>Motion Graphs</t>
        </is>
      </c>
      <c r="J15" s="36" t="inlineStr">
        <is>
          <t>Pages 1, 2</t>
        </is>
      </c>
      <c r="K15" s="36" t="inlineStr">
        <is>
          <t>Marks</t>
        </is>
      </c>
      <c r="L15" s="36" t="inlineStr">
        <is>
          <t>Answers</t>
        </is>
      </c>
      <c r="M15" s="31" t="inlineStr">
        <is>
          <t>Applied 1 Ch9</t>
        </is>
      </c>
      <c r="N15" s="37" t="inlineStr">
        <is>
          <t>Pages 2–7, 9, 12</t>
        </is>
      </c>
      <c r="O15" s="37" t="inlineStr">
        <is>
          <t>Marks</t>
        </is>
      </c>
      <c r="P15" t="inlineStr">
        <is>
          <t>M7</t>
        </is>
      </c>
    </row>
    <row r="16" outlineLevel="1" ht="20" customHeight="1">
      <c r="A16" s="31" t="inlineStr">
        <is>
          <t>M7.3</t>
        </is>
      </c>
      <c r="B16" s="32" t="inlineStr">
        <is>
          <t>Constant acceleration (suvat) formulae</t>
        </is>
      </c>
      <c r="C16" s="33" t="n">
        <v>1</v>
      </c>
      <c r="D16" s="34" t="n"/>
      <c r="E16" s="35" t="n"/>
      <c r="F16" s="36" t="inlineStr">
        <is>
          <t>▶ Watch</t>
        </is>
      </c>
      <c r="G16" s="36" t="inlineStr">
        <is>
          <t>Q 1, 3, 5–7, 9</t>
        </is>
      </c>
      <c r="H16" s="36" t="inlineStr">
        <is>
          <t>Answers</t>
        </is>
      </c>
      <c r="I16" s="35" t="inlineStr">
        <is>
          <t>suvat</t>
        </is>
      </c>
      <c r="J16" s="36" t="inlineStr">
        <is>
          <t>Pages 1–3, 5</t>
        </is>
      </c>
      <c r="K16" s="36" t="inlineStr">
        <is>
          <t>Marks</t>
        </is>
      </c>
      <c r="L16" s="36" t="inlineStr">
        <is>
          <t>Answers</t>
        </is>
      </c>
      <c r="M16" s="31" t="inlineStr">
        <is>
          <t>Applied 1 Ch9</t>
        </is>
      </c>
      <c r="N16" s="37" t="inlineStr">
        <is>
          <t>Pages 1, 3–7, 10, 11</t>
        </is>
      </c>
      <c r="O16" s="37" t="inlineStr">
        <is>
          <t>Marks</t>
        </is>
      </c>
      <c r="P16" t="inlineStr">
        <is>
          <t>M7</t>
        </is>
      </c>
    </row>
    <row r="17" outlineLevel="1" ht="20" customHeight="1">
      <c r="A17" s="31" t="inlineStr">
        <is>
          <t>M7.3</t>
        </is>
      </c>
      <c r="B17" s="32" t="inlineStr">
        <is>
          <t>suvat: multi-stage and two-particle problems</t>
        </is>
      </c>
      <c r="C17" s="33" t="n">
        <v>1</v>
      </c>
      <c r="D17" s="34" t="n"/>
      <c r="E17" s="35" t="n"/>
      <c r="F17" s="36" t="inlineStr">
        <is>
          <t>▶ Watch</t>
        </is>
      </c>
      <c r="G17" s="36" t="inlineStr">
        <is>
          <t>Q 11–14, 16</t>
        </is>
      </c>
      <c r="H17" s="36" t="inlineStr">
        <is>
          <t>Answers</t>
        </is>
      </c>
      <c r="I17" s="35" t="inlineStr">
        <is>
          <t>Motion Graphs</t>
        </is>
      </c>
      <c r="J17" s="36" t="inlineStr">
        <is>
          <t>Pages 1, 2</t>
        </is>
      </c>
      <c r="K17" s="36" t="inlineStr">
        <is>
          <t>Marks</t>
        </is>
      </c>
      <c r="L17" s="36" t="inlineStr">
        <is>
          <t>Answers</t>
        </is>
      </c>
      <c r="M17" s="31" t="inlineStr">
        <is>
          <t>Applied 1 Ch9</t>
        </is>
      </c>
      <c r="N17" s="37" t="inlineStr">
        <is>
          <t>Pages 2–7, 9, 12</t>
        </is>
      </c>
      <c r="O17" s="37" t="inlineStr">
        <is>
          <t>Marks</t>
        </is>
      </c>
      <c r="P17" t="inlineStr">
        <is>
          <t>M7</t>
        </is>
      </c>
    </row>
    <row r="18" outlineLevel="1" ht="32" customHeight="1">
      <c r="A18" s="31" t="inlineStr">
        <is>
          <t>M7.3</t>
        </is>
      </c>
      <c r="B18" s="32" t="inlineStr">
        <is>
          <t>Vertical motion under gravity (suvat with g)</t>
        </is>
      </c>
      <c r="C18" s="33" t="n">
        <v>1</v>
      </c>
      <c r="D18" s="34" t="n"/>
      <c r="E18" s="35" t="n"/>
      <c r="F18" s="36" t="inlineStr">
        <is>
          <t>▶ Watch</t>
        </is>
      </c>
      <c r="G18" s="36" t="inlineStr">
        <is>
          <t>Q 2, 4, 8, 10, 15, 17</t>
        </is>
      </c>
      <c r="H18" s="36" t="inlineStr">
        <is>
          <t>Answers</t>
        </is>
      </c>
      <c r="I18" s="35" t="inlineStr">
        <is>
          <t>suvat</t>
        </is>
      </c>
      <c r="J18" s="36" t="inlineStr">
        <is>
          <t>Pages 1–3</t>
        </is>
      </c>
      <c r="K18" s="36" t="inlineStr">
        <is>
          <t>Marks</t>
        </is>
      </c>
      <c r="L18" s="36" t="inlineStr">
        <is>
          <t>Answers</t>
        </is>
      </c>
      <c r="M18" s="31" t="inlineStr">
        <is>
          <t>Applied 1 Ch9</t>
        </is>
      </c>
      <c r="N18" s="37" t="inlineStr">
        <is>
          <t>Pages 1–3, 5, 7, 10, 11</t>
        </is>
      </c>
      <c r="O18" s="37" t="inlineStr">
        <is>
          <t>Marks</t>
        </is>
      </c>
      <c r="P18" t="inlineStr">
        <is>
          <t>M7</t>
        </is>
      </c>
    </row>
    <row r="19" outlineLevel="1" ht="20" customHeight="1">
      <c r="A19" s="31" t="inlineStr">
        <is>
          <t>M7.4</t>
        </is>
      </c>
      <c r="B19" s="32" t="inlineStr">
        <is>
          <t>Variable acceleration: using differentiation</t>
        </is>
      </c>
      <c r="C19" s="33" t="n">
        <v>1</v>
      </c>
      <c r="D19" s="34" t="n"/>
      <c r="E19" s="35" t="n"/>
      <c r="F19" s="36" t="inlineStr">
        <is>
          <t>▶ Watch</t>
        </is>
      </c>
      <c r="G19" s="36" t="inlineStr">
        <is>
          <t>Q 4, 5, 8, 9, 11</t>
        </is>
      </c>
      <c r="H19" s="36" t="inlineStr">
        <is>
          <t>Answers</t>
        </is>
      </c>
      <c r="I19" s="35" t="inlineStr">
        <is>
          <t>Calculus in Kinematics</t>
        </is>
      </c>
      <c r="J19" s="36" t="inlineStr">
        <is>
          <t>Pages 1–3</t>
        </is>
      </c>
      <c r="K19" s="36" t="inlineStr">
        <is>
          <t>Marks</t>
        </is>
      </c>
      <c r="L19" s="36" t="inlineStr">
        <is>
          <t>Answers</t>
        </is>
      </c>
      <c r="M19" s="31" t="inlineStr">
        <is>
          <t>Applied 1 Ch11</t>
        </is>
      </c>
      <c r="N19" s="37" t="inlineStr">
        <is>
          <t>Pages 1–4</t>
        </is>
      </c>
      <c r="O19" s="37" t="inlineStr">
        <is>
          <t>Marks</t>
        </is>
      </c>
      <c r="P19" t="inlineStr">
        <is>
          <t>M7</t>
        </is>
      </c>
    </row>
    <row r="20" outlineLevel="1" ht="20" customHeight="1">
      <c r="A20" s="31" t="inlineStr">
        <is>
          <t>M7.4</t>
        </is>
      </c>
      <c r="B20" s="32" t="inlineStr">
        <is>
          <t>Variable acceleration: maxima and minima</t>
        </is>
      </c>
      <c r="C20" s="33" t="n">
        <v>1</v>
      </c>
      <c r="D20" s="34" t="n"/>
      <c r="E20" s="35" t="n"/>
      <c r="F20" s="36" t="inlineStr">
        <is>
          <t>▶ Watch</t>
        </is>
      </c>
      <c r="G20" s="36" t="inlineStr">
        <is>
          <t>Q 5, 6, 8</t>
        </is>
      </c>
      <c r="H20" s="36" t="inlineStr">
        <is>
          <t>Answers</t>
        </is>
      </c>
      <c r="I20" s="35" t="inlineStr">
        <is>
          <t>Set A: Problems with calculus</t>
        </is>
      </c>
      <c r="J20" s="36" t="inlineStr">
        <is>
          <t>Pages 1, 2</t>
        </is>
      </c>
      <c r="K20" s="38" t="inlineStr">
        <is>
          <t>in the PDF</t>
        </is>
      </c>
      <c r="L20" s="38" t="inlineStr">
        <is>
          <t>in the PDF</t>
        </is>
      </c>
      <c r="M20" s="31" t="inlineStr">
        <is>
          <t>Applied 1 Ch11</t>
        </is>
      </c>
      <c r="N20" s="37" t="inlineStr">
        <is>
          <t>Pages 1, 3</t>
        </is>
      </c>
      <c r="O20" s="37" t="inlineStr">
        <is>
          <t>Marks</t>
        </is>
      </c>
      <c r="P20" t="inlineStr">
        <is>
          <t>M7</t>
        </is>
      </c>
    </row>
    <row r="21" outlineLevel="1" ht="20" customHeight="1">
      <c r="A21" s="31" t="inlineStr">
        <is>
          <t>M7.4</t>
        </is>
      </c>
      <c r="B21" s="32" t="inlineStr">
        <is>
          <t>Variable acceleration: using integration</t>
        </is>
      </c>
      <c r="C21" s="33" t="n">
        <v>1</v>
      </c>
      <c r="D21" s="34" t="n"/>
      <c r="E21" s="35" t="n"/>
      <c r="F21" s="36" t="inlineStr">
        <is>
          <t>▶ Watch</t>
        </is>
      </c>
      <c r="G21" s="36" t="inlineStr">
        <is>
          <t>Q 1–4, 6, 7, 10, 12</t>
        </is>
      </c>
      <c r="H21" s="36" t="inlineStr">
        <is>
          <t>Answers</t>
        </is>
      </c>
      <c r="I21" s="35" t="inlineStr">
        <is>
          <t>Calculus in Kinematics</t>
        </is>
      </c>
      <c r="J21" s="36" t="inlineStr">
        <is>
          <t>Pages 1, 3</t>
        </is>
      </c>
      <c r="K21" s="36" t="inlineStr">
        <is>
          <t>Marks</t>
        </is>
      </c>
      <c r="L21" s="36" t="inlineStr">
        <is>
          <t>Answers</t>
        </is>
      </c>
      <c r="M21" s="31" t="inlineStr">
        <is>
          <t>Applied 1 Ch11</t>
        </is>
      </c>
      <c r="N21" s="37" t="inlineStr">
        <is>
          <t>Pages 5, 7–10</t>
        </is>
      </c>
      <c r="O21" s="37" t="inlineStr">
        <is>
          <t>Marks</t>
        </is>
      </c>
      <c r="P21" t="inlineStr">
        <is>
          <t>M7</t>
        </is>
      </c>
    </row>
    <row r="22" outlineLevel="1" ht="20" customHeight="1">
      <c r="A22" s="31" t="inlineStr">
        <is>
          <t>M7.3</t>
        </is>
      </c>
      <c r="B22" s="32" t="inlineStr">
        <is>
          <t>Deriving the suvat formulae (using graphs or calculus)</t>
        </is>
      </c>
      <c r="C22" s="33" t="n">
        <v>1</v>
      </c>
      <c r="D22" s="34" t="n"/>
      <c r="E22" s="35" t="n"/>
      <c r="F22" s="36" t="inlineStr">
        <is>
          <t>▶ Watch</t>
        </is>
      </c>
      <c r="G22" s="38" t="inlineStr">
        <is>
          <t>none on this topic</t>
        </is>
      </c>
      <c r="H22" s="41" t="n"/>
      <c r="I22" s="35" t="inlineStr">
        <is>
          <t>Set B: Motion Graphs</t>
        </is>
      </c>
      <c r="J22" s="36" t="inlineStr">
        <is>
          <t>Page 1</t>
        </is>
      </c>
      <c r="K22" s="38" t="inlineStr">
        <is>
          <t>none</t>
        </is>
      </c>
      <c r="L22" s="36" t="inlineStr">
        <is>
          <t>Answers</t>
        </is>
      </c>
      <c r="M22" s="31" t="inlineStr">
        <is>
          <t>Applied 1 Ch11</t>
        </is>
      </c>
      <c r="N22" s="37" t="inlineStr">
        <is>
          <t>Page 1</t>
        </is>
      </c>
      <c r="O22" s="37" t="inlineStr">
        <is>
          <t>Marks</t>
        </is>
      </c>
      <c r="P22" t="inlineStr">
        <is>
          <t>M7</t>
        </is>
      </c>
    </row>
    <row r="23" outlineLevel="1" ht="32" customHeight="1">
      <c r="A23" s="31" t="inlineStr">
        <is>
          <t>M7.3</t>
        </is>
      </c>
      <c r="B23" s="32" t="inlineStr">
        <is>
          <t>Constant acceleration in 2D with vectors</t>
        </is>
      </c>
      <c r="C23" s="58" t="n">
        <v>2</v>
      </c>
      <c r="D23" s="34" t="n"/>
      <c r="E23" s="35" t="n"/>
      <c r="F23" s="36" t="inlineStr">
        <is>
          <t>▶ Watch</t>
        </is>
      </c>
      <c r="G23" s="36" t="inlineStr">
        <is>
          <t>Q 1, 2, 6, 16, 18, 19</t>
        </is>
      </c>
      <c r="H23" s="36" t="inlineStr">
        <is>
          <t>Answers</t>
        </is>
      </c>
      <c r="I23" s="35" t="inlineStr">
        <is>
          <t>suvat (Yr 2)</t>
        </is>
      </c>
      <c r="J23" s="36" t="inlineStr">
        <is>
          <t>Pages 1, 3</t>
        </is>
      </c>
      <c r="K23" s="36" t="inlineStr">
        <is>
          <t>Marks</t>
        </is>
      </c>
      <c r="L23" s="36" t="inlineStr">
        <is>
          <t>Answers</t>
        </is>
      </c>
      <c r="M23" s="31" t="inlineStr">
        <is>
          <t>Applied 2 Ch8</t>
        </is>
      </c>
      <c r="N23" s="37" t="inlineStr">
        <is>
          <t>Pages 1, 3, 4, 6, 8, 10, 12, 13</t>
        </is>
      </c>
      <c r="O23" s="37" t="inlineStr">
        <is>
          <t>Marks</t>
        </is>
      </c>
      <c r="P23" t="inlineStr">
        <is>
          <t>M7</t>
        </is>
      </c>
    </row>
    <row r="24" outlineLevel="1" ht="32" customHeight="1">
      <c r="A24" s="31" t="inlineStr">
        <is>
          <t>M7.4</t>
        </is>
      </c>
      <c r="B24" s="32" t="inlineStr">
        <is>
          <t>Variable acceleration in 2D: differentiating and integrating vectors</t>
        </is>
      </c>
      <c r="C24" s="58" t="n">
        <v>2</v>
      </c>
      <c r="D24" s="34" t="n"/>
      <c r="E24" s="35" t="n"/>
      <c r="F24" s="36" t="inlineStr">
        <is>
          <t>▶ Watch</t>
        </is>
      </c>
      <c r="G24" s="36" t="inlineStr">
        <is>
          <t>Q 11–15, 17, 20, 21</t>
        </is>
      </c>
      <c r="H24" s="36" t="inlineStr">
        <is>
          <t>Answers</t>
        </is>
      </c>
      <c r="I24" s="35" t="inlineStr">
        <is>
          <t>Calculus in Kinematics (Yr 2)</t>
        </is>
      </c>
      <c r="J24" s="36" t="inlineStr">
        <is>
          <t>Pages 1–4</t>
        </is>
      </c>
      <c r="K24" s="36" t="inlineStr">
        <is>
          <t>Marks</t>
        </is>
      </c>
      <c r="L24" s="36" t="inlineStr">
        <is>
          <t>Answers</t>
        </is>
      </c>
      <c r="M24" s="31" t="inlineStr">
        <is>
          <t>Applied 2 Ch8</t>
        </is>
      </c>
      <c r="N24" s="37" t="inlineStr">
        <is>
          <t>Pages 1, 3, 4, 6, 11</t>
        </is>
      </c>
      <c r="O24" s="37" t="inlineStr">
        <is>
          <t>Marks</t>
        </is>
      </c>
      <c r="P24" t="inlineStr">
        <is>
          <t>M7</t>
        </is>
      </c>
    </row>
    <row r="25" outlineLevel="1" ht="20" customHeight="1">
      <c r="A25" s="31" t="inlineStr">
        <is>
          <t>M7.5</t>
        </is>
      </c>
      <c r="B25" s="32" t="inlineStr">
        <is>
          <t>Projectiles: horizontal projection</t>
        </is>
      </c>
      <c r="C25" s="58" t="n">
        <v>2</v>
      </c>
      <c r="D25" s="34" t="n"/>
      <c r="E25" s="35" t="n"/>
      <c r="F25" s="36" t="inlineStr">
        <is>
          <t>▶ Watch</t>
        </is>
      </c>
      <c r="G25" s="38" t="inlineStr">
        <is>
          <t>none on this topic</t>
        </is>
      </c>
      <c r="H25" s="41" t="n"/>
      <c r="I25" s="35" t="inlineStr">
        <is>
          <t>Set A: Projectiles 2 (Yr 2)</t>
        </is>
      </c>
      <c r="J25" s="36" t="inlineStr">
        <is>
          <t>Page 9</t>
        </is>
      </c>
      <c r="K25" s="38" t="inlineStr">
        <is>
          <t>in the PDF</t>
        </is>
      </c>
      <c r="L25" s="38" t="inlineStr">
        <is>
          <t>in the PDF</t>
        </is>
      </c>
      <c r="M25" s="31" t="inlineStr">
        <is>
          <t>Applied 2 Ch6</t>
        </is>
      </c>
      <c r="N25" s="37" t="inlineStr">
        <is>
          <t>Page 6</t>
        </is>
      </c>
      <c r="O25" s="37" t="inlineStr">
        <is>
          <t>Marks</t>
        </is>
      </c>
      <c r="P25" t="inlineStr">
        <is>
          <t>M7</t>
        </is>
      </c>
    </row>
    <row r="26" outlineLevel="1" ht="32" customHeight="1">
      <c r="A26" s="31" t="inlineStr">
        <is>
          <t>M7.5</t>
        </is>
      </c>
      <c r="B26" s="32" t="inlineStr">
        <is>
          <t>Projectiles at any angle (horizontal and vertical components)</t>
        </is>
      </c>
      <c r="C26" s="58" t="n">
        <v>2</v>
      </c>
      <c r="D26" s="34" t="n"/>
      <c r="E26" s="35" t="n"/>
      <c r="F26" s="36" t="inlineStr">
        <is>
          <t>▶ Watch</t>
        </is>
      </c>
      <c r="G26" s="36" t="inlineStr">
        <is>
          <t>Q 1–5, 7–9</t>
        </is>
      </c>
      <c r="H26" s="36" t="inlineStr">
        <is>
          <t>Answers</t>
        </is>
      </c>
      <c r="I26" s="35" t="inlineStr">
        <is>
          <t>Projectiles (Yr 2)</t>
        </is>
      </c>
      <c r="J26" s="36" t="inlineStr">
        <is>
          <t>Pages 1–3</t>
        </is>
      </c>
      <c r="K26" s="36" t="inlineStr">
        <is>
          <t>Marks</t>
        </is>
      </c>
      <c r="L26" s="36" t="inlineStr">
        <is>
          <t>Answers</t>
        </is>
      </c>
      <c r="M26" s="31" t="inlineStr">
        <is>
          <t>Applied 2 Ch6</t>
        </is>
      </c>
      <c r="N26" s="37" t="inlineStr">
        <is>
          <t>Pages 1, 3, 4, 7, 10–12, 14</t>
        </is>
      </c>
      <c r="O26" s="37" t="inlineStr">
        <is>
          <t>Marks</t>
        </is>
      </c>
      <c r="P26" t="inlineStr">
        <is>
          <t>M7</t>
        </is>
      </c>
    </row>
    <row r="27" outlineLevel="1" ht="32" customHeight="1">
      <c r="A27" s="31" t="inlineStr">
        <is>
          <t>M7.5</t>
        </is>
      </c>
      <c r="B27" s="32" t="inlineStr">
        <is>
          <t>Projectile formulae: time of flight, range, maximum height, equation of the path</t>
        </is>
      </c>
      <c r="C27" s="58" t="n">
        <v>2</v>
      </c>
      <c r="D27" s="34" t="n"/>
      <c r="E27" s="35" t="n"/>
      <c r="F27" s="36" t="inlineStr">
        <is>
          <t>▶ Watch</t>
        </is>
      </c>
      <c r="G27" s="36" t="inlineStr">
        <is>
          <t>Q 1, 3, 5, 6</t>
        </is>
      </c>
      <c r="H27" s="36" t="inlineStr">
        <is>
          <t>Answers</t>
        </is>
      </c>
      <c r="I27" s="35" t="inlineStr">
        <is>
          <t>Projectiles (Yr 2)</t>
        </is>
      </c>
      <c r="J27" s="36" t="inlineStr">
        <is>
          <t>Pages 1–3</t>
        </is>
      </c>
      <c r="K27" s="36" t="inlineStr">
        <is>
          <t>Marks</t>
        </is>
      </c>
      <c r="L27" s="36" t="inlineStr">
        <is>
          <t>Answers</t>
        </is>
      </c>
      <c r="M27" s="31" t="inlineStr">
        <is>
          <t>Applied 2 Ch6</t>
        </is>
      </c>
      <c r="N27" s="37" t="inlineStr">
        <is>
          <t>Pages 1, 3, 6, 10, 13</t>
        </is>
      </c>
      <c r="O27" s="37" t="inlineStr">
        <is>
          <t>Marks</t>
        </is>
      </c>
      <c r="P27" t="inlineStr">
        <is>
          <t>M7</t>
        </is>
      </c>
    </row>
    <row r="28" ht="10" customHeight="1"/>
    <row r="29" ht="26" customHeight="1">
      <c r="A29" s="54" t="inlineStr">
        <is>
          <t>8</t>
        </is>
      </c>
      <c r="B29" s="55" t="inlineStr">
        <is>
          <t>Forces and Newton's laws</t>
        </is>
      </c>
      <c r="C29" s="56" t="n"/>
      <c r="D29" s="56" t="n"/>
      <c r="E29" s="57" t="inlineStr">
        <is>
          <t>13 topics  ·  Year 1: 6  ·  Year 2: 7</t>
        </is>
      </c>
      <c r="F29" s="56" t="n"/>
      <c r="G29" s="56" t="n"/>
      <c r="H29" s="56" t="n"/>
      <c r="I29" s="56" t="n"/>
      <c r="J29" s="56" t="n"/>
      <c r="K29" s="56" t="n"/>
      <c r="L29" s="56" t="n"/>
      <c r="M29" s="56" t="n"/>
      <c r="N29" s="56" t="n"/>
      <c r="O29" s="56" t="n"/>
    </row>
    <row r="30" outlineLevel="1" ht="20" customHeight="1">
      <c r="A30" s="31" t="inlineStr">
        <is>
          <t>M8.1</t>
        </is>
      </c>
      <c r="B30" s="32" t="inlineStr">
        <is>
          <t>Force diagrams, types of force and Newton's first law</t>
        </is>
      </c>
      <c r="C30" s="33" t="n">
        <v>1</v>
      </c>
      <c r="D30" s="34" t="n"/>
      <c r="E30" s="35" t="n"/>
      <c r="F30" s="36" t="inlineStr">
        <is>
          <t>▶ Watch</t>
        </is>
      </c>
      <c r="G30" s="36" t="inlineStr">
        <is>
          <t>Q 6</t>
        </is>
      </c>
      <c r="H30" s="36" t="inlineStr">
        <is>
          <t>Answers</t>
        </is>
      </c>
      <c r="I30" s="42" t="inlineStr">
        <is>
          <t>none for this topic</t>
        </is>
      </c>
      <c r="J30" s="38" t="inlineStr">
        <is>
          <t>none on this topic</t>
        </is>
      </c>
      <c r="K30" s="41" t="n"/>
      <c r="L30" s="41" t="n"/>
      <c r="M30" s="31" t="inlineStr">
        <is>
          <t>Applied 1 Ch10</t>
        </is>
      </c>
      <c r="N30" s="38" t="inlineStr">
        <is>
          <t>none</t>
        </is>
      </c>
      <c r="O30" s="40" t="n"/>
      <c r="P30" t="inlineStr">
        <is>
          <t>M8</t>
        </is>
      </c>
    </row>
    <row r="31" outlineLevel="1" ht="20" customHeight="1">
      <c r="A31" s="31" t="inlineStr">
        <is>
          <t>M8.2</t>
        </is>
      </c>
      <c r="B31" s="32" t="inlineStr">
        <is>
          <t>Forces as vectors in i, j form</t>
        </is>
      </c>
      <c r="C31" s="33" t="n">
        <v>1</v>
      </c>
      <c r="D31" s="34" t="n"/>
      <c r="E31" s="35" t="n"/>
      <c r="F31" s="36" t="inlineStr">
        <is>
          <t>▶ Watch</t>
        </is>
      </c>
      <c r="G31" s="36" t="inlineStr">
        <is>
          <t>Q 6, 9, 12</t>
        </is>
      </c>
      <c r="H31" s="36" t="inlineStr">
        <is>
          <t>Answers</t>
        </is>
      </c>
      <c r="I31" s="35" t="inlineStr">
        <is>
          <t>Forces &amp; Newton's Laws</t>
        </is>
      </c>
      <c r="J31" s="36" t="inlineStr">
        <is>
          <t>Page 4</t>
        </is>
      </c>
      <c r="K31" s="36" t="inlineStr">
        <is>
          <t>Marks</t>
        </is>
      </c>
      <c r="L31" s="36" t="inlineStr">
        <is>
          <t>Answers</t>
        </is>
      </c>
      <c r="M31" s="31" t="inlineStr">
        <is>
          <t>Applied 1 Ch10</t>
        </is>
      </c>
      <c r="N31" s="37" t="inlineStr">
        <is>
          <t>Pages 6, 9, 12, 13</t>
        </is>
      </c>
      <c r="O31" s="37" t="inlineStr">
        <is>
          <t>Marks</t>
        </is>
      </c>
      <c r="P31" t="inlineStr">
        <is>
          <t>M8</t>
        </is>
      </c>
    </row>
    <row r="32" outlineLevel="1" ht="20" customHeight="1">
      <c r="A32" s="31" t="inlineStr">
        <is>
          <t>M8.2</t>
        </is>
      </c>
      <c r="B32" s="32" t="inlineStr">
        <is>
          <t>Newton's second law F = ma (incl. weight, M8.3)</t>
        </is>
      </c>
      <c r="C32" s="33" t="n">
        <v>1</v>
      </c>
      <c r="D32" s="34" t="n"/>
      <c r="E32" s="35" t="n"/>
      <c r="F32" s="36" t="inlineStr">
        <is>
          <t>▶ Watch</t>
        </is>
      </c>
      <c r="G32" s="36" t="inlineStr">
        <is>
          <t>Q 3–5</t>
        </is>
      </c>
      <c r="H32" s="36" t="inlineStr">
        <is>
          <t>Answers</t>
        </is>
      </c>
      <c r="I32" s="35" t="inlineStr">
        <is>
          <t>Forces &amp; Newton's Laws</t>
        </is>
      </c>
      <c r="J32" s="36" t="inlineStr">
        <is>
          <t>Pages 1, 2, 5</t>
        </is>
      </c>
      <c r="K32" s="36" t="inlineStr">
        <is>
          <t>Marks</t>
        </is>
      </c>
      <c r="L32" s="36" t="inlineStr">
        <is>
          <t>Answers</t>
        </is>
      </c>
      <c r="M32" s="31" t="inlineStr">
        <is>
          <t>Applied 1 Ch10</t>
        </is>
      </c>
      <c r="N32" s="37" t="inlineStr">
        <is>
          <t>Pages 10, 11</t>
        </is>
      </c>
      <c r="O32" s="37" t="inlineStr">
        <is>
          <t>Marks</t>
        </is>
      </c>
      <c r="P32" t="inlineStr">
        <is>
          <t>M8</t>
        </is>
      </c>
    </row>
    <row r="33" outlineLevel="1" ht="20" customHeight="1">
      <c r="A33" s="31" t="inlineStr">
        <is>
          <t>M8.2</t>
        </is>
      </c>
      <c r="B33" s="32" t="inlineStr">
        <is>
          <t>F = ma in 2D with vectors</t>
        </is>
      </c>
      <c r="C33" s="33" t="n">
        <v>1</v>
      </c>
      <c r="D33" s="34" t="n"/>
      <c r="E33" s="35" t="n"/>
      <c r="F33" s="36" t="inlineStr">
        <is>
          <t>▶ Watch</t>
        </is>
      </c>
      <c r="G33" s="36" t="inlineStr">
        <is>
          <t>Q 7, 8</t>
        </is>
      </c>
      <c r="H33" s="36" t="inlineStr">
        <is>
          <t>Answers</t>
        </is>
      </c>
      <c r="I33" s="35" t="inlineStr">
        <is>
          <t>Forces &amp; Newton's Laws</t>
        </is>
      </c>
      <c r="J33" s="36" t="inlineStr">
        <is>
          <t>Page 4</t>
        </is>
      </c>
      <c r="K33" s="36" t="inlineStr">
        <is>
          <t>Marks</t>
        </is>
      </c>
      <c r="L33" s="36" t="inlineStr">
        <is>
          <t>Answers</t>
        </is>
      </c>
      <c r="M33" s="31" t="inlineStr">
        <is>
          <t>Applied 1 Ch10</t>
        </is>
      </c>
      <c r="N33" s="37" t="inlineStr">
        <is>
          <t>Pages 6, 9, 12, 13</t>
        </is>
      </c>
      <c r="O33" s="37" t="inlineStr">
        <is>
          <t>Marks</t>
        </is>
      </c>
      <c r="P33" t="inlineStr">
        <is>
          <t>M8</t>
        </is>
      </c>
    </row>
    <row r="34" outlineLevel="1" ht="20" customHeight="1">
      <c r="A34" s="31" t="inlineStr">
        <is>
          <t>M8.4</t>
        </is>
      </c>
      <c r="B34" s="32" t="inlineStr">
        <is>
          <t>Connected particles (incl. Newton's third law)</t>
        </is>
      </c>
      <c r="C34" s="33" t="n">
        <v>1</v>
      </c>
      <c r="D34" s="34" t="n"/>
      <c r="E34" s="35" t="n"/>
      <c r="F34" s="36" t="inlineStr">
        <is>
          <t>▶ Watch</t>
        </is>
      </c>
      <c r="G34" s="36" t="inlineStr">
        <is>
          <t>Q 3–5</t>
        </is>
      </c>
      <c r="H34" s="36" t="inlineStr">
        <is>
          <t>Answers</t>
        </is>
      </c>
      <c r="I34" s="35" t="inlineStr">
        <is>
          <t>Forces &amp; Newton's Laws</t>
        </is>
      </c>
      <c r="J34" s="36" t="inlineStr">
        <is>
          <t>Pages 1, 2</t>
        </is>
      </c>
      <c r="K34" s="36" t="inlineStr">
        <is>
          <t>Marks</t>
        </is>
      </c>
      <c r="L34" s="36" t="inlineStr">
        <is>
          <t>Answers</t>
        </is>
      </c>
      <c r="M34" s="31" t="inlineStr">
        <is>
          <t>Applied 1 Ch10</t>
        </is>
      </c>
      <c r="N34" s="37" t="inlineStr">
        <is>
          <t>Page 11</t>
        </is>
      </c>
      <c r="O34" s="37" t="inlineStr">
        <is>
          <t>Marks</t>
        </is>
      </c>
      <c r="P34" t="inlineStr">
        <is>
          <t>M8</t>
        </is>
      </c>
    </row>
    <row r="35" outlineLevel="1" ht="20" customHeight="1">
      <c r="A35" s="31" t="inlineStr">
        <is>
          <t>M8.4</t>
        </is>
      </c>
      <c r="B35" s="32" t="inlineStr">
        <is>
          <t>Pulleys</t>
        </is>
      </c>
      <c r="C35" s="33" t="n">
        <v>1</v>
      </c>
      <c r="D35" s="34" t="n"/>
      <c r="E35" s="35" t="n"/>
      <c r="F35" s="36" t="inlineStr">
        <is>
          <t>▶ Watch</t>
        </is>
      </c>
      <c r="G35" s="36" t="inlineStr">
        <is>
          <t>Q 1, 2, 13–15</t>
        </is>
      </c>
      <c r="H35" s="36" t="inlineStr">
        <is>
          <t>Answers</t>
        </is>
      </c>
      <c r="I35" s="35" t="inlineStr">
        <is>
          <t>Connected Particles (Yr 2)</t>
        </is>
      </c>
      <c r="J35" s="36" t="inlineStr">
        <is>
          <t>Page 1</t>
        </is>
      </c>
      <c r="K35" s="36" t="inlineStr">
        <is>
          <t>Marks</t>
        </is>
      </c>
      <c r="L35" s="36" t="inlineStr">
        <is>
          <t>Answers</t>
        </is>
      </c>
      <c r="M35" s="31" t="inlineStr">
        <is>
          <t>Applied 1 Ch10</t>
        </is>
      </c>
      <c r="N35" s="37" t="inlineStr">
        <is>
          <t>Pages 1–4, 10</t>
        </is>
      </c>
      <c r="O35" s="37" t="inlineStr">
        <is>
          <t>Marks</t>
        </is>
      </c>
      <c r="P35" t="inlineStr">
        <is>
          <t>M8</t>
        </is>
      </c>
    </row>
    <row r="36" outlineLevel="1" ht="32" customHeight="1">
      <c r="A36" s="31" t="inlineStr">
        <is>
          <t>M8.5</t>
        </is>
      </c>
      <c r="B36" s="32" t="inlineStr">
        <is>
          <t>Resolving forces and resultant forces (magnitude-direction form)</t>
        </is>
      </c>
      <c r="C36" s="58" t="n">
        <v>2</v>
      </c>
      <c r="D36" s="34" t="n"/>
      <c r="E36" s="35" t="n"/>
      <c r="F36" s="36" t="inlineStr">
        <is>
          <t>▶ Watch</t>
        </is>
      </c>
      <c r="G36" s="36" t="inlineStr">
        <is>
          <t>Q 1–3, 8</t>
        </is>
      </c>
      <c r="H36" s="36" t="inlineStr">
        <is>
          <t>Answers</t>
        </is>
      </c>
      <c r="I36" s="35" t="inlineStr">
        <is>
          <t>Forces &amp; Newton's Laws</t>
        </is>
      </c>
      <c r="J36" s="36" t="inlineStr">
        <is>
          <t>Pages 3, 6</t>
        </is>
      </c>
      <c r="K36" s="36" t="inlineStr">
        <is>
          <t>Marks</t>
        </is>
      </c>
      <c r="L36" s="36" t="inlineStr">
        <is>
          <t>Answers</t>
        </is>
      </c>
      <c r="M36" s="31" t="inlineStr">
        <is>
          <t>Applied 2 Ch5</t>
        </is>
      </c>
      <c r="N36" s="37" t="inlineStr">
        <is>
          <t>Pages 1, 5, 7, 16</t>
        </is>
      </c>
      <c r="O36" s="37" t="inlineStr">
        <is>
          <t>Marks</t>
        </is>
      </c>
      <c r="P36" t="inlineStr">
        <is>
          <t>M8</t>
        </is>
      </c>
    </row>
    <row r="37" outlineLevel="1" ht="32" customHeight="1">
      <c r="A37" s="31" t="inlineStr">
        <is>
          <t>M8.2</t>
        </is>
      </c>
      <c r="B37" s="32" t="inlineStr">
        <is>
          <t>Inclined planes</t>
        </is>
      </c>
      <c r="C37" s="58" t="n">
        <v>2</v>
      </c>
      <c r="D37" s="34" t="n"/>
      <c r="E37" s="35" t="n"/>
      <c r="F37" s="36" t="inlineStr">
        <is>
          <t>▶ Watch</t>
        </is>
      </c>
      <c r="G37" s="36" t="inlineStr">
        <is>
          <t>Q 4–7, 9, 10</t>
        </is>
      </c>
      <c r="H37" s="36" t="inlineStr">
        <is>
          <t>Answers</t>
        </is>
      </c>
      <c r="I37" s="35" t="inlineStr">
        <is>
          <t>F = ma on a slope (Yr 2)</t>
        </is>
      </c>
      <c r="J37" s="36" t="inlineStr">
        <is>
          <t>Pages 1, 2</t>
        </is>
      </c>
      <c r="K37" s="36" t="inlineStr">
        <is>
          <t>Marks</t>
        </is>
      </c>
      <c r="L37" s="36" t="inlineStr">
        <is>
          <t>Answers</t>
        </is>
      </c>
      <c r="M37" s="31" t="inlineStr">
        <is>
          <t>Applied 2 Ch5</t>
        </is>
      </c>
      <c r="N37" s="37" t="inlineStr">
        <is>
          <t>Pages 3, 4, 7, 11, 16</t>
        </is>
      </c>
      <c r="O37" s="37" t="inlineStr">
        <is>
          <t>Marks</t>
        </is>
      </c>
      <c r="P37" t="inlineStr">
        <is>
          <t>M8</t>
        </is>
      </c>
    </row>
    <row r="38" outlineLevel="1" ht="32" customHeight="1">
      <c r="A38" s="31" t="inlineStr">
        <is>
          <t>M8.6</t>
        </is>
      </c>
      <c r="B38" s="32" t="inlineStr">
        <is>
          <t>Friction (F ≤ μR) and limiting friction</t>
        </is>
      </c>
      <c r="C38" s="58" t="n">
        <v>2</v>
      </c>
      <c r="D38" s="34" t="n"/>
      <c r="E38" s="35" t="n"/>
      <c r="F38" s="36" t="inlineStr">
        <is>
          <t>▶ Watch</t>
        </is>
      </c>
      <c r="G38" s="36" t="inlineStr">
        <is>
          <t>Q 3–10</t>
        </is>
      </c>
      <c r="H38" s="36" t="inlineStr">
        <is>
          <t>Answers</t>
        </is>
      </c>
      <c r="I38" s="35" t="inlineStr">
        <is>
          <t>Forces &amp; Newton's Laws</t>
        </is>
      </c>
      <c r="J38" s="36" t="inlineStr">
        <is>
          <t>Pages 3, 5</t>
        </is>
      </c>
      <c r="K38" s="36" t="inlineStr">
        <is>
          <t>Marks</t>
        </is>
      </c>
      <c r="L38" s="36" t="inlineStr">
        <is>
          <t>Answers</t>
        </is>
      </c>
      <c r="M38" s="31" t="inlineStr">
        <is>
          <t>Applied 2 Ch5</t>
        </is>
      </c>
      <c r="N38" s="37" t="inlineStr">
        <is>
          <t>Pages 1, 3–5, 7, 11, 16</t>
        </is>
      </c>
      <c r="O38" s="37" t="inlineStr">
        <is>
          <t>Marks</t>
        </is>
      </c>
      <c r="P38" t="inlineStr">
        <is>
          <t>M8</t>
        </is>
      </c>
    </row>
    <row r="39" outlineLevel="1" ht="20" customHeight="1">
      <c r="A39" s="31" t="inlineStr">
        <is>
          <t>M8.4</t>
        </is>
      </c>
      <c r="B39" s="32" t="inlineStr">
        <is>
          <t>Statics: particles in equilibrium</t>
        </is>
      </c>
      <c r="C39" s="58" t="n">
        <v>2</v>
      </c>
      <c r="D39" s="34" t="n"/>
      <c r="E39" s="35" t="n"/>
      <c r="F39" s="36" t="inlineStr">
        <is>
          <t>▶ Watch</t>
        </is>
      </c>
      <c r="G39" s="36" t="inlineStr">
        <is>
          <t>Q 1, 2</t>
        </is>
      </c>
      <c r="H39" s="36" t="inlineStr">
        <is>
          <t>Answers</t>
        </is>
      </c>
      <c r="I39" s="35" t="inlineStr">
        <is>
          <t>Forces &amp; Newton's Laws</t>
        </is>
      </c>
      <c r="J39" s="36" t="inlineStr">
        <is>
          <t>Page 3</t>
        </is>
      </c>
      <c r="K39" s="36" t="inlineStr">
        <is>
          <t>Marks</t>
        </is>
      </c>
      <c r="L39" s="36" t="inlineStr">
        <is>
          <t>Answers</t>
        </is>
      </c>
      <c r="M39" s="31" t="inlineStr">
        <is>
          <t>Applied 2 Ch7</t>
        </is>
      </c>
      <c r="N39" s="37" t="inlineStr">
        <is>
          <t>Pages 3, 7, 10, 16</t>
        </is>
      </c>
      <c r="O39" s="37" t="inlineStr">
        <is>
          <t>Marks</t>
        </is>
      </c>
      <c r="P39" t="inlineStr">
        <is>
          <t>M8</t>
        </is>
      </c>
    </row>
    <row r="40" outlineLevel="1" ht="32" customHeight="1">
      <c r="A40" s="31" t="inlineStr">
        <is>
          <t>M8.6</t>
        </is>
      </c>
      <c r="B40" s="32" t="inlineStr">
        <is>
          <t>Friction and static particles (limiting equilibrium)</t>
        </is>
      </c>
      <c r="C40" s="58" t="n">
        <v>2</v>
      </c>
      <c r="D40" s="34" t="n"/>
      <c r="E40" s="35" t="n"/>
      <c r="F40" s="36" t="inlineStr">
        <is>
          <t>▶ Watch</t>
        </is>
      </c>
      <c r="G40" s="36" t="inlineStr">
        <is>
          <t>Q 3, 4, 6, 7, 10</t>
        </is>
      </c>
      <c r="H40" s="36" t="inlineStr">
        <is>
          <t>Answers</t>
        </is>
      </c>
      <c r="I40" s="35" t="inlineStr">
        <is>
          <t>Forces &amp; Newton's Laws</t>
        </is>
      </c>
      <c r="J40" s="36" t="inlineStr">
        <is>
          <t>Page 3</t>
        </is>
      </c>
      <c r="K40" s="36" t="inlineStr">
        <is>
          <t>Marks</t>
        </is>
      </c>
      <c r="L40" s="36" t="inlineStr">
        <is>
          <t>Answers</t>
        </is>
      </c>
      <c r="M40" s="31" t="inlineStr">
        <is>
          <t>Applied 2 Ch7</t>
        </is>
      </c>
      <c r="N40" s="37" t="inlineStr">
        <is>
          <t>Pages 3, 4, 7, 9, 10, 16</t>
        </is>
      </c>
      <c r="O40" s="37" t="inlineStr">
        <is>
          <t>Marks</t>
        </is>
      </c>
      <c r="P40" t="inlineStr">
        <is>
          <t>M8</t>
        </is>
      </c>
    </row>
    <row r="41" outlineLevel="1" ht="20" customHeight="1">
      <c r="A41" s="31" t="inlineStr">
        <is>
          <t>M8.2</t>
        </is>
      </c>
      <c r="B41" s="32" t="inlineStr">
        <is>
          <t>Dynamics on inclined planes</t>
        </is>
      </c>
      <c r="C41" s="58" t="n">
        <v>2</v>
      </c>
      <c r="D41" s="34" t="n"/>
      <c r="E41" s="35" t="n"/>
      <c r="F41" s="36" t="inlineStr">
        <is>
          <t>▶ Watch</t>
        </is>
      </c>
      <c r="G41" s="36" t="inlineStr">
        <is>
          <t>Q 5, 9, 10</t>
        </is>
      </c>
      <c r="H41" s="36" t="inlineStr">
        <is>
          <t>Answers</t>
        </is>
      </c>
      <c r="I41" s="35" t="inlineStr">
        <is>
          <t>F = ma on a slope (Yr 2)</t>
        </is>
      </c>
      <c r="J41" s="36" t="inlineStr">
        <is>
          <t>Pages 1, 2</t>
        </is>
      </c>
      <c r="K41" s="36" t="inlineStr">
        <is>
          <t>Marks</t>
        </is>
      </c>
      <c r="L41" s="36" t="inlineStr">
        <is>
          <t>Answers</t>
        </is>
      </c>
      <c r="M41" s="31" t="inlineStr">
        <is>
          <t>Applied 2 Ch7</t>
        </is>
      </c>
      <c r="N41" s="37" t="inlineStr">
        <is>
          <t>Pages 4, 6, 11, 16</t>
        </is>
      </c>
      <c r="O41" s="37" t="inlineStr">
        <is>
          <t>Marks</t>
        </is>
      </c>
      <c r="P41" t="inlineStr">
        <is>
          <t>M8</t>
        </is>
      </c>
    </row>
    <row r="42" outlineLevel="1" ht="32" customHeight="1">
      <c r="A42" s="31" t="inlineStr">
        <is>
          <t>M8.4</t>
        </is>
      </c>
      <c r="B42" s="32" t="inlineStr">
        <is>
          <t>Connected particles on slopes and with friction</t>
        </is>
      </c>
      <c r="C42" s="58" t="n">
        <v>2</v>
      </c>
      <c r="D42" s="34" t="n"/>
      <c r="E42" s="35" t="n"/>
      <c r="F42" s="36" t="inlineStr">
        <is>
          <t>▶ Watch</t>
        </is>
      </c>
      <c r="G42" s="36" t="inlineStr">
        <is>
          <t>Q 6–8, 10</t>
        </is>
      </c>
      <c r="H42" s="36" t="inlineStr">
        <is>
          <t>Answers</t>
        </is>
      </c>
      <c r="I42" s="35" t="inlineStr">
        <is>
          <t>Connected Particles (Yr 2)</t>
        </is>
      </c>
      <c r="J42" s="36" t="inlineStr">
        <is>
          <t>Page 2</t>
        </is>
      </c>
      <c r="K42" s="36" t="inlineStr">
        <is>
          <t>Marks</t>
        </is>
      </c>
      <c r="L42" s="36" t="inlineStr">
        <is>
          <t>Answers</t>
        </is>
      </c>
      <c r="M42" s="31" t="inlineStr">
        <is>
          <t>Applied 2 Ch7</t>
        </is>
      </c>
      <c r="N42" s="37" t="inlineStr">
        <is>
          <t>Pages 6, 8–10, 12, 15, 17</t>
        </is>
      </c>
      <c r="O42" s="37" t="inlineStr">
        <is>
          <t>Marks</t>
        </is>
      </c>
      <c r="P42" t="inlineStr">
        <is>
          <t>M8</t>
        </is>
      </c>
    </row>
    <row r="43" ht="10" customHeight="1"/>
    <row r="44" ht="26" customHeight="1">
      <c r="A44" s="54" t="inlineStr">
        <is>
          <t>9</t>
        </is>
      </c>
      <c r="B44" s="55" t="inlineStr">
        <is>
          <t>Moments</t>
        </is>
      </c>
      <c r="C44" s="56" t="n"/>
      <c r="D44" s="56" t="n"/>
      <c r="E44" s="57" t="inlineStr">
        <is>
          <t>6 topics  ·  Year 2: 6</t>
        </is>
      </c>
      <c r="F44" s="56" t="n"/>
      <c r="G44" s="56" t="n"/>
      <c r="H44" s="56" t="n"/>
      <c r="I44" s="56" t="n"/>
      <c r="J44" s="56" t="n"/>
      <c r="K44" s="56" t="n"/>
      <c r="L44" s="56" t="n"/>
      <c r="M44" s="56" t="n"/>
      <c r="N44" s="56" t="n"/>
      <c r="O44" s="56" t="n"/>
    </row>
    <row r="45" outlineLevel="1" ht="20" customHeight="1">
      <c r="A45" s="31" t="inlineStr">
        <is>
          <t>M9.1</t>
        </is>
      </c>
      <c r="B45" s="32" t="inlineStr">
        <is>
          <t>Moments of a force</t>
        </is>
      </c>
      <c r="C45" s="58" t="n">
        <v>2</v>
      </c>
      <c r="D45" s="34" t="n"/>
      <c r="E45" s="35" t="n"/>
      <c r="F45" s="36" t="inlineStr">
        <is>
          <t>▶ Watch</t>
        </is>
      </c>
      <c r="G45" s="36" t="inlineStr">
        <is>
          <t>Q 1, 2</t>
        </is>
      </c>
      <c r="H45" s="36" t="inlineStr">
        <is>
          <t>Answers</t>
        </is>
      </c>
      <c r="I45" s="35" t="inlineStr">
        <is>
          <t>Moments (Yr 2)</t>
        </is>
      </c>
      <c r="J45" s="36" t="inlineStr">
        <is>
          <t>Page 3</t>
        </is>
      </c>
      <c r="K45" s="36" t="inlineStr">
        <is>
          <t>Marks</t>
        </is>
      </c>
      <c r="L45" s="36" t="inlineStr">
        <is>
          <t>Answers</t>
        </is>
      </c>
      <c r="M45" s="31" t="inlineStr">
        <is>
          <t>Applied 2 Ch4</t>
        </is>
      </c>
      <c r="N45" s="37" t="inlineStr">
        <is>
          <t>Pages 1, 2, 11</t>
        </is>
      </c>
      <c r="O45" s="37" t="inlineStr">
        <is>
          <t>Marks</t>
        </is>
      </c>
      <c r="P45" t="inlineStr">
        <is>
          <t>M9</t>
        </is>
      </c>
    </row>
    <row r="46" outlineLevel="1" ht="20" customHeight="1">
      <c r="A46" s="31" t="inlineStr">
        <is>
          <t>M9.1</t>
        </is>
      </c>
      <c r="B46" s="32" t="inlineStr">
        <is>
          <t>Resultant moments</t>
        </is>
      </c>
      <c r="C46" s="58" t="n">
        <v>2</v>
      </c>
      <c r="D46" s="34" t="n"/>
      <c r="E46" s="35" t="n"/>
      <c r="F46" s="36" t="inlineStr">
        <is>
          <t>▶ Watch</t>
        </is>
      </c>
      <c r="G46" s="38" t="inlineStr">
        <is>
          <t>none on this topic</t>
        </is>
      </c>
      <c r="H46" s="41" t="n"/>
      <c r="I46" s="42" t="inlineStr">
        <is>
          <t>none for this topic</t>
        </is>
      </c>
      <c r="J46" s="38" t="inlineStr">
        <is>
          <t>none on this topic</t>
        </is>
      </c>
      <c r="K46" s="41" t="n"/>
      <c r="L46" s="41" t="n"/>
      <c r="M46" s="31" t="inlineStr">
        <is>
          <t>Applied 2 Ch4</t>
        </is>
      </c>
      <c r="N46" s="38" t="inlineStr">
        <is>
          <t>none</t>
        </is>
      </c>
      <c r="O46" s="40" t="n"/>
      <c r="P46" t="inlineStr">
        <is>
          <t>M9</t>
        </is>
      </c>
    </row>
    <row r="47" outlineLevel="1" ht="20" customHeight="1">
      <c r="A47" s="31" t="inlineStr">
        <is>
          <t>M9.1</t>
        </is>
      </c>
      <c r="B47" s="32" t="inlineStr">
        <is>
          <t>Rigid bodies in equilibrium (beams and rods)</t>
        </is>
      </c>
      <c r="C47" s="58" t="n">
        <v>2</v>
      </c>
      <c r="D47" s="34" t="n"/>
      <c r="E47" s="35" t="n"/>
      <c r="F47" s="36" t="inlineStr">
        <is>
          <t>▶ Watch</t>
        </is>
      </c>
      <c r="G47" s="36" t="inlineStr">
        <is>
          <t>Q 1–6</t>
        </is>
      </c>
      <c r="H47" s="36" t="inlineStr">
        <is>
          <t>Answers</t>
        </is>
      </c>
      <c r="I47" s="35" t="inlineStr">
        <is>
          <t>Moments (Yr 2)</t>
        </is>
      </c>
      <c r="J47" s="36" t="inlineStr">
        <is>
          <t>Page 2</t>
        </is>
      </c>
      <c r="K47" s="36" t="inlineStr">
        <is>
          <t>Marks</t>
        </is>
      </c>
      <c r="L47" s="36" t="inlineStr">
        <is>
          <t>Answers</t>
        </is>
      </c>
      <c r="M47" s="31" t="inlineStr">
        <is>
          <t>Applied 2 Ch4</t>
        </is>
      </c>
      <c r="N47" s="37" t="inlineStr">
        <is>
          <t>Pages 1–5, 8–10</t>
        </is>
      </c>
      <c r="O47" s="37" t="inlineStr">
        <is>
          <t>Marks</t>
        </is>
      </c>
      <c r="P47" t="inlineStr">
        <is>
          <t>M9</t>
        </is>
      </c>
    </row>
    <row r="48" outlineLevel="1" ht="32" customHeight="1">
      <c r="A48" s="31" t="inlineStr">
        <is>
          <t>M9.1</t>
        </is>
      </c>
      <c r="B48" s="32" t="inlineStr">
        <is>
          <t>Centres of mass of non-uniform rods</t>
        </is>
      </c>
      <c r="C48" s="58" t="n">
        <v>2</v>
      </c>
      <c r="D48" s="34" t="n"/>
      <c r="E48" s="35" t="n"/>
      <c r="F48" s="36" t="inlineStr">
        <is>
          <t>▶ Watch</t>
        </is>
      </c>
      <c r="G48" s="36" t="inlineStr">
        <is>
          <t>Q 3, 4, 6</t>
        </is>
      </c>
      <c r="H48" s="36" t="inlineStr">
        <is>
          <t>Answers</t>
        </is>
      </c>
      <c r="I48" s="35" t="inlineStr">
        <is>
          <t>Set A: Moments - Moments about a point 1 (Yr 2)</t>
        </is>
      </c>
      <c r="J48" s="36" t="inlineStr">
        <is>
          <t>Pages 5, 9</t>
        </is>
      </c>
      <c r="K48" s="38" t="inlineStr">
        <is>
          <t>in the PDF</t>
        </is>
      </c>
      <c r="L48" s="38" t="inlineStr">
        <is>
          <t>in the PDF</t>
        </is>
      </c>
      <c r="M48" s="31" t="inlineStr">
        <is>
          <t>Applied 2 Ch4</t>
        </is>
      </c>
      <c r="N48" s="37" t="inlineStr">
        <is>
          <t>Pages 7, 9, 11</t>
        </is>
      </c>
      <c r="O48" s="37" t="inlineStr">
        <is>
          <t>Marks</t>
        </is>
      </c>
      <c r="P48" t="inlineStr">
        <is>
          <t>M9</t>
        </is>
      </c>
    </row>
    <row r="49" outlineLevel="1" ht="32" customHeight="1">
      <c r="A49" s="31" t="inlineStr">
        <is>
          <t>M9.1</t>
        </is>
      </c>
      <c r="B49" s="32" t="inlineStr">
        <is>
          <t>Tilting</t>
        </is>
      </c>
      <c r="C49" s="58" t="n">
        <v>2</v>
      </c>
      <c r="D49" s="34" t="n"/>
      <c r="E49" s="35" t="n"/>
      <c r="F49" s="36" t="inlineStr">
        <is>
          <t>▶ Watch</t>
        </is>
      </c>
      <c r="G49" s="36" t="inlineStr">
        <is>
          <t>Q 5</t>
        </is>
      </c>
      <c r="H49" s="36" t="inlineStr">
        <is>
          <t>Answers</t>
        </is>
      </c>
      <c r="I49" s="35" t="inlineStr">
        <is>
          <t>Set A: Moments - Moments about a point 1 (Yr 2)</t>
        </is>
      </c>
      <c r="J49" s="36" t="inlineStr">
        <is>
          <t>Pages 3, 6, 7, 10</t>
        </is>
      </c>
      <c r="K49" s="38" t="inlineStr">
        <is>
          <t>in the PDF</t>
        </is>
      </c>
      <c r="L49" s="38" t="inlineStr">
        <is>
          <t>in the PDF</t>
        </is>
      </c>
      <c r="M49" s="31" t="inlineStr">
        <is>
          <t>Applied 2 Ch4</t>
        </is>
      </c>
      <c r="N49" s="37" t="inlineStr">
        <is>
          <t>Pages 5, 10</t>
        </is>
      </c>
      <c r="O49" s="37" t="inlineStr">
        <is>
          <t>Marks</t>
        </is>
      </c>
      <c r="P49" t="inlineStr">
        <is>
          <t>M9</t>
        </is>
      </c>
    </row>
    <row r="50" outlineLevel="1" ht="20" customHeight="1">
      <c r="A50" s="31" t="inlineStr">
        <is>
          <t>M9.1</t>
        </is>
      </c>
      <c r="B50" s="32" t="inlineStr">
        <is>
          <t>Ladders and rods against walls (incl. friction)</t>
        </is>
      </c>
      <c r="C50" s="58" t="n">
        <v>2</v>
      </c>
      <c r="D50" s="34" t="n"/>
      <c r="E50" s="35" t="n"/>
      <c r="F50" s="36" t="inlineStr">
        <is>
          <t>▶ Watch</t>
        </is>
      </c>
      <c r="G50" s="36" t="inlineStr">
        <is>
          <t>Q 1–5, 9</t>
        </is>
      </c>
      <c r="H50" s="36" t="inlineStr">
        <is>
          <t>Answers</t>
        </is>
      </c>
      <c r="I50" s="35" t="inlineStr">
        <is>
          <t>Moments (Yr 2)</t>
        </is>
      </c>
      <c r="J50" s="36" t="inlineStr">
        <is>
          <t>Pages 1, 3</t>
        </is>
      </c>
      <c r="K50" s="36" t="inlineStr">
        <is>
          <t>Marks</t>
        </is>
      </c>
      <c r="L50" s="36" t="inlineStr">
        <is>
          <t>Answers</t>
        </is>
      </c>
      <c r="M50" s="31" t="inlineStr">
        <is>
          <t>Applied 2 Ch7</t>
        </is>
      </c>
      <c r="N50" s="37" t="inlineStr">
        <is>
          <t>Pages 1, 3–7, 9</t>
        </is>
      </c>
      <c r="O50" s="37" t="inlineStr">
        <is>
          <t>Marks</t>
        </is>
      </c>
      <c r="P50" t="inlineStr">
        <is>
          <t>M9</t>
        </is>
      </c>
    </row>
  </sheetData>
  <mergeCells count="4">
    <mergeCell ref="M5:O5"/>
    <mergeCell ref="A5:E5"/>
    <mergeCell ref="F5:H5"/>
    <mergeCell ref="I5:L5"/>
  </mergeCells>
  <conditionalFormatting sqref="D7:D50">
    <cfRule type="cellIs" priority="1" operator="equal" dxfId="0">
      <formula>"R"</formula>
    </cfRule>
    <cfRule type="cellIs" priority="3" operator="equal" dxfId="1">
      <formula>"A"</formula>
    </cfRule>
    <cfRule type="cellIs" priority="5" operator="equal" dxfId="2">
      <formula>"G"</formula>
    </cfRule>
  </conditionalFormatting>
  <conditionalFormatting sqref="B7:B50">
    <cfRule type="expression" priority="2" dxfId="3">
      <formula>$D7="R"</formula>
    </cfRule>
    <cfRule type="expression" priority="4" dxfId="4">
      <formula>$D7="A"</formula>
    </cfRule>
    <cfRule type="expression" priority="6" dxfId="5">
      <formula>$D7="G"</formula>
    </cfRule>
  </conditionalFormatting>
  <dataValidations count="1">
    <dataValidation sqref="D7:D50" showDropDown="0" showInputMessage="0" showErrorMessage="1" allowBlank="1" errorTitle="R, A or G" error="Please pick R, A or G from the list." promptTitle="How confident are you?" prompt="R = can't do it yet&#10;A = getting there&#10;G = confident" type="list">
      <formula1>"R,A,G"</formula1>
    </dataValidation>
  </dataValidations>
  <hyperlinks>
    <hyperlink xmlns:r="http://schemas.openxmlformats.org/officeDocument/2006/relationships" ref="F9" r:id="rId1"/>
    <hyperlink xmlns:r="http://schemas.openxmlformats.org/officeDocument/2006/relationships" ref="G9" r:id="rId2"/>
    <hyperlink xmlns:r="http://schemas.openxmlformats.org/officeDocument/2006/relationships" ref="H9" r:id="rId3"/>
    <hyperlink xmlns:r="http://schemas.openxmlformats.org/officeDocument/2006/relationships" ref="J9" r:id="rId4"/>
    <hyperlink xmlns:r="http://schemas.openxmlformats.org/officeDocument/2006/relationships" ref="K9" r:id="rId5"/>
    <hyperlink xmlns:r="http://schemas.openxmlformats.org/officeDocument/2006/relationships" ref="L9" r:id="rId6"/>
    <hyperlink xmlns:r="http://schemas.openxmlformats.org/officeDocument/2006/relationships" ref="N9" r:id="rId7"/>
    <hyperlink xmlns:r="http://schemas.openxmlformats.org/officeDocument/2006/relationships" ref="O9" r:id="rId8"/>
    <hyperlink xmlns:r="http://schemas.openxmlformats.org/officeDocument/2006/relationships" ref="F10" r:id="rId9"/>
    <hyperlink xmlns:r="http://schemas.openxmlformats.org/officeDocument/2006/relationships" ref="G10" r:id="rId10"/>
    <hyperlink xmlns:r="http://schemas.openxmlformats.org/officeDocument/2006/relationships" ref="H10" r:id="rId11"/>
    <hyperlink xmlns:r="http://schemas.openxmlformats.org/officeDocument/2006/relationships" ref="J10" r:id="rId12"/>
    <hyperlink xmlns:r="http://schemas.openxmlformats.org/officeDocument/2006/relationships" ref="K10" r:id="rId13"/>
    <hyperlink xmlns:r="http://schemas.openxmlformats.org/officeDocument/2006/relationships" ref="L10" r:id="rId14"/>
    <hyperlink xmlns:r="http://schemas.openxmlformats.org/officeDocument/2006/relationships" ref="N10" r:id="rId15"/>
    <hyperlink xmlns:r="http://schemas.openxmlformats.org/officeDocument/2006/relationships" ref="O10" r:id="rId16"/>
    <hyperlink xmlns:r="http://schemas.openxmlformats.org/officeDocument/2006/relationships" ref="F13" r:id="rId17"/>
    <hyperlink xmlns:r="http://schemas.openxmlformats.org/officeDocument/2006/relationships" ref="J13" r:id="rId18"/>
    <hyperlink xmlns:r="http://schemas.openxmlformats.org/officeDocument/2006/relationships" ref="K13" r:id="rId19"/>
    <hyperlink xmlns:r="http://schemas.openxmlformats.org/officeDocument/2006/relationships" ref="L13" r:id="rId20"/>
    <hyperlink xmlns:r="http://schemas.openxmlformats.org/officeDocument/2006/relationships" ref="N13" r:id="rId21"/>
    <hyperlink xmlns:r="http://schemas.openxmlformats.org/officeDocument/2006/relationships" ref="O13" r:id="rId22"/>
    <hyperlink xmlns:r="http://schemas.openxmlformats.org/officeDocument/2006/relationships" ref="F14" r:id="rId23"/>
    <hyperlink xmlns:r="http://schemas.openxmlformats.org/officeDocument/2006/relationships" ref="F15" r:id="rId24"/>
    <hyperlink xmlns:r="http://schemas.openxmlformats.org/officeDocument/2006/relationships" ref="G15" r:id="rId25"/>
    <hyperlink xmlns:r="http://schemas.openxmlformats.org/officeDocument/2006/relationships" ref="H15" r:id="rId26"/>
    <hyperlink xmlns:r="http://schemas.openxmlformats.org/officeDocument/2006/relationships" ref="J15" r:id="rId27"/>
    <hyperlink xmlns:r="http://schemas.openxmlformats.org/officeDocument/2006/relationships" ref="K15" r:id="rId28"/>
    <hyperlink xmlns:r="http://schemas.openxmlformats.org/officeDocument/2006/relationships" ref="L15" r:id="rId29"/>
    <hyperlink xmlns:r="http://schemas.openxmlformats.org/officeDocument/2006/relationships" ref="N15" r:id="rId30"/>
    <hyperlink xmlns:r="http://schemas.openxmlformats.org/officeDocument/2006/relationships" ref="O15" r:id="rId31"/>
    <hyperlink xmlns:r="http://schemas.openxmlformats.org/officeDocument/2006/relationships" ref="F16" r:id="rId32"/>
    <hyperlink xmlns:r="http://schemas.openxmlformats.org/officeDocument/2006/relationships" ref="G16" r:id="rId33"/>
    <hyperlink xmlns:r="http://schemas.openxmlformats.org/officeDocument/2006/relationships" ref="H16" r:id="rId34"/>
    <hyperlink xmlns:r="http://schemas.openxmlformats.org/officeDocument/2006/relationships" ref="J16" r:id="rId35"/>
    <hyperlink xmlns:r="http://schemas.openxmlformats.org/officeDocument/2006/relationships" ref="K16" r:id="rId36"/>
    <hyperlink xmlns:r="http://schemas.openxmlformats.org/officeDocument/2006/relationships" ref="L16" r:id="rId37"/>
    <hyperlink xmlns:r="http://schemas.openxmlformats.org/officeDocument/2006/relationships" ref="N16" r:id="rId38"/>
    <hyperlink xmlns:r="http://schemas.openxmlformats.org/officeDocument/2006/relationships" ref="O16" r:id="rId39"/>
    <hyperlink xmlns:r="http://schemas.openxmlformats.org/officeDocument/2006/relationships" ref="F17" r:id="rId40"/>
    <hyperlink xmlns:r="http://schemas.openxmlformats.org/officeDocument/2006/relationships" ref="G17" r:id="rId41"/>
    <hyperlink xmlns:r="http://schemas.openxmlformats.org/officeDocument/2006/relationships" ref="H17" r:id="rId42"/>
    <hyperlink xmlns:r="http://schemas.openxmlformats.org/officeDocument/2006/relationships" ref="J17" r:id="rId43"/>
    <hyperlink xmlns:r="http://schemas.openxmlformats.org/officeDocument/2006/relationships" ref="K17" r:id="rId44"/>
    <hyperlink xmlns:r="http://schemas.openxmlformats.org/officeDocument/2006/relationships" ref="L17" r:id="rId45"/>
    <hyperlink xmlns:r="http://schemas.openxmlformats.org/officeDocument/2006/relationships" ref="N17" r:id="rId46"/>
    <hyperlink xmlns:r="http://schemas.openxmlformats.org/officeDocument/2006/relationships" ref="O17" r:id="rId47"/>
    <hyperlink xmlns:r="http://schemas.openxmlformats.org/officeDocument/2006/relationships" ref="F18" r:id="rId48"/>
    <hyperlink xmlns:r="http://schemas.openxmlformats.org/officeDocument/2006/relationships" ref="G18" r:id="rId49"/>
    <hyperlink xmlns:r="http://schemas.openxmlformats.org/officeDocument/2006/relationships" ref="H18" r:id="rId50"/>
    <hyperlink xmlns:r="http://schemas.openxmlformats.org/officeDocument/2006/relationships" ref="J18" r:id="rId51"/>
    <hyperlink xmlns:r="http://schemas.openxmlformats.org/officeDocument/2006/relationships" ref="K18" r:id="rId52"/>
    <hyperlink xmlns:r="http://schemas.openxmlformats.org/officeDocument/2006/relationships" ref="L18" r:id="rId53"/>
    <hyperlink xmlns:r="http://schemas.openxmlformats.org/officeDocument/2006/relationships" ref="N18" r:id="rId54"/>
    <hyperlink xmlns:r="http://schemas.openxmlformats.org/officeDocument/2006/relationships" ref="O18" r:id="rId55"/>
    <hyperlink xmlns:r="http://schemas.openxmlformats.org/officeDocument/2006/relationships" ref="F19" r:id="rId56"/>
    <hyperlink xmlns:r="http://schemas.openxmlformats.org/officeDocument/2006/relationships" ref="G19" r:id="rId57"/>
    <hyperlink xmlns:r="http://schemas.openxmlformats.org/officeDocument/2006/relationships" ref="H19" r:id="rId58"/>
    <hyperlink xmlns:r="http://schemas.openxmlformats.org/officeDocument/2006/relationships" ref="J19" r:id="rId59"/>
    <hyperlink xmlns:r="http://schemas.openxmlformats.org/officeDocument/2006/relationships" ref="K19" r:id="rId60"/>
    <hyperlink xmlns:r="http://schemas.openxmlformats.org/officeDocument/2006/relationships" ref="L19" r:id="rId61"/>
    <hyperlink xmlns:r="http://schemas.openxmlformats.org/officeDocument/2006/relationships" ref="N19" r:id="rId62"/>
    <hyperlink xmlns:r="http://schemas.openxmlformats.org/officeDocument/2006/relationships" ref="O19" r:id="rId63"/>
    <hyperlink xmlns:r="http://schemas.openxmlformats.org/officeDocument/2006/relationships" ref="F20" r:id="rId64"/>
    <hyperlink xmlns:r="http://schemas.openxmlformats.org/officeDocument/2006/relationships" ref="G20" r:id="rId65"/>
    <hyperlink xmlns:r="http://schemas.openxmlformats.org/officeDocument/2006/relationships" ref="H20" r:id="rId66"/>
    <hyperlink xmlns:r="http://schemas.openxmlformats.org/officeDocument/2006/relationships" ref="J20" r:id="rId67"/>
    <hyperlink xmlns:r="http://schemas.openxmlformats.org/officeDocument/2006/relationships" ref="N20" r:id="rId68"/>
    <hyperlink xmlns:r="http://schemas.openxmlformats.org/officeDocument/2006/relationships" ref="O20" r:id="rId69"/>
    <hyperlink xmlns:r="http://schemas.openxmlformats.org/officeDocument/2006/relationships" ref="F21" r:id="rId70"/>
    <hyperlink xmlns:r="http://schemas.openxmlformats.org/officeDocument/2006/relationships" ref="G21" r:id="rId71"/>
    <hyperlink xmlns:r="http://schemas.openxmlformats.org/officeDocument/2006/relationships" ref="H21" r:id="rId72"/>
    <hyperlink xmlns:r="http://schemas.openxmlformats.org/officeDocument/2006/relationships" ref="J21" r:id="rId73"/>
    <hyperlink xmlns:r="http://schemas.openxmlformats.org/officeDocument/2006/relationships" ref="K21" r:id="rId74"/>
    <hyperlink xmlns:r="http://schemas.openxmlformats.org/officeDocument/2006/relationships" ref="L21" r:id="rId75"/>
    <hyperlink xmlns:r="http://schemas.openxmlformats.org/officeDocument/2006/relationships" ref="N21" r:id="rId76"/>
    <hyperlink xmlns:r="http://schemas.openxmlformats.org/officeDocument/2006/relationships" ref="O21" r:id="rId77"/>
    <hyperlink xmlns:r="http://schemas.openxmlformats.org/officeDocument/2006/relationships" ref="F22" r:id="rId78"/>
    <hyperlink xmlns:r="http://schemas.openxmlformats.org/officeDocument/2006/relationships" ref="J22" r:id="rId79"/>
    <hyperlink xmlns:r="http://schemas.openxmlformats.org/officeDocument/2006/relationships" ref="L22" r:id="rId80"/>
    <hyperlink xmlns:r="http://schemas.openxmlformats.org/officeDocument/2006/relationships" ref="N22" r:id="rId81"/>
    <hyperlink xmlns:r="http://schemas.openxmlformats.org/officeDocument/2006/relationships" ref="O22" r:id="rId82"/>
    <hyperlink xmlns:r="http://schemas.openxmlformats.org/officeDocument/2006/relationships" ref="F23" r:id="rId83"/>
    <hyperlink xmlns:r="http://schemas.openxmlformats.org/officeDocument/2006/relationships" ref="G23" r:id="rId84"/>
    <hyperlink xmlns:r="http://schemas.openxmlformats.org/officeDocument/2006/relationships" ref="H23" r:id="rId85"/>
    <hyperlink xmlns:r="http://schemas.openxmlformats.org/officeDocument/2006/relationships" ref="J23" r:id="rId86"/>
    <hyperlink xmlns:r="http://schemas.openxmlformats.org/officeDocument/2006/relationships" ref="K23" r:id="rId87"/>
    <hyperlink xmlns:r="http://schemas.openxmlformats.org/officeDocument/2006/relationships" ref="L23" r:id="rId88"/>
    <hyperlink xmlns:r="http://schemas.openxmlformats.org/officeDocument/2006/relationships" ref="N23" r:id="rId89"/>
    <hyperlink xmlns:r="http://schemas.openxmlformats.org/officeDocument/2006/relationships" ref="O23" r:id="rId90"/>
    <hyperlink xmlns:r="http://schemas.openxmlformats.org/officeDocument/2006/relationships" ref="F24" r:id="rId91"/>
    <hyperlink xmlns:r="http://schemas.openxmlformats.org/officeDocument/2006/relationships" ref="G24" r:id="rId92"/>
    <hyperlink xmlns:r="http://schemas.openxmlformats.org/officeDocument/2006/relationships" ref="H24" r:id="rId93"/>
    <hyperlink xmlns:r="http://schemas.openxmlformats.org/officeDocument/2006/relationships" ref="J24" r:id="rId94"/>
    <hyperlink xmlns:r="http://schemas.openxmlformats.org/officeDocument/2006/relationships" ref="K24" r:id="rId95"/>
    <hyperlink xmlns:r="http://schemas.openxmlformats.org/officeDocument/2006/relationships" ref="L24" r:id="rId96"/>
    <hyperlink xmlns:r="http://schemas.openxmlformats.org/officeDocument/2006/relationships" ref="N24" r:id="rId97"/>
    <hyperlink xmlns:r="http://schemas.openxmlformats.org/officeDocument/2006/relationships" ref="O24" r:id="rId98"/>
    <hyperlink xmlns:r="http://schemas.openxmlformats.org/officeDocument/2006/relationships" ref="F25" r:id="rId99"/>
    <hyperlink xmlns:r="http://schemas.openxmlformats.org/officeDocument/2006/relationships" ref="J25" r:id="rId100"/>
    <hyperlink xmlns:r="http://schemas.openxmlformats.org/officeDocument/2006/relationships" ref="N25" r:id="rId101"/>
    <hyperlink xmlns:r="http://schemas.openxmlformats.org/officeDocument/2006/relationships" ref="O25" r:id="rId102"/>
    <hyperlink xmlns:r="http://schemas.openxmlformats.org/officeDocument/2006/relationships" ref="F26" r:id="rId103"/>
    <hyperlink xmlns:r="http://schemas.openxmlformats.org/officeDocument/2006/relationships" ref="G26" r:id="rId104"/>
    <hyperlink xmlns:r="http://schemas.openxmlformats.org/officeDocument/2006/relationships" ref="H26" r:id="rId105"/>
    <hyperlink xmlns:r="http://schemas.openxmlformats.org/officeDocument/2006/relationships" ref="J26" r:id="rId106"/>
    <hyperlink xmlns:r="http://schemas.openxmlformats.org/officeDocument/2006/relationships" ref="K26" r:id="rId107"/>
    <hyperlink xmlns:r="http://schemas.openxmlformats.org/officeDocument/2006/relationships" ref="L26" r:id="rId108"/>
    <hyperlink xmlns:r="http://schemas.openxmlformats.org/officeDocument/2006/relationships" ref="N26" r:id="rId109"/>
    <hyperlink xmlns:r="http://schemas.openxmlformats.org/officeDocument/2006/relationships" ref="O26" r:id="rId110"/>
    <hyperlink xmlns:r="http://schemas.openxmlformats.org/officeDocument/2006/relationships" ref="F27" r:id="rId111"/>
    <hyperlink xmlns:r="http://schemas.openxmlformats.org/officeDocument/2006/relationships" ref="G27" r:id="rId112"/>
    <hyperlink xmlns:r="http://schemas.openxmlformats.org/officeDocument/2006/relationships" ref="H27" r:id="rId113"/>
    <hyperlink xmlns:r="http://schemas.openxmlformats.org/officeDocument/2006/relationships" ref="J27" r:id="rId114"/>
    <hyperlink xmlns:r="http://schemas.openxmlformats.org/officeDocument/2006/relationships" ref="K27" r:id="rId115"/>
    <hyperlink xmlns:r="http://schemas.openxmlformats.org/officeDocument/2006/relationships" ref="L27" r:id="rId116"/>
    <hyperlink xmlns:r="http://schemas.openxmlformats.org/officeDocument/2006/relationships" ref="N27" r:id="rId117"/>
    <hyperlink xmlns:r="http://schemas.openxmlformats.org/officeDocument/2006/relationships" ref="O27" r:id="rId118"/>
    <hyperlink xmlns:r="http://schemas.openxmlformats.org/officeDocument/2006/relationships" ref="F30" r:id="rId119"/>
    <hyperlink xmlns:r="http://schemas.openxmlformats.org/officeDocument/2006/relationships" ref="G30" r:id="rId120"/>
    <hyperlink xmlns:r="http://schemas.openxmlformats.org/officeDocument/2006/relationships" ref="H30" r:id="rId121"/>
    <hyperlink xmlns:r="http://schemas.openxmlformats.org/officeDocument/2006/relationships" ref="F31" r:id="rId122"/>
    <hyperlink xmlns:r="http://schemas.openxmlformats.org/officeDocument/2006/relationships" ref="G31" r:id="rId123"/>
    <hyperlink xmlns:r="http://schemas.openxmlformats.org/officeDocument/2006/relationships" ref="H31" r:id="rId124"/>
    <hyperlink xmlns:r="http://schemas.openxmlformats.org/officeDocument/2006/relationships" ref="J31" r:id="rId125"/>
    <hyperlink xmlns:r="http://schemas.openxmlformats.org/officeDocument/2006/relationships" ref="K31" r:id="rId126"/>
    <hyperlink xmlns:r="http://schemas.openxmlformats.org/officeDocument/2006/relationships" ref="L31" r:id="rId127"/>
    <hyperlink xmlns:r="http://schemas.openxmlformats.org/officeDocument/2006/relationships" ref="N31" r:id="rId128"/>
    <hyperlink xmlns:r="http://schemas.openxmlformats.org/officeDocument/2006/relationships" ref="O31" r:id="rId129"/>
    <hyperlink xmlns:r="http://schemas.openxmlformats.org/officeDocument/2006/relationships" ref="F32" r:id="rId130"/>
    <hyperlink xmlns:r="http://schemas.openxmlformats.org/officeDocument/2006/relationships" ref="G32" r:id="rId131"/>
    <hyperlink xmlns:r="http://schemas.openxmlformats.org/officeDocument/2006/relationships" ref="H32" r:id="rId132"/>
    <hyperlink xmlns:r="http://schemas.openxmlformats.org/officeDocument/2006/relationships" ref="J32" r:id="rId133"/>
    <hyperlink xmlns:r="http://schemas.openxmlformats.org/officeDocument/2006/relationships" ref="K32" r:id="rId134"/>
    <hyperlink xmlns:r="http://schemas.openxmlformats.org/officeDocument/2006/relationships" ref="L32" r:id="rId135"/>
    <hyperlink xmlns:r="http://schemas.openxmlformats.org/officeDocument/2006/relationships" ref="N32" r:id="rId136"/>
    <hyperlink xmlns:r="http://schemas.openxmlformats.org/officeDocument/2006/relationships" ref="O32" r:id="rId137"/>
    <hyperlink xmlns:r="http://schemas.openxmlformats.org/officeDocument/2006/relationships" ref="F33" r:id="rId138"/>
    <hyperlink xmlns:r="http://schemas.openxmlformats.org/officeDocument/2006/relationships" ref="G33" r:id="rId139"/>
    <hyperlink xmlns:r="http://schemas.openxmlformats.org/officeDocument/2006/relationships" ref="H33" r:id="rId140"/>
    <hyperlink xmlns:r="http://schemas.openxmlformats.org/officeDocument/2006/relationships" ref="J33" r:id="rId141"/>
    <hyperlink xmlns:r="http://schemas.openxmlformats.org/officeDocument/2006/relationships" ref="K33" r:id="rId142"/>
    <hyperlink xmlns:r="http://schemas.openxmlformats.org/officeDocument/2006/relationships" ref="L33" r:id="rId143"/>
    <hyperlink xmlns:r="http://schemas.openxmlformats.org/officeDocument/2006/relationships" ref="N33" r:id="rId144"/>
    <hyperlink xmlns:r="http://schemas.openxmlformats.org/officeDocument/2006/relationships" ref="O33" r:id="rId145"/>
    <hyperlink xmlns:r="http://schemas.openxmlformats.org/officeDocument/2006/relationships" ref="F34" r:id="rId146"/>
    <hyperlink xmlns:r="http://schemas.openxmlformats.org/officeDocument/2006/relationships" ref="G34" r:id="rId147"/>
    <hyperlink xmlns:r="http://schemas.openxmlformats.org/officeDocument/2006/relationships" ref="H34" r:id="rId148"/>
    <hyperlink xmlns:r="http://schemas.openxmlformats.org/officeDocument/2006/relationships" ref="J34" r:id="rId149"/>
    <hyperlink xmlns:r="http://schemas.openxmlformats.org/officeDocument/2006/relationships" ref="K34" r:id="rId150"/>
    <hyperlink xmlns:r="http://schemas.openxmlformats.org/officeDocument/2006/relationships" ref="L34" r:id="rId151"/>
    <hyperlink xmlns:r="http://schemas.openxmlformats.org/officeDocument/2006/relationships" ref="N34" r:id="rId152"/>
    <hyperlink xmlns:r="http://schemas.openxmlformats.org/officeDocument/2006/relationships" ref="O34" r:id="rId153"/>
    <hyperlink xmlns:r="http://schemas.openxmlformats.org/officeDocument/2006/relationships" ref="F35" r:id="rId154"/>
    <hyperlink xmlns:r="http://schemas.openxmlformats.org/officeDocument/2006/relationships" ref="G35" r:id="rId155"/>
    <hyperlink xmlns:r="http://schemas.openxmlformats.org/officeDocument/2006/relationships" ref="H35" r:id="rId156"/>
    <hyperlink xmlns:r="http://schemas.openxmlformats.org/officeDocument/2006/relationships" ref="J35" r:id="rId157"/>
    <hyperlink xmlns:r="http://schemas.openxmlformats.org/officeDocument/2006/relationships" ref="K35" r:id="rId158"/>
    <hyperlink xmlns:r="http://schemas.openxmlformats.org/officeDocument/2006/relationships" ref="L35" r:id="rId159"/>
    <hyperlink xmlns:r="http://schemas.openxmlformats.org/officeDocument/2006/relationships" ref="N35" r:id="rId160"/>
    <hyperlink xmlns:r="http://schemas.openxmlformats.org/officeDocument/2006/relationships" ref="O35" r:id="rId161"/>
    <hyperlink xmlns:r="http://schemas.openxmlformats.org/officeDocument/2006/relationships" ref="F36" r:id="rId162"/>
    <hyperlink xmlns:r="http://schemas.openxmlformats.org/officeDocument/2006/relationships" ref="G36" r:id="rId163"/>
    <hyperlink xmlns:r="http://schemas.openxmlformats.org/officeDocument/2006/relationships" ref="H36" r:id="rId164"/>
    <hyperlink xmlns:r="http://schemas.openxmlformats.org/officeDocument/2006/relationships" ref="J36" r:id="rId165"/>
    <hyperlink xmlns:r="http://schemas.openxmlformats.org/officeDocument/2006/relationships" ref="K36" r:id="rId166"/>
    <hyperlink xmlns:r="http://schemas.openxmlformats.org/officeDocument/2006/relationships" ref="L36" r:id="rId167"/>
    <hyperlink xmlns:r="http://schemas.openxmlformats.org/officeDocument/2006/relationships" ref="N36" r:id="rId168"/>
    <hyperlink xmlns:r="http://schemas.openxmlformats.org/officeDocument/2006/relationships" ref="O36" r:id="rId169"/>
    <hyperlink xmlns:r="http://schemas.openxmlformats.org/officeDocument/2006/relationships" ref="F37" r:id="rId170"/>
    <hyperlink xmlns:r="http://schemas.openxmlformats.org/officeDocument/2006/relationships" ref="G37" r:id="rId171"/>
    <hyperlink xmlns:r="http://schemas.openxmlformats.org/officeDocument/2006/relationships" ref="H37" r:id="rId172"/>
    <hyperlink xmlns:r="http://schemas.openxmlformats.org/officeDocument/2006/relationships" ref="J37" r:id="rId173"/>
    <hyperlink xmlns:r="http://schemas.openxmlformats.org/officeDocument/2006/relationships" ref="K37" r:id="rId174"/>
    <hyperlink xmlns:r="http://schemas.openxmlformats.org/officeDocument/2006/relationships" ref="L37" r:id="rId175"/>
    <hyperlink xmlns:r="http://schemas.openxmlformats.org/officeDocument/2006/relationships" ref="N37" r:id="rId176"/>
    <hyperlink xmlns:r="http://schemas.openxmlformats.org/officeDocument/2006/relationships" ref="O37" r:id="rId177"/>
    <hyperlink xmlns:r="http://schemas.openxmlformats.org/officeDocument/2006/relationships" ref="F38" r:id="rId178"/>
    <hyperlink xmlns:r="http://schemas.openxmlformats.org/officeDocument/2006/relationships" ref="G38" r:id="rId179"/>
    <hyperlink xmlns:r="http://schemas.openxmlformats.org/officeDocument/2006/relationships" ref="H38" r:id="rId180"/>
    <hyperlink xmlns:r="http://schemas.openxmlformats.org/officeDocument/2006/relationships" ref="J38" r:id="rId181"/>
    <hyperlink xmlns:r="http://schemas.openxmlformats.org/officeDocument/2006/relationships" ref="K38" r:id="rId182"/>
    <hyperlink xmlns:r="http://schemas.openxmlformats.org/officeDocument/2006/relationships" ref="L38" r:id="rId183"/>
    <hyperlink xmlns:r="http://schemas.openxmlformats.org/officeDocument/2006/relationships" ref="N38" r:id="rId184"/>
    <hyperlink xmlns:r="http://schemas.openxmlformats.org/officeDocument/2006/relationships" ref="O38" r:id="rId185"/>
    <hyperlink xmlns:r="http://schemas.openxmlformats.org/officeDocument/2006/relationships" ref="F39" r:id="rId186"/>
    <hyperlink xmlns:r="http://schemas.openxmlformats.org/officeDocument/2006/relationships" ref="G39" r:id="rId187"/>
    <hyperlink xmlns:r="http://schemas.openxmlformats.org/officeDocument/2006/relationships" ref="H39" r:id="rId188"/>
    <hyperlink xmlns:r="http://schemas.openxmlformats.org/officeDocument/2006/relationships" ref="J39" r:id="rId189"/>
    <hyperlink xmlns:r="http://schemas.openxmlformats.org/officeDocument/2006/relationships" ref="K39" r:id="rId190"/>
    <hyperlink xmlns:r="http://schemas.openxmlformats.org/officeDocument/2006/relationships" ref="L39" r:id="rId191"/>
    <hyperlink xmlns:r="http://schemas.openxmlformats.org/officeDocument/2006/relationships" ref="N39" r:id="rId192"/>
    <hyperlink xmlns:r="http://schemas.openxmlformats.org/officeDocument/2006/relationships" ref="O39" r:id="rId193"/>
    <hyperlink xmlns:r="http://schemas.openxmlformats.org/officeDocument/2006/relationships" ref="F40" r:id="rId194"/>
    <hyperlink xmlns:r="http://schemas.openxmlformats.org/officeDocument/2006/relationships" ref="G40" r:id="rId195"/>
    <hyperlink xmlns:r="http://schemas.openxmlformats.org/officeDocument/2006/relationships" ref="H40" r:id="rId196"/>
    <hyperlink xmlns:r="http://schemas.openxmlformats.org/officeDocument/2006/relationships" ref="J40" r:id="rId197"/>
    <hyperlink xmlns:r="http://schemas.openxmlformats.org/officeDocument/2006/relationships" ref="K40" r:id="rId198"/>
    <hyperlink xmlns:r="http://schemas.openxmlformats.org/officeDocument/2006/relationships" ref="L40" r:id="rId199"/>
    <hyperlink xmlns:r="http://schemas.openxmlformats.org/officeDocument/2006/relationships" ref="N40" r:id="rId200"/>
    <hyperlink xmlns:r="http://schemas.openxmlformats.org/officeDocument/2006/relationships" ref="O40" r:id="rId201"/>
    <hyperlink xmlns:r="http://schemas.openxmlformats.org/officeDocument/2006/relationships" ref="F41" r:id="rId202"/>
    <hyperlink xmlns:r="http://schemas.openxmlformats.org/officeDocument/2006/relationships" ref="G41" r:id="rId203"/>
    <hyperlink xmlns:r="http://schemas.openxmlformats.org/officeDocument/2006/relationships" ref="H41" r:id="rId204"/>
    <hyperlink xmlns:r="http://schemas.openxmlformats.org/officeDocument/2006/relationships" ref="J41" r:id="rId205"/>
    <hyperlink xmlns:r="http://schemas.openxmlformats.org/officeDocument/2006/relationships" ref="K41" r:id="rId206"/>
    <hyperlink xmlns:r="http://schemas.openxmlformats.org/officeDocument/2006/relationships" ref="L41" r:id="rId207"/>
    <hyperlink xmlns:r="http://schemas.openxmlformats.org/officeDocument/2006/relationships" ref="N41" r:id="rId208"/>
    <hyperlink xmlns:r="http://schemas.openxmlformats.org/officeDocument/2006/relationships" ref="O41" r:id="rId209"/>
    <hyperlink xmlns:r="http://schemas.openxmlformats.org/officeDocument/2006/relationships" ref="F42" r:id="rId210"/>
    <hyperlink xmlns:r="http://schemas.openxmlformats.org/officeDocument/2006/relationships" ref="G42" r:id="rId211"/>
    <hyperlink xmlns:r="http://schemas.openxmlformats.org/officeDocument/2006/relationships" ref="H42" r:id="rId212"/>
    <hyperlink xmlns:r="http://schemas.openxmlformats.org/officeDocument/2006/relationships" ref="J42" r:id="rId213"/>
    <hyperlink xmlns:r="http://schemas.openxmlformats.org/officeDocument/2006/relationships" ref="K42" r:id="rId214"/>
    <hyperlink xmlns:r="http://schemas.openxmlformats.org/officeDocument/2006/relationships" ref="L42" r:id="rId215"/>
    <hyperlink xmlns:r="http://schemas.openxmlformats.org/officeDocument/2006/relationships" ref="N42" r:id="rId216"/>
    <hyperlink xmlns:r="http://schemas.openxmlformats.org/officeDocument/2006/relationships" ref="O42" r:id="rId217"/>
    <hyperlink xmlns:r="http://schemas.openxmlformats.org/officeDocument/2006/relationships" ref="F45" r:id="rId218"/>
    <hyperlink xmlns:r="http://schemas.openxmlformats.org/officeDocument/2006/relationships" ref="G45" r:id="rId219"/>
    <hyperlink xmlns:r="http://schemas.openxmlformats.org/officeDocument/2006/relationships" ref="H45" r:id="rId220"/>
    <hyperlink xmlns:r="http://schemas.openxmlformats.org/officeDocument/2006/relationships" ref="J45" r:id="rId221"/>
    <hyperlink xmlns:r="http://schemas.openxmlformats.org/officeDocument/2006/relationships" ref="K45" r:id="rId222"/>
    <hyperlink xmlns:r="http://schemas.openxmlformats.org/officeDocument/2006/relationships" ref="L45" r:id="rId223"/>
    <hyperlink xmlns:r="http://schemas.openxmlformats.org/officeDocument/2006/relationships" ref="N45" r:id="rId224"/>
    <hyperlink xmlns:r="http://schemas.openxmlformats.org/officeDocument/2006/relationships" ref="O45" r:id="rId225"/>
    <hyperlink xmlns:r="http://schemas.openxmlformats.org/officeDocument/2006/relationships" ref="F46" r:id="rId226"/>
    <hyperlink xmlns:r="http://schemas.openxmlformats.org/officeDocument/2006/relationships" ref="F47" r:id="rId227"/>
    <hyperlink xmlns:r="http://schemas.openxmlformats.org/officeDocument/2006/relationships" ref="G47" r:id="rId228"/>
    <hyperlink xmlns:r="http://schemas.openxmlformats.org/officeDocument/2006/relationships" ref="H47" r:id="rId229"/>
    <hyperlink xmlns:r="http://schemas.openxmlformats.org/officeDocument/2006/relationships" ref="J47" r:id="rId230"/>
    <hyperlink xmlns:r="http://schemas.openxmlformats.org/officeDocument/2006/relationships" ref="K47" r:id="rId231"/>
    <hyperlink xmlns:r="http://schemas.openxmlformats.org/officeDocument/2006/relationships" ref="L47" r:id="rId232"/>
    <hyperlink xmlns:r="http://schemas.openxmlformats.org/officeDocument/2006/relationships" ref="N47" r:id="rId233"/>
    <hyperlink xmlns:r="http://schemas.openxmlformats.org/officeDocument/2006/relationships" ref="O47" r:id="rId234"/>
    <hyperlink xmlns:r="http://schemas.openxmlformats.org/officeDocument/2006/relationships" ref="F48" r:id="rId235"/>
    <hyperlink xmlns:r="http://schemas.openxmlformats.org/officeDocument/2006/relationships" ref="G48" r:id="rId236"/>
    <hyperlink xmlns:r="http://schemas.openxmlformats.org/officeDocument/2006/relationships" ref="H48" r:id="rId237"/>
    <hyperlink xmlns:r="http://schemas.openxmlformats.org/officeDocument/2006/relationships" ref="J48" r:id="rId238"/>
    <hyperlink xmlns:r="http://schemas.openxmlformats.org/officeDocument/2006/relationships" ref="N48" r:id="rId239"/>
    <hyperlink xmlns:r="http://schemas.openxmlformats.org/officeDocument/2006/relationships" ref="O48" r:id="rId240"/>
    <hyperlink xmlns:r="http://schemas.openxmlformats.org/officeDocument/2006/relationships" ref="F49" r:id="rId241"/>
    <hyperlink xmlns:r="http://schemas.openxmlformats.org/officeDocument/2006/relationships" ref="G49" r:id="rId242"/>
    <hyperlink xmlns:r="http://schemas.openxmlformats.org/officeDocument/2006/relationships" ref="H49" r:id="rId243"/>
    <hyperlink xmlns:r="http://schemas.openxmlformats.org/officeDocument/2006/relationships" ref="J49" r:id="rId244"/>
    <hyperlink xmlns:r="http://schemas.openxmlformats.org/officeDocument/2006/relationships" ref="N49" r:id="rId245"/>
    <hyperlink xmlns:r="http://schemas.openxmlformats.org/officeDocument/2006/relationships" ref="O49" r:id="rId246"/>
    <hyperlink xmlns:r="http://schemas.openxmlformats.org/officeDocument/2006/relationships" ref="F50" r:id="rId247"/>
    <hyperlink xmlns:r="http://schemas.openxmlformats.org/officeDocument/2006/relationships" ref="G50" r:id="rId248"/>
    <hyperlink xmlns:r="http://schemas.openxmlformats.org/officeDocument/2006/relationships" ref="H50" r:id="rId249"/>
    <hyperlink xmlns:r="http://schemas.openxmlformats.org/officeDocument/2006/relationships" ref="J50" r:id="rId250"/>
    <hyperlink xmlns:r="http://schemas.openxmlformats.org/officeDocument/2006/relationships" ref="K50" r:id="rId251"/>
    <hyperlink xmlns:r="http://schemas.openxmlformats.org/officeDocument/2006/relationships" ref="L50" r:id="rId252"/>
    <hyperlink xmlns:r="http://schemas.openxmlformats.org/officeDocument/2006/relationships" ref="N50" r:id="rId253"/>
    <hyperlink xmlns:r="http://schemas.openxmlformats.org/officeDocument/2006/relationships" ref="O50" r:id="rId254"/>
  </hyperlink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tabColor rgb="006B7280"/>
    <outlinePr summaryBelow="1" summaryRight="1"/>
    <pageSetUpPr fitToPage="1"/>
  </sheetPr>
  <dimension ref="A1:H71"/>
  <sheetViews>
    <sheetView showGridLines="0" zoomScale="110" workbookViewId="0">
      <pane ySplit="4" topLeftCell="A5" activePane="bottomLeft" state="frozen"/>
      <selection pane="bottomLeft" activeCell="A1" sqref="A1"/>
    </sheetView>
  </sheetViews>
  <sheetFormatPr baseColWidth="8" defaultRowHeight="15"/>
  <cols>
    <col width="11" customWidth="1" min="1" max="1"/>
    <col width="40" customWidth="1" min="2" max="2"/>
    <col width="50" customWidth="1" min="3" max="3"/>
    <col width="11" customWidth="1" min="4" max="4"/>
    <col width="11" customWidth="1" min="5" max="5"/>
    <col width="11" customWidth="1" min="6" max="6"/>
    <col width="32" customWidth="1" min="7" max="7"/>
    <col width="40" customWidth="1" min="8" max="8"/>
  </cols>
  <sheetData>
    <row r="1" ht="34" customHeight="1">
      <c r="A1" s="59" t="inlineStr">
        <is>
          <t>Chapter tests</t>
        </is>
      </c>
    </row>
    <row r="2">
      <c r="A2" s="20" t="inlineStr">
        <is>
          <t>Real Edexcel exam questions for each textbook chapter, plus the textbook review exercises. Try one once every topic in it is Amber or Green. A few sets include old-specification questions: they are listed in the last column, so skip them.</t>
        </is>
      </c>
    </row>
    <row r="4" ht="22" customHeight="1">
      <c r="A4" s="60" t="inlineStr">
        <is>
          <t>Book</t>
        </is>
      </c>
      <c r="B4" s="60" t="inlineStr">
        <is>
          <t>Chapters</t>
        </is>
      </c>
      <c r="C4" s="60" t="inlineStr">
        <is>
          <t>Test</t>
        </is>
      </c>
      <c r="D4" s="61" t="inlineStr">
        <is>
          <t>Questions</t>
        </is>
      </c>
      <c r="E4" s="61" t="inlineStr">
        <is>
          <t>Mark scheme</t>
        </is>
      </c>
      <c r="F4" s="61" t="inlineStr">
        <is>
          <t>Done?</t>
        </is>
      </c>
      <c r="G4" s="60" t="inlineStr">
        <is>
          <t>Score / notes</t>
        </is>
      </c>
      <c r="H4" s="60" t="inlineStr">
        <is>
          <t>Skip (not on the current spec)</t>
        </is>
      </c>
    </row>
    <row r="5" ht="10" customHeight="1"/>
    <row r="6" ht="26" customHeight="1">
      <c r="A6" s="62" t="inlineStr">
        <is>
          <t>Pure maths</t>
        </is>
      </c>
      <c r="B6" s="63" t="n"/>
      <c r="C6" s="64" t="inlineStr">
        <is>
          <t>Paper 1 and Paper 2</t>
        </is>
      </c>
      <c r="D6" s="63" t="n"/>
      <c r="E6" s="63" t="n"/>
      <c r="F6" s="63" t="n"/>
      <c r="G6" s="63" t="n"/>
      <c r="H6" s="63" t="n"/>
    </row>
    <row r="7" ht="30" customHeight="1">
      <c r="A7" s="65" t="inlineStr">
        <is>
          <t>Pure 1</t>
        </is>
      </c>
      <c r="B7" s="35" t="inlineStr">
        <is>
          <t>Ch1 Algebraic Expression</t>
        </is>
      </c>
      <c r="C7" s="35" t="inlineStr">
        <is>
          <t>Ch1 Algebraic Expression Exam Questions</t>
        </is>
      </c>
      <c r="D7" s="37" t="inlineStr">
        <is>
          <t>Questions</t>
        </is>
      </c>
      <c r="E7" s="37" t="inlineStr">
        <is>
          <t>Marks</t>
        </is>
      </c>
      <c r="F7" s="66" t="n"/>
      <c r="G7" s="41" t="n"/>
      <c r="H7" s="41" t="n"/>
    </row>
    <row r="8" ht="30" customHeight="1">
      <c r="A8" s="65" t="inlineStr">
        <is>
          <t>Pure 1</t>
        </is>
      </c>
      <c r="B8" s="35" t="inlineStr">
        <is>
          <t>Ch2 Quadratics, Ch3 Equations and Inequalities</t>
        </is>
      </c>
      <c r="C8" s="35" t="inlineStr">
        <is>
          <t>Ch2 Quadratics and Ch3 Equations and Inequalities Exam Questions</t>
        </is>
      </c>
      <c r="D8" s="37" t="inlineStr">
        <is>
          <t>Questions</t>
        </is>
      </c>
      <c r="E8" s="37" t="inlineStr">
        <is>
          <t>Marks</t>
        </is>
      </c>
      <c r="F8" s="66" t="n"/>
      <c r="G8" s="41" t="n"/>
      <c r="H8" s="41" t="n"/>
    </row>
    <row r="9" ht="30" customHeight="1">
      <c r="A9" s="65" t="inlineStr">
        <is>
          <t>Pure 1</t>
        </is>
      </c>
      <c r="B9" s="67" t="inlineStr">
        <is>
          <t>Ch1-Ch4 review (textbook)</t>
        </is>
      </c>
      <c r="C9" s="67" t="inlineStr">
        <is>
          <t>Textbook review exercise 1 - pg.85-88</t>
        </is>
      </c>
      <c r="D9" s="38" t="inlineStr">
        <is>
          <t>in the book</t>
        </is>
      </c>
      <c r="E9" s="40" t="n"/>
      <c r="F9" s="66" t="n"/>
      <c r="G9" s="41" t="n"/>
      <c r="H9" s="41" t="n"/>
    </row>
    <row r="10" ht="30" customHeight="1">
      <c r="A10" s="65" t="inlineStr">
        <is>
          <t>Pure 1</t>
        </is>
      </c>
      <c r="B10" s="35" t="inlineStr">
        <is>
          <t>Ch5 Straight Line Graphs</t>
        </is>
      </c>
      <c r="C10" s="35" t="inlineStr">
        <is>
          <t>Ch5 Straight Line Graphs Exam Questions</t>
        </is>
      </c>
      <c r="D10" s="37" t="inlineStr">
        <is>
          <t>Questions</t>
        </is>
      </c>
      <c r="E10" s="37" t="inlineStr">
        <is>
          <t>Marks</t>
        </is>
      </c>
      <c r="F10" s="66" t="n"/>
      <c r="G10" s="41" t="n"/>
      <c r="H10" s="41" t="n"/>
    </row>
    <row r="11" ht="30" customHeight="1">
      <c r="A11" s="65" t="inlineStr">
        <is>
          <t>Pure 1</t>
        </is>
      </c>
      <c r="B11" s="35" t="inlineStr">
        <is>
          <t>Ch6 Circles</t>
        </is>
      </c>
      <c r="C11" s="35" t="inlineStr">
        <is>
          <t>Ch6 Circles Exam Questions</t>
        </is>
      </c>
      <c r="D11" s="37" t="inlineStr">
        <is>
          <t>Questions</t>
        </is>
      </c>
      <c r="E11" s="37" t="inlineStr">
        <is>
          <t>Marks</t>
        </is>
      </c>
      <c r="F11" s="66" t="n"/>
      <c r="G11" s="41" t="n"/>
      <c r="H11" s="41" t="n"/>
    </row>
    <row r="12" ht="30" customHeight="1">
      <c r="A12" s="65" t="inlineStr">
        <is>
          <t>Pure 1</t>
        </is>
      </c>
      <c r="B12" s="35" t="inlineStr">
        <is>
          <t>Ch4 Graphs and Transformations, Ch7 Algebraic Methods</t>
        </is>
      </c>
      <c r="C12" s="35" t="inlineStr">
        <is>
          <t>Ch4 Graphs and Transformations + Ch7 Algebraic Methods Exam Questions 1</t>
        </is>
      </c>
      <c r="D12" s="37" t="inlineStr">
        <is>
          <t>Questions</t>
        </is>
      </c>
      <c r="E12" s="37" t="inlineStr">
        <is>
          <t>Marks</t>
        </is>
      </c>
      <c r="F12" s="66" t="n"/>
      <c r="G12" s="41" t="n"/>
      <c r="H12" s="41" t="n"/>
    </row>
    <row r="13" ht="30" customHeight="1">
      <c r="A13" s="65" t="inlineStr">
        <is>
          <t>Pure 1</t>
        </is>
      </c>
      <c r="B13" s="35" t="inlineStr">
        <is>
          <t>Ch4 Graphs and Transformations, Ch7 Algebraic Methods</t>
        </is>
      </c>
      <c r="C13" s="35" t="inlineStr">
        <is>
          <t>Ch4 Graphs and Transformations + Ch7 Algebraic Methods Exam Questions 2</t>
        </is>
      </c>
      <c r="D13" s="37" t="inlineStr">
        <is>
          <t>Questions</t>
        </is>
      </c>
      <c r="E13" s="37" t="inlineStr">
        <is>
          <t>Marks</t>
        </is>
      </c>
      <c r="F13" s="66" t="n"/>
      <c r="G13" s="41" t="n"/>
      <c r="H13" s="41" t="n"/>
    </row>
    <row r="14" ht="30" customHeight="1">
      <c r="A14" s="65" t="inlineStr">
        <is>
          <t>Pure 1</t>
        </is>
      </c>
      <c r="B14" s="35" t="inlineStr">
        <is>
          <t>Ch8 Binomial Expansion</t>
        </is>
      </c>
      <c r="C14" s="35" t="inlineStr">
        <is>
          <t>Ch8 Binomial Expansion Exam Questions</t>
        </is>
      </c>
      <c r="D14" s="37" t="inlineStr">
        <is>
          <t>Questions</t>
        </is>
      </c>
      <c r="E14" s="37" t="inlineStr">
        <is>
          <t>Marks</t>
        </is>
      </c>
      <c r="F14" s="66" t="n"/>
      <c r="G14" s="41" t="n"/>
      <c r="H14" s="41" t="n"/>
    </row>
    <row r="15" ht="30" customHeight="1">
      <c r="A15" s="65" t="inlineStr">
        <is>
          <t>Pure 1</t>
        </is>
      </c>
      <c r="B15" s="35" t="inlineStr">
        <is>
          <t>Ch9 Trigonometric ratios</t>
        </is>
      </c>
      <c r="C15" s="35" t="inlineStr">
        <is>
          <t>Ch9 Trigonometric Ratos Exam Questions</t>
        </is>
      </c>
      <c r="D15" s="37" t="inlineStr">
        <is>
          <t>Questions</t>
        </is>
      </c>
      <c r="E15" s="37" t="inlineStr">
        <is>
          <t>Marks</t>
        </is>
      </c>
      <c r="F15" s="66" t="n"/>
      <c r="G15" s="41" t="n"/>
      <c r="H15" s="41" t="n"/>
    </row>
    <row r="16" ht="30" customHeight="1">
      <c r="A16" s="65" t="inlineStr">
        <is>
          <t>Pure 1</t>
        </is>
      </c>
      <c r="B16" s="35" t="inlineStr">
        <is>
          <t>Ch10 Trigonometric Identities and Equations</t>
        </is>
      </c>
      <c r="C16" s="35" t="inlineStr">
        <is>
          <t>Ch10 Trigonometric Identities and Equations Exam Questions</t>
        </is>
      </c>
      <c r="D16" s="37" t="inlineStr">
        <is>
          <t>Questions</t>
        </is>
      </c>
      <c r="E16" s="37" t="inlineStr">
        <is>
          <t>Marks</t>
        </is>
      </c>
      <c r="F16" s="66" t="n"/>
      <c r="G16" s="41" t="n"/>
      <c r="H16" s="41" t="n"/>
    </row>
    <row r="17" ht="30" customHeight="1">
      <c r="A17" s="65" t="inlineStr">
        <is>
          <t>Pure 1</t>
        </is>
      </c>
      <c r="B17" s="67" t="inlineStr">
        <is>
          <t>Ch5-Ch10 review (textbook)</t>
        </is>
      </c>
      <c r="C17" s="67" t="inlineStr">
        <is>
          <t>Textbook review exercise 2 - pg.226 - 229</t>
        </is>
      </c>
      <c r="D17" s="38" t="inlineStr">
        <is>
          <t>in the book</t>
        </is>
      </c>
      <c r="E17" s="40" t="n"/>
      <c r="F17" s="66" t="n"/>
      <c r="G17" s="41" t="n"/>
      <c r="H17" s="41" t="n"/>
    </row>
    <row r="18" ht="30" customHeight="1">
      <c r="A18" s="65" t="inlineStr">
        <is>
          <t>Pure 1</t>
        </is>
      </c>
      <c r="B18" s="35" t="inlineStr">
        <is>
          <t>Ch11 Vectors</t>
        </is>
      </c>
      <c r="C18" s="35" t="inlineStr">
        <is>
          <t>Ch11 Vectors Exam Questions</t>
        </is>
      </c>
      <c r="D18" s="37" t="inlineStr">
        <is>
          <t>Questions</t>
        </is>
      </c>
      <c r="E18" s="37" t="inlineStr">
        <is>
          <t>Marks</t>
        </is>
      </c>
      <c r="F18" s="66" t="n"/>
      <c r="G18" s="41" t="n"/>
      <c r="H18" s="41" t="n"/>
    </row>
    <row r="19" ht="30" customHeight="1">
      <c r="A19" s="65" t="inlineStr">
        <is>
          <t>Pure 1</t>
        </is>
      </c>
      <c r="B19" s="35" t="inlineStr">
        <is>
          <t>Ch12 Differentiation</t>
        </is>
      </c>
      <c r="C19" s="35" t="inlineStr">
        <is>
          <t>Ch12 Differentiation Exam Questions</t>
        </is>
      </c>
      <c r="D19" s="37" t="inlineStr">
        <is>
          <t>Questions</t>
        </is>
      </c>
      <c r="E19" s="37" t="inlineStr">
        <is>
          <t>Marks</t>
        </is>
      </c>
      <c r="F19" s="66" t="n"/>
      <c r="G19" s="41" t="n"/>
      <c r="H19" s="41" t="n"/>
    </row>
    <row r="20" ht="30" customHeight="1">
      <c r="A20" s="65" t="inlineStr">
        <is>
          <t>Pure 1</t>
        </is>
      </c>
      <c r="B20" s="35" t="inlineStr">
        <is>
          <t>Ch12 Differentiation</t>
        </is>
      </c>
      <c r="C20" s="35" t="inlineStr">
        <is>
          <t>Ch12 Differentiation: optimisation exam questions (filed on the source site as Pure 2 Ch9 set 3)</t>
        </is>
      </c>
      <c r="D20" s="37" t="inlineStr">
        <is>
          <t>Questions</t>
        </is>
      </c>
      <c r="E20" s="37" t="inlineStr">
        <is>
          <t>Marks</t>
        </is>
      </c>
      <c r="F20" s="66" t="n"/>
      <c r="G20" s="41" t="n"/>
      <c r="H20" s="41" t="n"/>
    </row>
    <row r="21" ht="30" customHeight="1">
      <c r="A21" s="65" t="inlineStr">
        <is>
          <t>Pure 1</t>
        </is>
      </c>
      <c r="B21" s="35" t="inlineStr">
        <is>
          <t>Ch13 Integration</t>
        </is>
      </c>
      <c r="C21" s="35" t="inlineStr">
        <is>
          <t>Ch13 Integration Exam Question</t>
        </is>
      </c>
      <c r="D21" s="37" t="inlineStr">
        <is>
          <t>Questions</t>
        </is>
      </c>
      <c r="E21" s="37" t="inlineStr">
        <is>
          <t>Marks</t>
        </is>
      </c>
      <c r="F21" s="66" t="n"/>
      <c r="G21" s="41" t="n"/>
      <c r="H21" s="41" t="n"/>
    </row>
    <row r="22" ht="30" customHeight="1">
      <c r="A22" s="65" t="inlineStr">
        <is>
          <t>Pure 1</t>
        </is>
      </c>
      <c r="B22" s="35" t="inlineStr">
        <is>
          <t>Ch14 Exponential and Logarithms</t>
        </is>
      </c>
      <c r="C22" s="35" t="inlineStr">
        <is>
          <t>Ch14 Exponential and Logarithms Exam Questions 1</t>
        </is>
      </c>
      <c r="D22" s="37" t="inlineStr">
        <is>
          <t>Questions</t>
        </is>
      </c>
      <c r="E22" s="37" t="inlineStr">
        <is>
          <t>Marks</t>
        </is>
      </c>
      <c r="F22" s="66" t="n"/>
      <c r="G22" s="41" t="n"/>
      <c r="H22" s="41" t="n"/>
    </row>
    <row r="23" ht="30" customHeight="1">
      <c r="A23" s="65" t="inlineStr">
        <is>
          <t>Pure 1</t>
        </is>
      </c>
      <c r="B23" s="35" t="inlineStr">
        <is>
          <t>Ch14 Exponential and Logarithms</t>
        </is>
      </c>
      <c r="C23" s="35" t="inlineStr">
        <is>
          <t>Ch14 Exponential and Logarithms Exam Questions 2</t>
        </is>
      </c>
      <c r="D23" s="37" t="inlineStr">
        <is>
          <t>Questions</t>
        </is>
      </c>
      <c r="E23" s="37" t="inlineStr">
        <is>
          <t>Marks</t>
        </is>
      </c>
      <c r="F23" s="66" t="n"/>
      <c r="G23" s="41" t="n"/>
      <c r="H23" s="41" t="n"/>
    </row>
    <row r="24" ht="30" customHeight="1">
      <c r="A24" s="65" t="inlineStr">
        <is>
          <t>Pure 1</t>
        </is>
      </c>
      <c r="B24" s="67" t="inlineStr">
        <is>
          <t>Ch11-Ch14 review (textbook)</t>
        </is>
      </c>
      <c r="C24" s="67" t="inlineStr">
        <is>
          <t>Textbook review exercise 3 - pg.338-341</t>
        </is>
      </c>
      <c r="D24" s="38" t="inlineStr">
        <is>
          <t>in the book</t>
        </is>
      </c>
      <c r="E24" s="40" t="n"/>
      <c r="F24" s="66" t="n"/>
      <c r="G24" s="41" t="n"/>
      <c r="H24" s="41" t="n"/>
    </row>
    <row r="25" ht="30" customHeight="1">
      <c r="A25" s="65" t="inlineStr">
        <is>
          <t>Pure 2</t>
        </is>
      </c>
      <c r="B25" s="35" t="inlineStr">
        <is>
          <t>Ch1 Algebraic Methods</t>
        </is>
      </c>
      <c r="C25" s="35" t="inlineStr">
        <is>
          <t>Ch1 Algebraic Methods Exam Questions</t>
        </is>
      </c>
      <c r="D25" s="37" t="inlineStr">
        <is>
          <t>Questions</t>
        </is>
      </c>
      <c r="E25" s="37" t="inlineStr">
        <is>
          <t>Marks</t>
        </is>
      </c>
      <c r="F25" s="66" t="n"/>
      <c r="G25" s="41" t="n"/>
      <c r="H25" s="41" t="n"/>
    </row>
    <row r="26" ht="30" customHeight="1">
      <c r="A26" s="65" t="inlineStr">
        <is>
          <t>Pure 2</t>
        </is>
      </c>
      <c r="B26" s="35" t="inlineStr">
        <is>
          <t>Ch2 Functions and Graphs</t>
        </is>
      </c>
      <c r="C26" s="35" t="inlineStr">
        <is>
          <t>Ch2 Functions and Graphs Exam Questions 1</t>
        </is>
      </c>
      <c r="D26" s="37" t="inlineStr">
        <is>
          <t>Questions</t>
        </is>
      </c>
      <c r="E26" s="37" t="inlineStr">
        <is>
          <t>Marks</t>
        </is>
      </c>
      <c r="F26" s="66" t="n"/>
      <c r="G26" s="41" t="n"/>
      <c r="H26" s="41" t="n"/>
    </row>
    <row r="27" ht="30" customHeight="1">
      <c r="A27" s="65" t="inlineStr">
        <is>
          <t>Pure 2</t>
        </is>
      </c>
      <c r="B27" s="35" t="inlineStr">
        <is>
          <t>Ch2 Functions and Graphs</t>
        </is>
      </c>
      <c r="C27" s="35" t="inlineStr">
        <is>
          <t>Ch2 Functions and Graphs Exam Questions 2</t>
        </is>
      </c>
      <c r="D27" s="37" t="inlineStr">
        <is>
          <t>Questions</t>
        </is>
      </c>
      <c r="E27" s="37" t="inlineStr">
        <is>
          <t>Marks</t>
        </is>
      </c>
      <c r="F27" s="66" t="n"/>
      <c r="G27" s="41" t="n"/>
      <c r="H27" s="41" t="n"/>
    </row>
    <row r="28" ht="30" customHeight="1">
      <c r="A28" s="65" t="inlineStr">
        <is>
          <t>Pure 2</t>
        </is>
      </c>
      <c r="B28" s="35" t="inlineStr">
        <is>
          <t>Ch3 Sequences and Series</t>
        </is>
      </c>
      <c r="C28" s="35" t="inlineStr">
        <is>
          <t>Ch3 Sequences and Series Exam Questions 1</t>
        </is>
      </c>
      <c r="D28" s="37" t="inlineStr">
        <is>
          <t>Questions</t>
        </is>
      </c>
      <c r="E28" s="37" t="inlineStr">
        <is>
          <t>Marks</t>
        </is>
      </c>
      <c r="F28" s="66" t="n"/>
      <c r="G28" s="41" t="n"/>
      <c r="H28" s="41" t="n"/>
    </row>
    <row r="29" ht="30" customHeight="1">
      <c r="A29" s="65" t="inlineStr">
        <is>
          <t>Pure 2</t>
        </is>
      </c>
      <c r="B29" s="35" t="inlineStr">
        <is>
          <t>Ch3 Sequences and Series</t>
        </is>
      </c>
      <c r="C29" s="35" t="inlineStr">
        <is>
          <t>Ch3 Sequences and Series Exam Questions 2</t>
        </is>
      </c>
      <c r="D29" s="37" t="inlineStr">
        <is>
          <t>Questions</t>
        </is>
      </c>
      <c r="E29" s="37" t="inlineStr">
        <is>
          <t>Marks</t>
        </is>
      </c>
      <c r="F29" s="66" t="n"/>
      <c r="G29" s="41" t="n"/>
      <c r="H29" s="41" t="n"/>
    </row>
    <row r="30" ht="30" customHeight="1">
      <c r="A30" s="65" t="inlineStr">
        <is>
          <t>Pure 2</t>
        </is>
      </c>
      <c r="B30" s="35" t="inlineStr">
        <is>
          <t>Ch4 Binomial Expansion</t>
        </is>
      </c>
      <c r="C30" s="35" t="inlineStr">
        <is>
          <t>Ch4 Binomial Expansion Exam Questions</t>
        </is>
      </c>
      <c r="D30" s="37" t="inlineStr">
        <is>
          <t>Questions</t>
        </is>
      </c>
      <c r="E30" s="38" t="inlineStr">
        <is>
          <t>none</t>
        </is>
      </c>
      <c r="F30" s="66" t="n"/>
      <c r="G30" s="41" t="n"/>
      <c r="H30" s="41" t="n"/>
    </row>
    <row r="31" ht="30" customHeight="1">
      <c r="A31" s="65" t="inlineStr">
        <is>
          <t>Pure 2</t>
        </is>
      </c>
      <c r="B31" s="67" t="inlineStr">
        <is>
          <t>Ch1-Ch4 review (textbook)</t>
        </is>
      </c>
      <c r="C31" s="67" t="inlineStr">
        <is>
          <t>Textbook review exercise 1 - pg.107-112</t>
        </is>
      </c>
      <c r="D31" s="38" t="inlineStr">
        <is>
          <t>in the book</t>
        </is>
      </c>
      <c r="E31" s="40" t="n"/>
      <c r="F31" s="66" t="n"/>
      <c r="G31" s="41" t="n"/>
      <c r="H31" s="41" t="n"/>
    </row>
    <row r="32" ht="30" customHeight="1">
      <c r="A32" s="65" t="inlineStr">
        <is>
          <t>Pure 2</t>
        </is>
      </c>
      <c r="B32" s="35" t="inlineStr">
        <is>
          <t>Ch5 Radians</t>
        </is>
      </c>
      <c r="C32" s="35" t="inlineStr">
        <is>
          <t>Ch5 Radians Exam Questions</t>
        </is>
      </c>
      <c r="D32" s="37" t="inlineStr">
        <is>
          <t>Questions</t>
        </is>
      </c>
      <c r="E32" s="37" t="inlineStr">
        <is>
          <t>Marks</t>
        </is>
      </c>
      <c r="F32" s="66" t="n"/>
      <c r="G32" s="41" t="n"/>
      <c r="H32" s="41" t="n"/>
    </row>
    <row r="33" ht="30" customHeight="1">
      <c r="A33" s="65" t="inlineStr">
        <is>
          <t>Pure 2</t>
        </is>
      </c>
      <c r="B33" s="35" t="inlineStr">
        <is>
          <t>Ch6 Trigonometric Functions, Ch7 Trigonometry and Modelling</t>
        </is>
      </c>
      <c r="C33" s="35" t="inlineStr">
        <is>
          <t>Ch6 Trigonometric Functions and Ch7 Trigonometry and Modelling Exam Questions 1</t>
        </is>
      </c>
      <c r="D33" s="37" t="inlineStr">
        <is>
          <t>Questions</t>
        </is>
      </c>
      <c r="E33" s="37" t="inlineStr">
        <is>
          <t>Marks</t>
        </is>
      </c>
      <c r="F33" s="66" t="n"/>
      <c r="G33" s="41" t="n"/>
      <c r="H33" s="41" t="n"/>
    </row>
    <row r="34" ht="30" customHeight="1">
      <c r="A34" s="65" t="inlineStr">
        <is>
          <t>Pure 2</t>
        </is>
      </c>
      <c r="B34" s="35" t="inlineStr">
        <is>
          <t>Ch6 Trigonometric Functions, Ch7 Trigonometry and Modelling</t>
        </is>
      </c>
      <c r="C34" s="35" t="inlineStr">
        <is>
          <t>Ch6 Trigonometric Functions and Ch7 Trigonometry and Modelling Exam Questions 2</t>
        </is>
      </c>
      <c r="D34" s="37" t="inlineStr">
        <is>
          <t>Questions</t>
        </is>
      </c>
      <c r="E34" s="37" t="inlineStr">
        <is>
          <t>Marks</t>
        </is>
      </c>
      <c r="F34" s="66" t="n"/>
      <c r="G34" s="41" t="n"/>
      <c r="H34" s="41" t="n"/>
    </row>
    <row r="35" ht="30" customHeight="1">
      <c r="A35" s="65" t="inlineStr">
        <is>
          <t>Pure 2</t>
        </is>
      </c>
      <c r="B35" s="35" t="inlineStr">
        <is>
          <t>Ch8 Parametric Equations</t>
        </is>
      </c>
      <c r="C35" s="35" t="inlineStr">
        <is>
          <t>Ch8 Parametric Equations Exam Questions</t>
        </is>
      </c>
      <c r="D35" s="37" t="inlineStr">
        <is>
          <t>Questions</t>
        </is>
      </c>
      <c r="E35" s="37" t="inlineStr">
        <is>
          <t>Marks</t>
        </is>
      </c>
      <c r="F35" s="66" t="n"/>
      <c r="G35" s="41" t="n"/>
      <c r="H35" s="41" t="n"/>
    </row>
    <row r="36" ht="30" customHeight="1">
      <c r="A36" s="65" t="inlineStr">
        <is>
          <t>Pure 2</t>
        </is>
      </c>
      <c r="B36" s="67" t="inlineStr">
        <is>
          <t>Ch5-Ch8 review (textbook)</t>
        </is>
      </c>
      <c r="C36" s="67" t="inlineStr">
        <is>
          <t>Textbook review exercise 2 - pg.225-230</t>
        </is>
      </c>
      <c r="D36" s="38" t="inlineStr">
        <is>
          <t>in the book</t>
        </is>
      </c>
      <c r="E36" s="40" t="n"/>
      <c r="F36" s="66" t="n"/>
      <c r="G36" s="41" t="n"/>
      <c r="H36" s="41" t="n"/>
    </row>
    <row r="37" ht="30" customHeight="1">
      <c r="A37" s="65" t="inlineStr">
        <is>
          <t>Pure 2</t>
        </is>
      </c>
      <c r="B37" s="35" t="inlineStr">
        <is>
          <t>Ch9 Differentiation</t>
        </is>
      </c>
      <c r="C37" s="35" t="inlineStr">
        <is>
          <t>Ch9 Differentiation Exam Questions 1</t>
        </is>
      </c>
      <c r="D37" s="37" t="inlineStr">
        <is>
          <t>Questions</t>
        </is>
      </c>
      <c r="E37" s="37" t="inlineStr">
        <is>
          <t>Marks</t>
        </is>
      </c>
      <c r="F37" s="66" t="n"/>
      <c r="G37" s="41" t="n"/>
      <c r="H37" s="41" t="n"/>
    </row>
    <row r="38" ht="30" customHeight="1">
      <c r="A38" s="65" t="inlineStr">
        <is>
          <t>Pure 2</t>
        </is>
      </c>
      <c r="B38" s="35" t="inlineStr">
        <is>
          <t>Ch9 Differentiation</t>
        </is>
      </c>
      <c r="C38" s="35" t="inlineStr">
        <is>
          <t>Ch9 Differentiation Exam Questions 2</t>
        </is>
      </c>
      <c r="D38" s="37" t="inlineStr">
        <is>
          <t>Questions</t>
        </is>
      </c>
      <c r="E38" s="37" t="inlineStr">
        <is>
          <t>Marks</t>
        </is>
      </c>
      <c r="F38" s="66" t="n"/>
      <c r="G38" s="41" t="n"/>
      <c r="H38" s="41" t="n"/>
    </row>
    <row r="39" ht="30" customHeight="1">
      <c r="A39" s="65" t="inlineStr">
        <is>
          <t>Pure 2</t>
        </is>
      </c>
      <c r="B39" s="35" t="inlineStr">
        <is>
          <t>Ch10 Numerical Methods</t>
        </is>
      </c>
      <c r="C39" s="35" t="inlineStr">
        <is>
          <t>Ch10 Numerical Methods Exam Questions</t>
        </is>
      </c>
      <c r="D39" s="37" t="inlineStr">
        <is>
          <t>Questions</t>
        </is>
      </c>
      <c r="E39" s="37" t="inlineStr">
        <is>
          <t>Marks</t>
        </is>
      </c>
      <c r="F39" s="66" t="n"/>
      <c r="G39" s="41" t="n"/>
      <c r="H39" s="41" t="n"/>
    </row>
    <row r="40" ht="30" customHeight="1">
      <c r="A40" s="65" t="inlineStr">
        <is>
          <t>Pure 2</t>
        </is>
      </c>
      <c r="B40" s="35" t="inlineStr">
        <is>
          <t>Ch11 Integration</t>
        </is>
      </c>
      <c r="C40" s="35" t="inlineStr">
        <is>
          <t>Ch11 Integration Exam Questions 1</t>
        </is>
      </c>
      <c r="D40" s="37" t="inlineStr">
        <is>
          <t>Questions</t>
        </is>
      </c>
      <c r="E40" s="37" t="inlineStr">
        <is>
          <t>Marks</t>
        </is>
      </c>
      <c r="F40" s="66" t="n"/>
      <c r="G40" s="41" t="n"/>
      <c r="H40" s="41" t="n"/>
    </row>
    <row r="41" ht="30" customHeight="1">
      <c r="A41" s="65" t="inlineStr">
        <is>
          <t>Pure 2</t>
        </is>
      </c>
      <c r="B41" s="35" t="inlineStr">
        <is>
          <t>Ch11 Integration</t>
        </is>
      </c>
      <c r="C41" s="35" t="inlineStr">
        <is>
          <t>Ch11 Integration Exam Questions 2</t>
        </is>
      </c>
      <c r="D41" s="37" t="inlineStr">
        <is>
          <t>Questions</t>
        </is>
      </c>
      <c r="E41" s="37" t="inlineStr">
        <is>
          <t>Marks</t>
        </is>
      </c>
      <c r="F41" s="66" t="n"/>
      <c r="G41" s="41" t="n"/>
      <c r="H41" s="68" t="inlineStr">
        <is>
          <t>p5 Q13(d), p9 Q8(b): volumes of revolution</t>
        </is>
      </c>
    </row>
    <row r="42" ht="30" customHeight="1">
      <c r="A42" s="65" t="inlineStr">
        <is>
          <t>Pure 2</t>
        </is>
      </c>
      <c r="B42" s="35" t="inlineStr">
        <is>
          <t>Ch11 Integration</t>
        </is>
      </c>
      <c r="C42" s="35" t="inlineStr">
        <is>
          <t>Ch11 Integration Exam Questions 3</t>
        </is>
      </c>
      <c r="D42" s="37" t="inlineStr">
        <is>
          <t>Questions</t>
        </is>
      </c>
      <c r="E42" s="37" t="inlineStr">
        <is>
          <t>Marks</t>
        </is>
      </c>
      <c r="F42" s="66" t="n"/>
      <c r="G42" s="41" t="n"/>
      <c r="H42" s="41" t="n"/>
    </row>
    <row r="43" ht="30" customHeight="1">
      <c r="A43" s="65" t="inlineStr">
        <is>
          <t>Pure 2</t>
        </is>
      </c>
      <c r="B43" s="35" t="inlineStr">
        <is>
          <t>Ch11 Integration</t>
        </is>
      </c>
      <c r="C43" s="35" t="inlineStr">
        <is>
          <t>Ch11 Integration Exam Questions 4</t>
        </is>
      </c>
      <c r="D43" s="37" t="inlineStr">
        <is>
          <t>Questions</t>
        </is>
      </c>
      <c r="E43" s="37" t="inlineStr">
        <is>
          <t>Marks</t>
        </is>
      </c>
      <c r="F43" s="66" t="n"/>
      <c r="G43" s="41" t="n"/>
      <c r="H43" s="68" t="inlineStr">
        <is>
          <t>p3 Q12, p6 Q7(b): volumes of revolution</t>
        </is>
      </c>
    </row>
    <row r="44" ht="30" customHeight="1">
      <c r="A44" s="65" t="inlineStr">
        <is>
          <t>Pure 2</t>
        </is>
      </c>
      <c r="B44" s="35" t="inlineStr">
        <is>
          <t>Ch12 Vectors</t>
        </is>
      </c>
      <c r="C44" s="35" t="inlineStr">
        <is>
          <t>Ch12 Vectors Exam Questions</t>
        </is>
      </c>
      <c r="D44" s="37" t="inlineStr">
        <is>
          <t>Questions</t>
        </is>
      </c>
      <c r="E44" s="37" t="inlineStr">
        <is>
          <t>Marks</t>
        </is>
      </c>
      <c r="F44" s="66" t="n"/>
      <c r="G44" s="41" t="n"/>
      <c r="H44" s="41" t="n"/>
    </row>
    <row r="45" ht="30" customHeight="1">
      <c r="A45" s="65" t="inlineStr">
        <is>
          <t>Pure 2</t>
        </is>
      </c>
      <c r="B45" s="67" t="inlineStr">
        <is>
          <t>Ch9-Ch12 review (textbook)</t>
        </is>
      </c>
      <c r="C45" s="67" t="inlineStr">
        <is>
          <t>Textbook review exercise 3 - pg.352-357</t>
        </is>
      </c>
      <c r="D45" s="38" t="inlineStr">
        <is>
          <t>in the book</t>
        </is>
      </c>
      <c r="E45" s="40" t="n"/>
      <c r="F45" s="66" t="n"/>
      <c r="G45" s="41" t="n"/>
      <c r="H45" s="41" t="n"/>
    </row>
    <row r="46" ht="10" customHeight="1"/>
    <row r="47" ht="26" customHeight="1">
      <c r="A47" s="69" t="inlineStr">
        <is>
          <t>Statistics</t>
        </is>
      </c>
      <c r="B47" s="70" t="n"/>
      <c r="C47" s="71" t="inlineStr">
        <is>
          <t>Paper 3, Section A</t>
        </is>
      </c>
      <c r="D47" s="70" t="n"/>
      <c r="E47" s="70" t="n"/>
      <c r="F47" s="70" t="n"/>
      <c r="G47" s="70" t="n"/>
      <c r="H47" s="70" t="n"/>
    </row>
    <row r="48" ht="30" customHeight="1">
      <c r="A48" s="65" t="inlineStr">
        <is>
          <t>Applied 1</t>
        </is>
      </c>
      <c r="B48" s="35" t="inlineStr">
        <is>
          <t>Ch2 Measures of Location and Spread, Ch3 Representations of Data</t>
        </is>
      </c>
      <c r="C48" s="35" t="inlineStr">
        <is>
          <t>Ch2 Measures of Location and Spread + Ch3 Representation of Data Exam Questions 1</t>
        </is>
      </c>
      <c r="D48" s="37" t="inlineStr">
        <is>
          <t>Questions</t>
        </is>
      </c>
      <c r="E48" s="37" t="inlineStr">
        <is>
          <t>Marks</t>
        </is>
      </c>
      <c r="F48" s="66" t="n"/>
      <c r="G48" s="41" t="n"/>
      <c r="H48" s="68" t="inlineStr">
        <is>
          <t>p11 Q2 and p13 Q1, skewness parts only</t>
        </is>
      </c>
    </row>
    <row r="49" ht="30" customHeight="1">
      <c r="A49" s="65" t="inlineStr">
        <is>
          <t>Applied 1</t>
        </is>
      </c>
      <c r="B49" s="35" t="inlineStr">
        <is>
          <t>Ch2 Measures of Location and Spread, Ch3 Representations of Data</t>
        </is>
      </c>
      <c r="C49" s="35" t="inlineStr">
        <is>
          <t>Ch2 Measures of Location and Spread + Ch3 Representation of Data Exam Questions 2</t>
        </is>
      </c>
      <c r="D49" s="37" t="inlineStr">
        <is>
          <t>Questions</t>
        </is>
      </c>
      <c r="E49" s="37" t="inlineStr">
        <is>
          <t>Marks</t>
        </is>
      </c>
      <c r="F49" s="66" t="n"/>
      <c r="G49" s="41" t="n"/>
      <c r="H49" s="68" t="inlineStr">
        <is>
          <t>p12 Q2(d), p14 Q1(e): skewness</t>
        </is>
      </c>
    </row>
    <row r="50" ht="30" customHeight="1">
      <c r="A50" s="65" t="inlineStr">
        <is>
          <t>Applied 1</t>
        </is>
      </c>
      <c r="B50" s="35" t="inlineStr">
        <is>
          <t>Ch4 Correlation</t>
        </is>
      </c>
      <c r="C50" s="35" t="inlineStr">
        <is>
          <t>Ch4 Correlation Exam Questions</t>
        </is>
      </c>
      <c r="D50" s="37" t="inlineStr">
        <is>
          <t>Questions</t>
        </is>
      </c>
      <c r="E50" s="37" t="inlineStr">
        <is>
          <t>Marks</t>
        </is>
      </c>
      <c r="F50" s="66" t="n"/>
      <c r="G50" s="41" t="n"/>
      <c r="H50" s="41" t="n"/>
    </row>
    <row r="51" ht="30" customHeight="1">
      <c r="A51" s="65" t="inlineStr">
        <is>
          <t>Applied 1</t>
        </is>
      </c>
      <c r="B51" s="35" t="inlineStr">
        <is>
          <t>Ch5 Probability</t>
        </is>
      </c>
      <c r="C51" s="35" t="inlineStr">
        <is>
          <t>Ch5 Probability Exam Questions</t>
        </is>
      </c>
      <c r="D51" s="37" t="inlineStr">
        <is>
          <t>Questions</t>
        </is>
      </c>
      <c r="E51" s="37" t="inlineStr">
        <is>
          <t>Marks</t>
        </is>
      </c>
      <c r="F51" s="66" t="n"/>
      <c r="G51" s="41" t="n"/>
      <c r="H51" s="41" t="n"/>
    </row>
    <row r="52" ht="30" customHeight="1">
      <c r="A52" s="65" t="inlineStr">
        <is>
          <t>Applied 1</t>
        </is>
      </c>
      <c r="B52" s="35" t="inlineStr">
        <is>
          <t>Ch6 Statistical Distributions, Ch7 Hypothesis Testing</t>
        </is>
      </c>
      <c r="C52" s="35" t="inlineStr">
        <is>
          <t>Ch6 Statistical Distributions and Ch7 Hypothesis Testing Exam Questions</t>
        </is>
      </c>
      <c r="D52" s="37" t="inlineStr">
        <is>
          <t>Questions</t>
        </is>
      </c>
      <c r="E52" s="37" t="inlineStr">
        <is>
          <t>Marks</t>
        </is>
      </c>
      <c r="F52" s="66" t="n"/>
      <c r="G52" s="41" t="n"/>
      <c r="H52" s="68" t="inlineStr">
        <is>
          <t>p7 Q1 and p10 Q6: Poisson distribution</t>
        </is>
      </c>
    </row>
    <row r="53" ht="30" customHeight="1">
      <c r="A53" s="65" t="inlineStr">
        <is>
          <t>Applied 1</t>
        </is>
      </c>
      <c r="B53" s="67" t="inlineStr">
        <is>
          <t>Ch1-Ch7 review (textbook)</t>
        </is>
      </c>
      <c r="C53" s="67" t="inlineStr">
        <is>
          <t>Textbook review exercise 1 - pg. 113-117</t>
        </is>
      </c>
      <c r="D53" s="38" t="inlineStr">
        <is>
          <t>in the book</t>
        </is>
      </c>
      <c r="E53" s="40" t="n"/>
      <c r="F53" s="66" t="n"/>
      <c r="G53" s="41" t="n"/>
      <c r="H53" s="41" t="n"/>
    </row>
    <row r="54" ht="30" customHeight="1">
      <c r="A54" s="65" t="inlineStr">
        <is>
          <t>Applied 2</t>
        </is>
      </c>
      <c r="B54" s="35" t="inlineStr">
        <is>
          <t>Ch1 Regression, Correlation and Hypothesis Testing</t>
        </is>
      </c>
      <c r="C54" s="35" t="inlineStr">
        <is>
          <t>Ch1 Regression, Correlation and Hypothesis Testing Exam Questions</t>
        </is>
      </c>
      <c r="D54" s="37" t="inlineStr">
        <is>
          <t>Questions</t>
        </is>
      </c>
      <c r="E54" s="37" t="inlineStr">
        <is>
          <t>Marks</t>
        </is>
      </c>
      <c r="F54" s="66" t="n"/>
      <c r="G54" s="41" t="n"/>
      <c r="H54" s="41" t="n"/>
    </row>
    <row r="55" ht="30" customHeight="1">
      <c r="A55" s="65" t="inlineStr">
        <is>
          <t>Applied 2</t>
        </is>
      </c>
      <c r="B55" s="35" t="inlineStr">
        <is>
          <t>Ch2 Conditional Probability</t>
        </is>
      </c>
      <c r="C55" s="35" t="inlineStr">
        <is>
          <t>Ch2 Conditional Probability Exam Questions</t>
        </is>
      </c>
      <c r="D55" s="37" t="inlineStr">
        <is>
          <t>Questions</t>
        </is>
      </c>
      <c r="E55" s="37" t="inlineStr">
        <is>
          <t>Marks</t>
        </is>
      </c>
      <c r="F55" s="66" t="n"/>
      <c r="G55" s="41" t="n"/>
      <c r="H55" s="41" t="n"/>
    </row>
    <row r="56" ht="30" customHeight="1">
      <c r="A56" s="65" t="inlineStr">
        <is>
          <t>Applied 2</t>
        </is>
      </c>
      <c r="B56" s="35" t="inlineStr">
        <is>
          <t>Ch3 The Normal Distribution</t>
        </is>
      </c>
      <c r="C56" s="35" t="inlineStr">
        <is>
          <t>Ch3 The Normal Distribution Exam Questions</t>
        </is>
      </c>
      <c r="D56" s="37" t="inlineStr">
        <is>
          <t>Questions</t>
        </is>
      </c>
      <c r="E56" s="37" t="inlineStr">
        <is>
          <t>Marks</t>
        </is>
      </c>
      <c r="F56" s="66" t="n"/>
      <c r="G56" s="41" t="n"/>
      <c r="H56" s="68" t="inlineStr">
        <is>
          <t>p8 Q1(c), p10 Q1(b), p12 Q4(b), p15 Q6, p16 Q1(b): Poisson</t>
        </is>
      </c>
    </row>
    <row r="57" ht="30" customHeight="1">
      <c r="A57" s="65" t="inlineStr">
        <is>
          <t>Applied 2</t>
        </is>
      </c>
      <c r="B57" s="67" t="inlineStr">
        <is>
          <t>Ch1-Ch3 review (textbook)</t>
        </is>
      </c>
      <c r="C57" s="67" t="inlineStr">
        <is>
          <t>Textbook review exercise 1 - pg.65-69</t>
        </is>
      </c>
      <c r="D57" s="38" t="inlineStr">
        <is>
          <t>in the book</t>
        </is>
      </c>
      <c r="E57" s="40" t="n"/>
      <c r="F57" s="66" t="n"/>
      <c r="G57" s="41" t="n"/>
      <c r="H57" s="41" t="n"/>
    </row>
    <row r="58" ht="10" customHeight="1"/>
    <row r="59" ht="26" customHeight="1">
      <c r="A59" s="72" t="inlineStr">
        <is>
          <t>Mechanics</t>
        </is>
      </c>
      <c r="B59" s="73" t="n"/>
      <c r="C59" s="74" t="inlineStr">
        <is>
          <t>Paper 3, Section B</t>
        </is>
      </c>
      <c r="D59" s="73" t="n"/>
      <c r="E59" s="73" t="n"/>
      <c r="F59" s="73" t="n"/>
      <c r="G59" s="73" t="n"/>
      <c r="H59" s="73" t="n"/>
    </row>
    <row r="60" ht="30" customHeight="1">
      <c r="A60" s="65" t="inlineStr">
        <is>
          <t>Applied 1</t>
        </is>
      </c>
      <c r="B60" s="35" t="inlineStr">
        <is>
          <t>Ch9 Constant Acceleration</t>
        </is>
      </c>
      <c r="C60" s="35" t="inlineStr">
        <is>
          <t>Ch9 Constant Acceleration Exam Questions 1</t>
        </is>
      </c>
      <c r="D60" s="37" t="inlineStr">
        <is>
          <t>Questions</t>
        </is>
      </c>
      <c r="E60" s="37" t="inlineStr">
        <is>
          <t>Marks</t>
        </is>
      </c>
      <c r="F60" s="66" t="n"/>
      <c r="G60" s="41" t="n"/>
      <c r="H60" s="41" t="n"/>
    </row>
    <row r="61" ht="30" customHeight="1">
      <c r="A61" s="65" t="inlineStr">
        <is>
          <t>Applied 1</t>
        </is>
      </c>
      <c r="B61" s="35" t="inlineStr">
        <is>
          <t>Ch9 Constant Acceleration</t>
        </is>
      </c>
      <c r="C61" s="35" t="inlineStr">
        <is>
          <t>Ch9 Constant Acceleration Exam Questions 2</t>
        </is>
      </c>
      <c r="D61" s="37" t="inlineStr">
        <is>
          <t>Questions</t>
        </is>
      </c>
      <c r="E61" s="37" t="inlineStr">
        <is>
          <t>Marks</t>
        </is>
      </c>
      <c r="F61" s="66" t="n"/>
      <c r="G61" s="41" t="n"/>
      <c r="H61" s="41" t="n"/>
    </row>
    <row r="62" ht="30" customHeight="1">
      <c r="A62" s="65" t="inlineStr">
        <is>
          <t>Applied 1</t>
        </is>
      </c>
      <c r="B62" s="35" t="inlineStr">
        <is>
          <t>Ch10 Forces and Motion</t>
        </is>
      </c>
      <c r="C62" s="35" t="inlineStr">
        <is>
          <t>Ch10 Forces and Motion Exam Questions Excluding Question 1 and 7</t>
        </is>
      </c>
      <c r="D62" s="37" t="inlineStr">
        <is>
          <t>Questions</t>
        </is>
      </c>
      <c r="E62" s="37" t="inlineStr">
        <is>
          <t>Marks</t>
        </is>
      </c>
      <c r="F62" s="66" t="n"/>
      <c r="G62" s="41" t="n"/>
      <c r="H62" s="68" t="inlineStr">
        <is>
          <t>p7 Q3(b): momentum</t>
        </is>
      </c>
    </row>
    <row r="63" ht="30" customHeight="1">
      <c r="A63" s="65" t="inlineStr">
        <is>
          <t>Applied 1</t>
        </is>
      </c>
      <c r="B63" s="35" t="inlineStr">
        <is>
          <t>Ch11 Variable Acceleration</t>
        </is>
      </c>
      <c r="C63" s="35" t="inlineStr">
        <is>
          <t>Ch11 Variable Acceleration Exam Questions</t>
        </is>
      </c>
      <c r="D63" s="37" t="inlineStr">
        <is>
          <t>Questions</t>
        </is>
      </c>
      <c r="E63" s="37" t="inlineStr">
        <is>
          <t>Marks</t>
        </is>
      </c>
      <c r="F63" s="66" t="n"/>
      <c r="G63" s="41" t="n"/>
      <c r="H63" s="41" t="n"/>
    </row>
    <row r="64" ht="30" customHeight="1">
      <c r="A64" s="65" t="inlineStr">
        <is>
          <t>Applied 1</t>
        </is>
      </c>
      <c r="B64" s="67" t="inlineStr">
        <is>
          <t>Ch8-Ch11 review (textbook)</t>
        </is>
      </c>
      <c r="C64" s="67" t="inlineStr">
        <is>
          <t>Textbook review exercise 2 - pg. 197-200</t>
        </is>
      </c>
      <c r="D64" s="38" t="inlineStr">
        <is>
          <t>in the book</t>
        </is>
      </c>
      <c r="E64" s="40" t="n"/>
      <c r="F64" s="66" t="n"/>
      <c r="G64" s="41" t="n"/>
      <c r="H64" s="41" t="n"/>
    </row>
    <row r="65" ht="30" customHeight="1">
      <c r="A65" s="65" t="inlineStr">
        <is>
          <t>Applied 2</t>
        </is>
      </c>
      <c r="B65" s="35" t="inlineStr">
        <is>
          <t>Ch4 Moments</t>
        </is>
      </c>
      <c r="C65" s="35" t="inlineStr">
        <is>
          <t>Ch4 Moments Exam Questions</t>
        </is>
      </c>
      <c r="D65" s="37" t="inlineStr">
        <is>
          <t>Questions</t>
        </is>
      </c>
      <c r="E65" s="37" t="inlineStr">
        <is>
          <t>Marks</t>
        </is>
      </c>
      <c r="F65" s="66" t="n"/>
      <c r="G65" s="41" t="n"/>
      <c r="H65" s="41" t="n"/>
    </row>
    <row r="66" ht="30" customHeight="1">
      <c r="A66" s="65" t="inlineStr">
        <is>
          <t>Applied 2</t>
        </is>
      </c>
      <c r="B66" s="35" t="inlineStr">
        <is>
          <t>Ch6 Projectiles</t>
        </is>
      </c>
      <c r="C66" s="35" t="inlineStr">
        <is>
          <t>Ch6 Projectiles Exam Questions</t>
        </is>
      </c>
      <c r="D66" s="37" t="inlineStr">
        <is>
          <t>Questions</t>
        </is>
      </c>
      <c r="E66" s="37" t="inlineStr">
        <is>
          <t>Marks</t>
        </is>
      </c>
      <c r="F66" s="66" t="n"/>
      <c r="G66" s="41" t="n"/>
      <c r="H66" s="41" t="n"/>
    </row>
    <row r="67" ht="30" customHeight="1">
      <c r="A67" s="65" t="inlineStr">
        <is>
          <t>Applied 2</t>
        </is>
      </c>
      <c r="B67" s="35" t="inlineStr">
        <is>
          <t>Ch5 Forces and Friction, Ch7 Application of Forces</t>
        </is>
      </c>
      <c r="C67" s="35" t="inlineStr">
        <is>
          <t>Ch5 Forces and Friction + Ch7 Application of Forces Exam Questions 1</t>
        </is>
      </c>
      <c r="D67" s="37" t="inlineStr">
        <is>
          <t>Questions</t>
        </is>
      </c>
      <c r="E67" s="37" t="inlineStr">
        <is>
          <t>Marks</t>
        </is>
      </c>
      <c r="F67" s="66" t="n"/>
      <c r="G67" s="41" t="n"/>
      <c r="H67" s="41" t="n"/>
    </row>
    <row r="68" ht="30" customHeight="1">
      <c r="A68" s="65" t="inlineStr">
        <is>
          <t>Applied 2</t>
        </is>
      </c>
      <c r="B68" s="35" t="inlineStr">
        <is>
          <t>Ch5 Forces and Friction, Ch7 Application of Forces</t>
        </is>
      </c>
      <c r="C68" s="35" t="inlineStr">
        <is>
          <t>Ch5 Forces and Friction + Ch7 Application of Forces Exam Questions 2</t>
        </is>
      </c>
      <c r="D68" s="37" t="inlineStr">
        <is>
          <t>Questions</t>
        </is>
      </c>
      <c r="E68" s="37" t="inlineStr">
        <is>
          <t>Marks</t>
        </is>
      </c>
      <c r="F68" s="66" t="n"/>
      <c r="G68" s="41" t="n"/>
      <c r="H68" s="41" t="n"/>
    </row>
    <row r="69" ht="30" customHeight="1">
      <c r="A69" s="65" t="inlineStr">
        <is>
          <t>Applied 2</t>
        </is>
      </c>
      <c r="B69" s="35" t="inlineStr">
        <is>
          <t>Ch8 Further Kinematics</t>
        </is>
      </c>
      <c r="C69" s="35" t="inlineStr">
        <is>
          <t>Ch8 Further Kinematics Exam Questions 1</t>
        </is>
      </c>
      <c r="D69" s="37" t="inlineStr">
        <is>
          <t>Questions</t>
        </is>
      </c>
      <c r="E69" s="37" t="inlineStr">
        <is>
          <t>Marks</t>
        </is>
      </c>
      <c r="F69" s="66" t="n"/>
      <c r="G69" s="41" t="n"/>
      <c r="H69" s="41" t="n"/>
    </row>
    <row r="70" ht="30" customHeight="1">
      <c r="A70" s="65" t="inlineStr">
        <is>
          <t>Applied 2</t>
        </is>
      </c>
      <c r="B70" s="35" t="inlineStr">
        <is>
          <t>Ch8 Further Kinematics</t>
        </is>
      </c>
      <c r="C70" s="35" t="inlineStr">
        <is>
          <t>Ch8 Further Kinematics Exam Questions 2</t>
        </is>
      </c>
      <c r="D70" s="37" t="inlineStr">
        <is>
          <t>Questions</t>
        </is>
      </c>
      <c r="E70" s="37" t="inlineStr">
        <is>
          <t>Marks</t>
        </is>
      </c>
      <c r="F70" s="66" t="n"/>
      <c r="G70" s="41" t="n"/>
      <c r="H70" s="41" t="n"/>
    </row>
    <row r="71" ht="30" customHeight="1">
      <c r="A71" s="65" t="inlineStr">
        <is>
          <t>Applied 2</t>
        </is>
      </c>
      <c r="B71" s="67" t="inlineStr">
        <is>
          <t>Ch4-Ch8 review (textbook)</t>
        </is>
      </c>
      <c r="C71" s="67" t="inlineStr">
        <is>
          <t>Textbook review exercise 2 - pg.182-186</t>
        </is>
      </c>
      <c r="D71" s="38" t="inlineStr">
        <is>
          <t>in the book</t>
        </is>
      </c>
      <c r="E71" s="40" t="n"/>
      <c r="F71" s="66" t="n"/>
      <c r="G71" s="41" t="n"/>
      <c r="H71" s="41" t="n"/>
    </row>
  </sheetData>
  <conditionalFormatting sqref="F5:F71">
    <cfRule type="cellIs" priority="1" operator="equal" dxfId="2">
      <formula>"Done"</formula>
    </cfRule>
    <cfRule type="cellIs" priority="2" operator="equal" dxfId="1">
      <formula>"Started"</formula>
    </cfRule>
  </conditionalFormatting>
  <dataValidations count="1">
    <dataValidation sqref="F5:F71" showDropDown="0" showInputMessage="0" showErrorMessage="0" allowBlank="1" type="list">
      <formula1>"Done,Started"</formula1>
    </dataValidation>
  </dataValidations>
  <hyperlinks>
    <hyperlink xmlns:r="http://schemas.openxmlformats.org/officeDocument/2006/relationships" ref="D7" r:id="rId1"/>
    <hyperlink xmlns:r="http://schemas.openxmlformats.org/officeDocument/2006/relationships" ref="E7" r:id="rId2"/>
    <hyperlink xmlns:r="http://schemas.openxmlformats.org/officeDocument/2006/relationships" ref="D8" r:id="rId3"/>
    <hyperlink xmlns:r="http://schemas.openxmlformats.org/officeDocument/2006/relationships" ref="E8" r:id="rId4"/>
    <hyperlink xmlns:r="http://schemas.openxmlformats.org/officeDocument/2006/relationships" ref="D10" r:id="rId5"/>
    <hyperlink xmlns:r="http://schemas.openxmlformats.org/officeDocument/2006/relationships" ref="E10" r:id="rId6"/>
    <hyperlink xmlns:r="http://schemas.openxmlformats.org/officeDocument/2006/relationships" ref="D11" r:id="rId7"/>
    <hyperlink xmlns:r="http://schemas.openxmlformats.org/officeDocument/2006/relationships" ref="E11" r:id="rId8"/>
    <hyperlink xmlns:r="http://schemas.openxmlformats.org/officeDocument/2006/relationships" ref="D12" r:id="rId9"/>
    <hyperlink xmlns:r="http://schemas.openxmlformats.org/officeDocument/2006/relationships" ref="E12" r:id="rId10"/>
    <hyperlink xmlns:r="http://schemas.openxmlformats.org/officeDocument/2006/relationships" ref="D13" r:id="rId11"/>
    <hyperlink xmlns:r="http://schemas.openxmlformats.org/officeDocument/2006/relationships" ref="E13" r:id="rId12"/>
    <hyperlink xmlns:r="http://schemas.openxmlformats.org/officeDocument/2006/relationships" ref="D14" r:id="rId13"/>
    <hyperlink xmlns:r="http://schemas.openxmlformats.org/officeDocument/2006/relationships" ref="E14" r:id="rId14"/>
    <hyperlink xmlns:r="http://schemas.openxmlformats.org/officeDocument/2006/relationships" ref="D15" r:id="rId15"/>
    <hyperlink xmlns:r="http://schemas.openxmlformats.org/officeDocument/2006/relationships" ref="E15" r:id="rId16"/>
    <hyperlink xmlns:r="http://schemas.openxmlformats.org/officeDocument/2006/relationships" ref="D16" r:id="rId17"/>
    <hyperlink xmlns:r="http://schemas.openxmlformats.org/officeDocument/2006/relationships" ref="E16" r:id="rId18"/>
    <hyperlink xmlns:r="http://schemas.openxmlformats.org/officeDocument/2006/relationships" ref="D18" r:id="rId19"/>
    <hyperlink xmlns:r="http://schemas.openxmlformats.org/officeDocument/2006/relationships" ref="E18" r:id="rId20"/>
    <hyperlink xmlns:r="http://schemas.openxmlformats.org/officeDocument/2006/relationships" ref="D19" r:id="rId21"/>
    <hyperlink xmlns:r="http://schemas.openxmlformats.org/officeDocument/2006/relationships" ref="E19" r:id="rId22"/>
    <hyperlink xmlns:r="http://schemas.openxmlformats.org/officeDocument/2006/relationships" ref="D20" r:id="rId23"/>
    <hyperlink xmlns:r="http://schemas.openxmlformats.org/officeDocument/2006/relationships" ref="E20" r:id="rId24"/>
    <hyperlink xmlns:r="http://schemas.openxmlformats.org/officeDocument/2006/relationships" ref="D21" r:id="rId25"/>
    <hyperlink xmlns:r="http://schemas.openxmlformats.org/officeDocument/2006/relationships" ref="E21" r:id="rId26"/>
    <hyperlink xmlns:r="http://schemas.openxmlformats.org/officeDocument/2006/relationships" ref="D22" r:id="rId27"/>
    <hyperlink xmlns:r="http://schemas.openxmlformats.org/officeDocument/2006/relationships" ref="E22" r:id="rId28"/>
    <hyperlink xmlns:r="http://schemas.openxmlformats.org/officeDocument/2006/relationships" ref="D23" r:id="rId29"/>
    <hyperlink xmlns:r="http://schemas.openxmlformats.org/officeDocument/2006/relationships" ref="E23" r:id="rId30"/>
    <hyperlink xmlns:r="http://schemas.openxmlformats.org/officeDocument/2006/relationships" ref="D25" r:id="rId31"/>
    <hyperlink xmlns:r="http://schemas.openxmlformats.org/officeDocument/2006/relationships" ref="E25" r:id="rId32"/>
    <hyperlink xmlns:r="http://schemas.openxmlformats.org/officeDocument/2006/relationships" ref="D26" r:id="rId33"/>
    <hyperlink xmlns:r="http://schemas.openxmlformats.org/officeDocument/2006/relationships" ref="E26" r:id="rId34"/>
    <hyperlink xmlns:r="http://schemas.openxmlformats.org/officeDocument/2006/relationships" ref="D27" r:id="rId35"/>
    <hyperlink xmlns:r="http://schemas.openxmlformats.org/officeDocument/2006/relationships" ref="E27" r:id="rId36"/>
    <hyperlink xmlns:r="http://schemas.openxmlformats.org/officeDocument/2006/relationships" ref="D28" r:id="rId37"/>
    <hyperlink xmlns:r="http://schemas.openxmlformats.org/officeDocument/2006/relationships" ref="E28" r:id="rId38"/>
    <hyperlink xmlns:r="http://schemas.openxmlformats.org/officeDocument/2006/relationships" ref="D29" r:id="rId39"/>
    <hyperlink xmlns:r="http://schemas.openxmlformats.org/officeDocument/2006/relationships" ref="E29" r:id="rId40"/>
    <hyperlink xmlns:r="http://schemas.openxmlformats.org/officeDocument/2006/relationships" ref="D30" r:id="rId41"/>
    <hyperlink xmlns:r="http://schemas.openxmlformats.org/officeDocument/2006/relationships" ref="D32" r:id="rId42"/>
    <hyperlink xmlns:r="http://schemas.openxmlformats.org/officeDocument/2006/relationships" ref="E32" r:id="rId43"/>
    <hyperlink xmlns:r="http://schemas.openxmlformats.org/officeDocument/2006/relationships" ref="D33" r:id="rId44"/>
    <hyperlink xmlns:r="http://schemas.openxmlformats.org/officeDocument/2006/relationships" ref="E33" r:id="rId45"/>
    <hyperlink xmlns:r="http://schemas.openxmlformats.org/officeDocument/2006/relationships" ref="D34" r:id="rId46"/>
    <hyperlink xmlns:r="http://schemas.openxmlformats.org/officeDocument/2006/relationships" ref="E34" r:id="rId47"/>
    <hyperlink xmlns:r="http://schemas.openxmlformats.org/officeDocument/2006/relationships" ref="D35" r:id="rId48"/>
    <hyperlink xmlns:r="http://schemas.openxmlformats.org/officeDocument/2006/relationships" ref="E35" r:id="rId49"/>
    <hyperlink xmlns:r="http://schemas.openxmlformats.org/officeDocument/2006/relationships" ref="D37" r:id="rId50"/>
    <hyperlink xmlns:r="http://schemas.openxmlformats.org/officeDocument/2006/relationships" ref="E37" r:id="rId51"/>
    <hyperlink xmlns:r="http://schemas.openxmlformats.org/officeDocument/2006/relationships" ref="D38" r:id="rId52"/>
    <hyperlink xmlns:r="http://schemas.openxmlformats.org/officeDocument/2006/relationships" ref="E38" r:id="rId53"/>
    <hyperlink xmlns:r="http://schemas.openxmlformats.org/officeDocument/2006/relationships" ref="D39" r:id="rId54"/>
    <hyperlink xmlns:r="http://schemas.openxmlformats.org/officeDocument/2006/relationships" ref="E39" r:id="rId55"/>
    <hyperlink xmlns:r="http://schemas.openxmlformats.org/officeDocument/2006/relationships" ref="D40" r:id="rId56"/>
    <hyperlink xmlns:r="http://schemas.openxmlformats.org/officeDocument/2006/relationships" ref="E40" r:id="rId57"/>
    <hyperlink xmlns:r="http://schemas.openxmlformats.org/officeDocument/2006/relationships" ref="D41" r:id="rId58"/>
    <hyperlink xmlns:r="http://schemas.openxmlformats.org/officeDocument/2006/relationships" ref="E41" r:id="rId59"/>
    <hyperlink xmlns:r="http://schemas.openxmlformats.org/officeDocument/2006/relationships" ref="D42" r:id="rId60"/>
    <hyperlink xmlns:r="http://schemas.openxmlformats.org/officeDocument/2006/relationships" ref="E42" r:id="rId61"/>
    <hyperlink xmlns:r="http://schemas.openxmlformats.org/officeDocument/2006/relationships" ref="D43" r:id="rId62"/>
    <hyperlink xmlns:r="http://schemas.openxmlformats.org/officeDocument/2006/relationships" ref="E43" r:id="rId63"/>
    <hyperlink xmlns:r="http://schemas.openxmlformats.org/officeDocument/2006/relationships" ref="D44" r:id="rId64"/>
    <hyperlink xmlns:r="http://schemas.openxmlformats.org/officeDocument/2006/relationships" ref="E44" r:id="rId65"/>
    <hyperlink xmlns:r="http://schemas.openxmlformats.org/officeDocument/2006/relationships" ref="D48" r:id="rId66"/>
    <hyperlink xmlns:r="http://schemas.openxmlformats.org/officeDocument/2006/relationships" ref="E48" r:id="rId67"/>
    <hyperlink xmlns:r="http://schemas.openxmlformats.org/officeDocument/2006/relationships" ref="D49" r:id="rId68"/>
    <hyperlink xmlns:r="http://schemas.openxmlformats.org/officeDocument/2006/relationships" ref="E49" r:id="rId69"/>
    <hyperlink xmlns:r="http://schemas.openxmlformats.org/officeDocument/2006/relationships" ref="D50" r:id="rId70"/>
    <hyperlink xmlns:r="http://schemas.openxmlformats.org/officeDocument/2006/relationships" ref="E50" r:id="rId71"/>
    <hyperlink xmlns:r="http://schemas.openxmlformats.org/officeDocument/2006/relationships" ref="D51" r:id="rId72"/>
    <hyperlink xmlns:r="http://schemas.openxmlformats.org/officeDocument/2006/relationships" ref="E51" r:id="rId73"/>
    <hyperlink xmlns:r="http://schemas.openxmlformats.org/officeDocument/2006/relationships" ref="D52" r:id="rId74"/>
    <hyperlink xmlns:r="http://schemas.openxmlformats.org/officeDocument/2006/relationships" ref="E52" r:id="rId75"/>
    <hyperlink xmlns:r="http://schemas.openxmlformats.org/officeDocument/2006/relationships" ref="D54" r:id="rId76"/>
    <hyperlink xmlns:r="http://schemas.openxmlformats.org/officeDocument/2006/relationships" ref="E54" r:id="rId77"/>
    <hyperlink xmlns:r="http://schemas.openxmlformats.org/officeDocument/2006/relationships" ref="D55" r:id="rId78"/>
    <hyperlink xmlns:r="http://schemas.openxmlformats.org/officeDocument/2006/relationships" ref="E55" r:id="rId79"/>
    <hyperlink xmlns:r="http://schemas.openxmlformats.org/officeDocument/2006/relationships" ref="D56" r:id="rId80"/>
    <hyperlink xmlns:r="http://schemas.openxmlformats.org/officeDocument/2006/relationships" ref="E56" r:id="rId81"/>
    <hyperlink xmlns:r="http://schemas.openxmlformats.org/officeDocument/2006/relationships" ref="D60" r:id="rId82"/>
    <hyperlink xmlns:r="http://schemas.openxmlformats.org/officeDocument/2006/relationships" ref="E60" r:id="rId83"/>
    <hyperlink xmlns:r="http://schemas.openxmlformats.org/officeDocument/2006/relationships" ref="D61" r:id="rId84"/>
    <hyperlink xmlns:r="http://schemas.openxmlformats.org/officeDocument/2006/relationships" ref="E61" r:id="rId85"/>
    <hyperlink xmlns:r="http://schemas.openxmlformats.org/officeDocument/2006/relationships" ref="D62" r:id="rId86"/>
    <hyperlink xmlns:r="http://schemas.openxmlformats.org/officeDocument/2006/relationships" ref="E62" r:id="rId87"/>
    <hyperlink xmlns:r="http://schemas.openxmlformats.org/officeDocument/2006/relationships" ref="D63" r:id="rId88"/>
    <hyperlink xmlns:r="http://schemas.openxmlformats.org/officeDocument/2006/relationships" ref="E63" r:id="rId89"/>
    <hyperlink xmlns:r="http://schemas.openxmlformats.org/officeDocument/2006/relationships" ref="D65" r:id="rId90"/>
    <hyperlink xmlns:r="http://schemas.openxmlformats.org/officeDocument/2006/relationships" ref="E65" r:id="rId91"/>
    <hyperlink xmlns:r="http://schemas.openxmlformats.org/officeDocument/2006/relationships" ref="D66" r:id="rId92"/>
    <hyperlink xmlns:r="http://schemas.openxmlformats.org/officeDocument/2006/relationships" ref="E66" r:id="rId93"/>
    <hyperlink xmlns:r="http://schemas.openxmlformats.org/officeDocument/2006/relationships" ref="D67" r:id="rId94"/>
    <hyperlink xmlns:r="http://schemas.openxmlformats.org/officeDocument/2006/relationships" ref="E67" r:id="rId95"/>
    <hyperlink xmlns:r="http://schemas.openxmlformats.org/officeDocument/2006/relationships" ref="D68" r:id="rId96"/>
    <hyperlink xmlns:r="http://schemas.openxmlformats.org/officeDocument/2006/relationships" ref="E68" r:id="rId97"/>
    <hyperlink xmlns:r="http://schemas.openxmlformats.org/officeDocument/2006/relationships" ref="D69" r:id="rId98"/>
    <hyperlink xmlns:r="http://schemas.openxmlformats.org/officeDocument/2006/relationships" ref="E69" r:id="rId99"/>
    <hyperlink xmlns:r="http://schemas.openxmlformats.org/officeDocument/2006/relationships" ref="D70" r:id="rId100"/>
    <hyperlink xmlns:r="http://schemas.openxmlformats.org/officeDocument/2006/relationships" ref="E70" r:id="rId101"/>
  </hyperlinks>
  <pageMargins left="0.75" right="0.75" top="1" bottom="1" header="0.5" footer="0.5"/>
  <pageSetup fitToHeight="0" fitToWidth="1"/>
</worksheet>
</file>

<file path=xl/worksheets/sheet6.xml><?xml version="1.0" encoding="utf-8"?>
<worksheet xmlns="http://schemas.openxmlformats.org/spreadsheetml/2006/main">
  <sheetPr>
    <tabColor rgb="001E6B3A"/>
    <outlinePr summaryBelow="1" summaryRight="1"/>
    <pageSetUpPr fitToPage="1"/>
  </sheetPr>
  <dimension ref="A1:H49"/>
  <sheetViews>
    <sheetView showGridLines="0" zoomScale="110" workbookViewId="0">
      <selection activeCell="A1" sqref="A1"/>
    </sheetView>
  </sheetViews>
  <sheetFormatPr baseColWidth="8" defaultRowHeight="15"/>
  <cols>
    <col width="40" customWidth="1" min="1" max="1"/>
    <col width="12" customWidth="1" min="2" max="2"/>
    <col width="11" customWidth="1" min="3" max="3"/>
    <col width="11" customWidth="1" min="4" max="4"/>
    <col width="11" customWidth="1" min="5" max="5"/>
    <col width="11" customWidth="1" min="6" max="6"/>
    <col width="11" customWidth="1" min="7" max="7"/>
    <col width="11" customWidth="1" min="8" max="8"/>
    <col width="4" customWidth="1" min="9" max="9"/>
  </cols>
  <sheetData>
    <row r="1" ht="34" customHeight="1">
      <c r="A1" s="59" t="inlineStr">
        <is>
          <t>Progress</t>
        </is>
      </c>
    </row>
    <row r="2">
      <c r="A2" s="20" t="inlineStr">
        <is>
          <t>This page fills itself in from your ratings. Nothing to type here except the yellow cells, if you want to change them.</t>
        </is>
      </c>
    </row>
    <row r="4" ht="44" customHeight="1">
      <c r="A4" s="75">
        <f>TEXT((COUNTIFS('Pure'!$D$7:$D$184,"R",'Pure'!$C$7:$C$184,"&gt;0")+COUNTIFS('Statistics'!$D$7:$D$58,"R",'Statistics'!$C$7:$C$58,"&gt;0")+COUNTIFS('Mechanics'!$D$7:$D$50,"R",'Mechanics'!$C$7:$C$50,"&gt;0")+COUNTIFS('Pure'!$D$7:$D$184,"A",'Pure'!$C$7:$C$184,"&gt;0")+COUNTIFS('Statistics'!$D$7:$D$58,"A",'Statistics'!$C$7:$C$58,"&gt;0")+COUNTIFS('Mechanics'!$D$7:$D$50,"A",'Mechanics'!$C$7:$C$50,"&gt;0")+COUNTIFS('Pure'!$D$7:$D$184,"G",'Pure'!$C$7:$C$184,"&gt;0")+COUNTIFS('Statistics'!$D$7:$D$58,"G",'Statistics'!$C$7:$C$58,"&gt;0")+COUNTIFS('Mechanics'!$D$7:$D$50,"G",'Mechanics'!$C$7:$C$50,"&gt;0"))/236,"0%")</f>
        <v/>
      </c>
      <c r="C4" s="76">
        <f>COUNTIFS('Pure'!$D$7:$D$184,"R",'Pure'!$C$7:$C$184,"&gt;0")+COUNTIFS('Statistics'!$D$7:$D$58,"R",'Statistics'!$C$7:$C$58,"&gt;0")+COUNTIFS('Mechanics'!$D$7:$D$50,"R",'Mechanics'!$C$7:$C$50,"&gt;0")</f>
        <v/>
      </c>
      <c r="D4" s="77" t="n"/>
      <c r="E4" s="78">
        <f>COUNTIFS('Pure'!$D$7:$D$184,"A",'Pure'!$C$7:$C$184,"&gt;0")+COUNTIFS('Statistics'!$D$7:$D$58,"A",'Statistics'!$C$7:$C$58,"&gt;0")+COUNTIFS('Mechanics'!$D$7:$D$50,"A",'Mechanics'!$C$7:$C$50,"&gt;0")</f>
        <v/>
      </c>
      <c r="F4" s="79" t="n"/>
      <c r="G4" s="80">
        <f>COUNTIFS('Pure'!$D$7:$D$184,"G",'Pure'!$C$7:$C$184,"&gt;0")+COUNTIFS('Statistics'!$D$7:$D$58,"G",'Statistics'!$C$7:$C$58,"&gt;0")+COUNTIFS('Mechanics'!$D$7:$D$50,"G",'Mechanics'!$C$7:$C$50,"&gt;0")</f>
        <v/>
      </c>
      <c r="H4" s="81" t="n"/>
    </row>
    <row r="5" ht="20" customHeight="1">
      <c r="A5" s="82" t="inlineStr">
        <is>
          <t>Topics rated (of 236)</t>
        </is>
      </c>
      <c r="C5" s="83" t="inlineStr">
        <is>
          <t>Red</t>
        </is>
      </c>
      <c r="D5" s="77" t="n"/>
      <c r="E5" s="84" t="inlineStr">
        <is>
          <t>Amber</t>
        </is>
      </c>
      <c r="F5" s="79" t="n"/>
      <c r="G5" s="85" t="inlineStr">
        <is>
          <t>Green</t>
        </is>
      </c>
      <c r="H5" s="81" t="n"/>
    </row>
    <row r="7">
      <c r="A7" s="3" t="inlineStr">
        <is>
          <t>Your practice plan</t>
        </is>
      </c>
    </row>
    <row r="8" ht="20" customHeight="1">
      <c r="A8" s="60" t="inlineStr">
        <is>
          <t>Rating</t>
        </is>
      </c>
      <c r="B8" s="61" t="inlineStr">
        <is>
          <t>Topics</t>
        </is>
      </c>
      <c r="C8" s="61" t="inlineStr">
        <is>
          <t>Qs each</t>
        </is>
      </c>
      <c r="D8" s="61" t="inlineStr">
        <is>
          <t>Qs total</t>
        </is>
      </c>
      <c r="E8" s="61" t="inlineStr">
        <is>
          <t>What to do</t>
        </is>
      </c>
    </row>
    <row r="9">
      <c r="A9" s="86" t="inlineStr">
        <is>
          <t>Red</t>
        </is>
      </c>
      <c r="B9" s="87">
        <f>COUNTIFS('Pure'!$D$7:$D$184,"R",'Pure'!$C$7:$C$184,"&gt;0")+COUNTIFS('Statistics'!$D$7:$D$58,"R",'Statistics'!$C$7:$C$58,"&gt;0")+COUNTIFS('Mechanics'!$D$7:$D$50,"R",'Mechanics'!$C$7:$C$50,"&gt;0")</f>
        <v/>
      </c>
      <c r="C9" s="88" t="n">
        <v>10</v>
      </c>
      <c r="D9" s="87">
        <f>B9*C9</f>
        <v/>
      </c>
      <c r="E9" s="89" t="inlineStr">
        <is>
          <t>Full worksheet, taught first</t>
        </is>
      </c>
    </row>
    <row r="10">
      <c r="A10" s="90" t="inlineStr">
        <is>
          <t>Amber</t>
        </is>
      </c>
      <c r="B10" s="87">
        <f>COUNTIFS('Pure'!$D$7:$D$184,"A",'Pure'!$C$7:$C$184,"&gt;0")+COUNTIFS('Statistics'!$D$7:$D$58,"A",'Statistics'!$C$7:$C$58,"&gt;0")+COUNTIFS('Mechanics'!$D$7:$D$50,"A",'Mechanics'!$C$7:$C$50,"&gt;0")</f>
        <v/>
      </c>
      <c r="C10" s="88" t="n">
        <v>5</v>
      </c>
      <c r="D10" s="87">
        <f>B10*C10</f>
        <v/>
      </c>
      <c r="E10" s="89" t="inlineStr">
        <is>
          <t>Practise until 3 right in a row</t>
        </is>
      </c>
    </row>
    <row r="11">
      <c r="A11" s="91" t="inlineStr">
        <is>
          <t>Green</t>
        </is>
      </c>
      <c r="B11" s="87">
        <f>COUNTIFS('Pure'!$D$7:$D$184,"G",'Pure'!$C$7:$C$184,"&gt;0")+COUNTIFS('Statistics'!$D$7:$D$58,"G",'Statistics'!$C$7:$C$58,"&gt;0")+COUNTIFS('Mechanics'!$D$7:$D$50,"G",'Mechanics'!$C$7:$C$50,"&gt;0")</f>
        <v/>
      </c>
      <c r="C11" s="88" t="n">
        <v>2</v>
      </c>
      <c r="D11" s="87">
        <f>B11*C11</f>
        <v/>
      </c>
      <c r="E11" s="89" t="inlineStr">
        <is>
          <t>2-question spot check</t>
        </is>
      </c>
    </row>
    <row r="12">
      <c r="A12" t="inlineStr">
        <is>
          <t>Not rated yet</t>
        </is>
      </c>
      <c r="B12" s="92">
        <f>COUNTIFS('Pure'!$D$7:$D$184,"",'Pure'!$C$7:$C$184,"&gt;0")+COUNTIFS('Statistics'!$D$7:$D$58,"",'Statistics'!$C$7:$C$58,"&gt;0")+COUNTIFS('Mechanics'!$D$7:$D$50,"",'Mechanics'!$C$7:$C$50,"&gt;0")</f>
        <v/>
      </c>
    </row>
    <row r="13">
      <c r="A13" s="21" t="inlineStr">
        <is>
          <t>Total questions</t>
        </is>
      </c>
      <c r="D13" s="93">
        <f>SUM(D9:D11)</f>
        <v/>
      </c>
    </row>
    <row r="14">
      <c r="A14" t="inlineStr">
        <is>
          <t>Minutes per question</t>
        </is>
      </c>
      <c r="D14" s="94" t="n">
        <v>6</v>
      </c>
    </row>
    <row r="15">
      <c r="A15" s="21" t="inlineStr">
        <is>
          <t>Hours of practice</t>
        </is>
      </c>
      <c r="D15" s="93">
        <f>ROUND(D13*D14/60,1)</f>
        <v/>
      </c>
    </row>
    <row r="16">
      <c r="A16" t="inlineStr">
        <is>
          <t>Chapter tests done</t>
        </is>
      </c>
      <c r="D16" s="92">
        <f>COUNTIF('Chapter tests'!$F$5:$F$71,"Done")&amp;" of 61"</f>
        <v/>
      </c>
    </row>
    <row r="18">
      <c r="A18" s="3" t="inlineStr">
        <is>
          <t>By year</t>
        </is>
      </c>
    </row>
    <row r="19" ht="20" customHeight="1">
      <c r="A19" s="60" t="inlineStr"/>
      <c r="B19" s="61" t="inlineStr">
        <is>
          <t>Topics</t>
        </is>
      </c>
      <c r="C19" s="61" t="inlineStr">
        <is>
          <t>Red</t>
        </is>
      </c>
      <c r="D19" s="61" t="inlineStr">
        <is>
          <t>Amber</t>
        </is>
      </c>
      <c r="E19" s="61" t="inlineStr">
        <is>
          <t>Green</t>
        </is>
      </c>
      <c r="F19" s="61" t="inlineStr">
        <is>
          <t>Not rated</t>
        </is>
      </c>
      <c r="G19" s="61" t="inlineStr">
        <is>
          <t>% Green</t>
        </is>
      </c>
    </row>
    <row r="20">
      <c r="A20" s="95" t="inlineStr">
        <is>
          <t>Year 1 (AS content)</t>
        </is>
      </c>
      <c r="B20" s="87">
        <f>COUNTIFS('Pure'!$C$7:$C$184,1)+COUNTIFS('Statistics'!$C$7:$C$58,1)+COUNTIFS('Mechanics'!$C$7:$C$50,1)</f>
        <v/>
      </c>
      <c r="C20" s="87">
        <f>COUNTIFS('Pure'!$C$7:$C$184,1,'Pure'!$D$7:$D$184,"R")+COUNTIFS('Statistics'!$C$7:$C$58,1,'Statistics'!$D$7:$D$58,"R")+COUNTIFS('Mechanics'!$C$7:$C$50,1,'Mechanics'!$D$7:$D$50,"R")</f>
        <v/>
      </c>
      <c r="D20" s="87">
        <f>COUNTIFS('Pure'!$C$7:$C$184,1,'Pure'!$D$7:$D$184,"A")+COUNTIFS('Statistics'!$C$7:$C$58,1,'Statistics'!$D$7:$D$58,"A")+COUNTIFS('Mechanics'!$C$7:$C$50,1,'Mechanics'!$D$7:$D$50,"A")</f>
        <v/>
      </c>
      <c r="E20" s="87">
        <f>COUNTIFS('Pure'!$C$7:$C$184,1,'Pure'!$D$7:$D$184,"G")+COUNTIFS('Statistics'!$C$7:$C$58,1,'Statistics'!$D$7:$D$58,"G")+COUNTIFS('Mechanics'!$C$7:$C$50,1,'Mechanics'!$D$7:$D$50,"G")</f>
        <v/>
      </c>
      <c r="F20" s="87">
        <f>COUNTIFS('Pure'!$C$7:$C$184,1,'Pure'!$D$7:$D$184,"")+COUNTIFS('Statistics'!$C$7:$C$58,1,'Statistics'!$D$7:$D$58,"")+COUNTIFS('Mechanics'!$C$7:$C$50,1,'Mechanics'!$D$7:$D$50,"")</f>
        <v/>
      </c>
      <c r="G20" s="96">
        <f>IFERROR(E20/B20,0)</f>
        <v/>
      </c>
    </row>
    <row r="21">
      <c r="A21" s="95" t="inlineStr">
        <is>
          <t>Year 2</t>
        </is>
      </c>
      <c r="B21" s="87">
        <f>COUNTIFS('Pure'!$C$7:$C$184,2)+COUNTIFS('Statistics'!$C$7:$C$58,2)+COUNTIFS('Mechanics'!$C$7:$C$50,2)</f>
        <v/>
      </c>
      <c r="C21" s="87">
        <f>COUNTIFS('Pure'!$C$7:$C$184,2,'Pure'!$D$7:$D$184,"R")+COUNTIFS('Statistics'!$C$7:$C$58,2,'Statistics'!$D$7:$D$58,"R")+COUNTIFS('Mechanics'!$C$7:$C$50,2,'Mechanics'!$D$7:$D$50,"R")</f>
        <v/>
      </c>
      <c r="D21" s="87">
        <f>COUNTIFS('Pure'!$C$7:$C$184,2,'Pure'!$D$7:$D$184,"A")+COUNTIFS('Statistics'!$C$7:$C$58,2,'Statistics'!$D$7:$D$58,"A")+COUNTIFS('Mechanics'!$C$7:$C$50,2,'Mechanics'!$D$7:$D$50,"A")</f>
        <v/>
      </c>
      <c r="E21" s="87">
        <f>COUNTIFS('Pure'!$C$7:$C$184,2,'Pure'!$D$7:$D$184,"G")+COUNTIFS('Statistics'!$C$7:$C$58,2,'Statistics'!$D$7:$D$58,"G")+COUNTIFS('Mechanics'!$C$7:$C$50,2,'Mechanics'!$D$7:$D$50,"G")</f>
        <v/>
      </c>
      <c r="F21" s="87">
        <f>COUNTIFS('Pure'!$C$7:$C$184,2,'Pure'!$D$7:$D$184,"")+COUNTIFS('Statistics'!$C$7:$C$58,2,'Statistics'!$D$7:$D$58,"")+COUNTIFS('Mechanics'!$C$7:$C$50,2,'Mechanics'!$D$7:$D$50,"")</f>
        <v/>
      </c>
      <c r="G21" s="96">
        <f>IFERROR(E21/B21,0)</f>
        <v/>
      </c>
    </row>
    <row r="23">
      <c r="A23" s="3" t="inlineStr">
        <is>
          <t>By paper</t>
        </is>
      </c>
    </row>
    <row r="24" ht="20" customHeight="1">
      <c r="A24" s="60" t="inlineStr"/>
      <c r="B24" s="61" t="inlineStr">
        <is>
          <t>Topics</t>
        </is>
      </c>
      <c r="C24" s="61" t="inlineStr">
        <is>
          <t>Red</t>
        </is>
      </c>
      <c r="D24" s="61" t="inlineStr">
        <is>
          <t>Amber</t>
        </is>
      </c>
      <c r="E24" s="61" t="inlineStr">
        <is>
          <t>Green</t>
        </is>
      </c>
      <c r="F24" s="61" t="inlineStr">
        <is>
          <t>Not rated</t>
        </is>
      </c>
      <c r="G24" s="61" t="inlineStr">
        <is>
          <t>% Green</t>
        </is>
      </c>
    </row>
    <row r="25">
      <c r="A25" s="95" t="inlineStr">
        <is>
          <t>Pure maths  (Paper 1 and Paper 2)</t>
        </is>
      </c>
      <c r="B25" s="87">
        <f>COUNTIFS('Pure'!$C$7:$C$184,"&gt;0")</f>
        <v/>
      </c>
      <c r="C25" s="87">
        <f>COUNTIFS('Pure'!$C$7:$C$184,"&gt;0",'Pure'!$D$7:$D$184,"R")</f>
        <v/>
      </c>
      <c r="D25" s="87">
        <f>COUNTIFS('Pure'!$C$7:$C$184,"&gt;0",'Pure'!$D$7:$D$184,"A")</f>
        <v/>
      </c>
      <c r="E25" s="87">
        <f>COUNTIFS('Pure'!$C$7:$C$184,"&gt;0",'Pure'!$D$7:$D$184,"G")</f>
        <v/>
      </c>
      <c r="F25" s="87">
        <f>COUNTIFS('Pure'!$C$7:$C$184,"&gt;0",'Pure'!$D$7:$D$184,"")</f>
        <v/>
      </c>
      <c r="G25" s="96">
        <f>IFERROR(E25/B25,0)</f>
        <v/>
      </c>
    </row>
    <row r="26">
      <c r="A26" s="95" t="inlineStr">
        <is>
          <t>Statistics  (Paper 3, Section A)</t>
        </is>
      </c>
      <c r="B26" s="87">
        <f>COUNTIFS('Statistics'!$C$7:$C$58,"&gt;0")</f>
        <v/>
      </c>
      <c r="C26" s="87">
        <f>COUNTIFS('Statistics'!$C$7:$C$58,"&gt;0",'Statistics'!$D$7:$D$58,"R")</f>
        <v/>
      </c>
      <c r="D26" s="87">
        <f>COUNTIFS('Statistics'!$C$7:$C$58,"&gt;0",'Statistics'!$D$7:$D$58,"A")</f>
        <v/>
      </c>
      <c r="E26" s="87">
        <f>COUNTIFS('Statistics'!$C$7:$C$58,"&gt;0",'Statistics'!$D$7:$D$58,"G")</f>
        <v/>
      </c>
      <c r="F26" s="87">
        <f>COUNTIFS('Statistics'!$C$7:$C$58,"&gt;0",'Statistics'!$D$7:$D$58,"")</f>
        <v/>
      </c>
      <c r="G26" s="96">
        <f>IFERROR(E26/B26,0)</f>
        <v/>
      </c>
    </row>
    <row r="27">
      <c r="A27" s="95" t="inlineStr">
        <is>
          <t>Mechanics  (Paper 3, Section B)</t>
        </is>
      </c>
      <c r="B27" s="87">
        <f>COUNTIFS('Mechanics'!$C$7:$C$50,"&gt;0")</f>
        <v/>
      </c>
      <c r="C27" s="87">
        <f>COUNTIFS('Mechanics'!$C$7:$C$50,"&gt;0",'Mechanics'!$D$7:$D$50,"R")</f>
        <v/>
      </c>
      <c r="D27" s="87">
        <f>COUNTIFS('Mechanics'!$C$7:$C$50,"&gt;0",'Mechanics'!$D$7:$D$50,"A")</f>
        <v/>
      </c>
      <c r="E27" s="87">
        <f>COUNTIFS('Mechanics'!$C$7:$C$50,"&gt;0",'Mechanics'!$D$7:$D$50,"G")</f>
        <v/>
      </c>
      <c r="F27" s="87">
        <f>COUNTIFS('Mechanics'!$C$7:$C$50,"&gt;0",'Mechanics'!$D$7:$D$50,"")</f>
        <v/>
      </c>
      <c r="G27" s="96">
        <f>IFERROR(E27/B27,0)</f>
        <v/>
      </c>
    </row>
    <row r="29">
      <c r="A29" s="3" t="inlineStr">
        <is>
          <t>By topic area</t>
        </is>
      </c>
    </row>
    <row r="30" ht="20" customHeight="1">
      <c r="A30" s="60" t="inlineStr"/>
      <c r="B30" s="61" t="inlineStr">
        <is>
          <t>Topics</t>
        </is>
      </c>
      <c r="C30" s="61" t="inlineStr">
        <is>
          <t>Red</t>
        </is>
      </c>
      <c r="D30" s="61" t="inlineStr">
        <is>
          <t>Amber</t>
        </is>
      </c>
      <c r="E30" s="61" t="inlineStr">
        <is>
          <t>Green</t>
        </is>
      </c>
      <c r="F30" s="61" t="inlineStr">
        <is>
          <t>Not rated</t>
        </is>
      </c>
      <c r="G30" s="61" t="inlineStr">
        <is>
          <t>% Green</t>
        </is>
      </c>
    </row>
    <row r="31">
      <c r="A31" s="95" t="inlineStr">
        <is>
          <t>Pure 1: Proof</t>
        </is>
      </c>
      <c r="B31" s="87">
        <f>COUNTIFS('Pure'!$P$7:$P$184,"P1")</f>
        <v/>
      </c>
      <c r="C31" s="87">
        <f>COUNTIFS('Pure'!$P$7:$P$184,"P1",'Pure'!$D$7:$D$184,"R")</f>
        <v/>
      </c>
      <c r="D31" s="87">
        <f>COUNTIFS('Pure'!$P$7:$P$184,"P1",'Pure'!$D$7:$D$184,"A")</f>
        <v/>
      </c>
      <c r="E31" s="87">
        <f>COUNTIFS('Pure'!$P$7:$P$184,"P1",'Pure'!$D$7:$D$184,"G")</f>
        <v/>
      </c>
      <c r="F31" s="87">
        <f>COUNTIFS('Pure'!$P$7:$P$184,"P1",'Pure'!$D$7:$D$184,"")</f>
        <v/>
      </c>
      <c r="G31" s="96">
        <f>IFERROR(E31/B31,0)</f>
        <v/>
      </c>
    </row>
    <row r="32">
      <c r="A32" s="95" t="inlineStr">
        <is>
          <t>Pure 2: Algebra and functions</t>
        </is>
      </c>
      <c r="B32" s="87">
        <f>COUNTIFS('Pure'!$P$7:$P$184,"P2")</f>
        <v/>
      </c>
      <c r="C32" s="87">
        <f>COUNTIFS('Pure'!$P$7:$P$184,"P2",'Pure'!$D$7:$D$184,"R")</f>
        <v/>
      </c>
      <c r="D32" s="87">
        <f>COUNTIFS('Pure'!$P$7:$P$184,"P2",'Pure'!$D$7:$D$184,"A")</f>
        <v/>
      </c>
      <c r="E32" s="87">
        <f>COUNTIFS('Pure'!$P$7:$P$184,"P2",'Pure'!$D$7:$D$184,"G")</f>
        <v/>
      </c>
      <c r="F32" s="87">
        <f>COUNTIFS('Pure'!$P$7:$P$184,"P2",'Pure'!$D$7:$D$184,"")</f>
        <v/>
      </c>
      <c r="G32" s="96">
        <f>IFERROR(E32/B32,0)</f>
        <v/>
      </c>
    </row>
    <row r="33">
      <c r="A33" s="95" t="inlineStr">
        <is>
          <t>Pure 3: Coordinate geometry in the (x, y) plane</t>
        </is>
      </c>
      <c r="B33" s="87">
        <f>COUNTIFS('Pure'!$P$7:$P$184,"P3")</f>
        <v/>
      </c>
      <c r="C33" s="87">
        <f>COUNTIFS('Pure'!$P$7:$P$184,"P3",'Pure'!$D$7:$D$184,"R")</f>
        <v/>
      </c>
      <c r="D33" s="87">
        <f>COUNTIFS('Pure'!$P$7:$P$184,"P3",'Pure'!$D$7:$D$184,"A")</f>
        <v/>
      </c>
      <c r="E33" s="87">
        <f>COUNTIFS('Pure'!$P$7:$P$184,"P3",'Pure'!$D$7:$D$184,"G")</f>
        <v/>
      </c>
      <c r="F33" s="87">
        <f>COUNTIFS('Pure'!$P$7:$P$184,"P3",'Pure'!$D$7:$D$184,"")</f>
        <v/>
      </c>
      <c r="G33" s="96">
        <f>IFERROR(E33/B33,0)</f>
        <v/>
      </c>
    </row>
    <row r="34">
      <c r="A34" s="95" t="inlineStr">
        <is>
          <t>Pure 4: Sequences and series</t>
        </is>
      </c>
      <c r="B34" s="87">
        <f>COUNTIFS('Pure'!$P$7:$P$184,"P4")</f>
        <v/>
      </c>
      <c r="C34" s="87">
        <f>COUNTIFS('Pure'!$P$7:$P$184,"P4",'Pure'!$D$7:$D$184,"R")</f>
        <v/>
      </c>
      <c r="D34" s="87">
        <f>COUNTIFS('Pure'!$P$7:$P$184,"P4",'Pure'!$D$7:$D$184,"A")</f>
        <v/>
      </c>
      <c r="E34" s="87">
        <f>COUNTIFS('Pure'!$P$7:$P$184,"P4",'Pure'!$D$7:$D$184,"G")</f>
        <v/>
      </c>
      <c r="F34" s="87">
        <f>COUNTIFS('Pure'!$P$7:$P$184,"P4",'Pure'!$D$7:$D$184,"")</f>
        <v/>
      </c>
      <c r="G34" s="96">
        <f>IFERROR(E34/B34,0)</f>
        <v/>
      </c>
    </row>
    <row r="35">
      <c r="A35" s="95" t="inlineStr">
        <is>
          <t>Pure 5: Trigonometry</t>
        </is>
      </c>
      <c r="B35" s="87">
        <f>COUNTIFS('Pure'!$P$7:$P$184,"P5")</f>
        <v/>
      </c>
      <c r="C35" s="87">
        <f>COUNTIFS('Pure'!$P$7:$P$184,"P5",'Pure'!$D$7:$D$184,"R")</f>
        <v/>
      </c>
      <c r="D35" s="87">
        <f>COUNTIFS('Pure'!$P$7:$P$184,"P5",'Pure'!$D$7:$D$184,"A")</f>
        <v/>
      </c>
      <c r="E35" s="87">
        <f>COUNTIFS('Pure'!$P$7:$P$184,"P5",'Pure'!$D$7:$D$184,"G")</f>
        <v/>
      </c>
      <c r="F35" s="87">
        <f>COUNTIFS('Pure'!$P$7:$P$184,"P5",'Pure'!$D$7:$D$184,"")</f>
        <v/>
      </c>
      <c r="G35" s="96">
        <f>IFERROR(E35/B35,0)</f>
        <v/>
      </c>
    </row>
    <row r="36">
      <c r="A36" s="95" t="inlineStr">
        <is>
          <t>Pure 6: Exponentials and logarithms</t>
        </is>
      </c>
      <c r="B36" s="87">
        <f>COUNTIFS('Pure'!$P$7:$P$184,"P6")</f>
        <v/>
      </c>
      <c r="C36" s="87">
        <f>COUNTIFS('Pure'!$P$7:$P$184,"P6",'Pure'!$D$7:$D$184,"R")</f>
        <v/>
      </c>
      <c r="D36" s="87">
        <f>COUNTIFS('Pure'!$P$7:$P$184,"P6",'Pure'!$D$7:$D$184,"A")</f>
        <v/>
      </c>
      <c r="E36" s="87">
        <f>COUNTIFS('Pure'!$P$7:$P$184,"P6",'Pure'!$D$7:$D$184,"G")</f>
        <v/>
      </c>
      <c r="F36" s="87">
        <f>COUNTIFS('Pure'!$P$7:$P$184,"P6",'Pure'!$D$7:$D$184,"")</f>
        <v/>
      </c>
      <c r="G36" s="96">
        <f>IFERROR(E36/B36,0)</f>
        <v/>
      </c>
    </row>
    <row r="37">
      <c r="A37" s="95" t="inlineStr">
        <is>
          <t>Pure 7: Differentiation</t>
        </is>
      </c>
      <c r="B37" s="87">
        <f>COUNTIFS('Pure'!$P$7:$P$184,"P7")</f>
        <v/>
      </c>
      <c r="C37" s="87">
        <f>COUNTIFS('Pure'!$P$7:$P$184,"P7",'Pure'!$D$7:$D$184,"R")</f>
        <v/>
      </c>
      <c r="D37" s="87">
        <f>COUNTIFS('Pure'!$P$7:$P$184,"P7",'Pure'!$D$7:$D$184,"A")</f>
        <v/>
      </c>
      <c r="E37" s="87">
        <f>COUNTIFS('Pure'!$P$7:$P$184,"P7",'Pure'!$D$7:$D$184,"G")</f>
        <v/>
      </c>
      <c r="F37" s="87">
        <f>COUNTIFS('Pure'!$P$7:$P$184,"P7",'Pure'!$D$7:$D$184,"")</f>
        <v/>
      </c>
      <c r="G37" s="96">
        <f>IFERROR(E37/B37,0)</f>
        <v/>
      </c>
    </row>
    <row r="38">
      <c r="A38" s="95" t="inlineStr">
        <is>
          <t>Pure 8: Integration</t>
        </is>
      </c>
      <c r="B38" s="87">
        <f>COUNTIFS('Pure'!$P$7:$P$184,"P8")</f>
        <v/>
      </c>
      <c r="C38" s="87">
        <f>COUNTIFS('Pure'!$P$7:$P$184,"P8",'Pure'!$D$7:$D$184,"R")</f>
        <v/>
      </c>
      <c r="D38" s="87">
        <f>COUNTIFS('Pure'!$P$7:$P$184,"P8",'Pure'!$D$7:$D$184,"A")</f>
        <v/>
      </c>
      <c r="E38" s="87">
        <f>COUNTIFS('Pure'!$P$7:$P$184,"P8",'Pure'!$D$7:$D$184,"G")</f>
        <v/>
      </c>
      <c r="F38" s="87">
        <f>COUNTIFS('Pure'!$P$7:$P$184,"P8",'Pure'!$D$7:$D$184,"")</f>
        <v/>
      </c>
      <c r="G38" s="96">
        <f>IFERROR(E38/B38,0)</f>
        <v/>
      </c>
    </row>
    <row r="39">
      <c r="A39" s="95" t="inlineStr">
        <is>
          <t>Pure 9: Numerical methods</t>
        </is>
      </c>
      <c r="B39" s="87">
        <f>COUNTIFS('Pure'!$P$7:$P$184,"P9")</f>
        <v/>
      </c>
      <c r="C39" s="87">
        <f>COUNTIFS('Pure'!$P$7:$P$184,"P9",'Pure'!$D$7:$D$184,"R")</f>
        <v/>
      </c>
      <c r="D39" s="87">
        <f>COUNTIFS('Pure'!$P$7:$P$184,"P9",'Pure'!$D$7:$D$184,"A")</f>
        <v/>
      </c>
      <c r="E39" s="87">
        <f>COUNTIFS('Pure'!$P$7:$P$184,"P9",'Pure'!$D$7:$D$184,"G")</f>
        <v/>
      </c>
      <c r="F39" s="87">
        <f>COUNTIFS('Pure'!$P$7:$P$184,"P9",'Pure'!$D$7:$D$184,"")</f>
        <v/>
      </c>
      <c r="G39" s="96">
        <f>IFERROR(E39/B39,0)</f>
        <v/>
      </c>
    </row>
    <row r="40">
      <c r="A40" s="95" t="inlineStr">
        <is>
          <t>Pure 10: Vectors</t>
        </is>
      </c>
      <c r="B40" s="87">
        <f>COUNTIFS('Pure'!$P$7:$P$184,"P10")</f>
        <v/>
      </c>
      <c r="C40" s="87">
        <f>COUNTIFS('Pure'!$P$7:$P$184,"P10",'Pure'!$D$7:$D$184,"R")</f>
        <v/>
      </c>
      <c r="D40" s="87">
        <f>COUNTIFS('Pure'!$P$7:$P$184,"P10",'Pure'!$D$7:$D$184,"A")</f>
        <v/>
      </c>
      <c r="E40" s="87">
        <f>COUNTIFS('Pure'!$P$7:$P$184,"P10",'Pure'!$D$7:$D$184,"G")</f>
        <v/>
      </c>
      <c r="F40" s="87">
        <f>COUNTIFS('Pure'!$P$7:$P$184,"P10",'Pure'!$D$7:$D$184,"")</f>
        <v/>
      </c>
      <c r="G40" s="96">
        <f>IFERROR(E40/B40,0)</f>
        <v/>
      </c>
    </row>
    <row r="41">
      <c r="A41" s="95" t="inlineStr">
        <is>
          <t>Statistics 1: Statistical sampling</t>
        </is>
      </c>
      <c r="B41" s="87">
        <f>COUNTIFS('Statistics'!$P$7:$P$58,"S1")</f>
        <v/>
      </c>
      <c r="C41" s="87">
        <f>COUNTIFS('Statistics'!$P$7:$P$58,"S1",'Statistics'!$D$7:$D$58,"R")</f>
        <v/>
      </c>
      <c r="D41" s="87">
        <f>COUNTIFS('Statistics'!$P$7:$P$58,"S1",'Statistics'!$D$7:$D$58,"A")</f>
        <v/>
      </c>
      <c r="E41" s="87">
        <f>COUNTIFS('Statistics'!$P$7:$P$58,"S1",'Statistics'!$D$7:$D$58,"G")</f>
        <v/>
      </c>
      <c r="F41" s="87">
        <f>COUNTIFS('Statistics'!$P$7:$P$58,"S1",'Statistics'!$D$7:$D$58,"")</f>
        <v/>
      </c>
      <c r="G41" s="96">
        <f>IFERROR(E41/B41,0)</f>
        <v/>
      </c>
    </row>
    <row r="42">
      <c r="A42" s="95" t="inlineStr">
        <is>
          <t>Statistics 2: Data presentation and interpretation</t>
        </is>
      </c>
      <c r="B42" s="87">
        <f>COUNTIFS('Statistics'!$P$7:$P$58,"S2")</f>
        <v/>
      </c>
      <c r="C42" s="87">
        <f>COUNTIFS('Statistics'!$P$7:$P$58,"S2",'Statistics'!$D$7:$D$58,"R")</f>
        <v/>
      </c>
      <c r="D42" s="87">
        <f>COUNTIFS('Statistics'!$P$7:$P$58,"S2",'Statistics'!$D$7:$D$58,"A")</f>
        <v/>
      </c>
      <c r="E42" s="87">
        <f>COUNTIFS('Statistics'!$P$7:$P$58,"S2",'Statistics'!$D$7:$D$58,"G")</f>
        <v/>
      </c>
      <c r="F42" s="87">
        <f>COUNTIFS('Statistics'!$P$7:$P$58,"S2",'Statistics'!$D$7:$D$58,"")</f>
        <v/>
      </c>
      <c r="G42" s="96">
        <f>IFERROR(E42/B42,0)</f>
        <v/>
      </c>
    </row>
    <row r="43">
      <c r="A43" s="95" t="inlineStr">
        <is>
          <t>Statistics 3: Probability</t>
        </is>
      </c>
      <c r="B43" s="87">
        <f>COUNTIFS('Statistics'!$P$7:$P$58,"S3")</f>
        <v/>
      </c>
      <c r="C43" s="87">
        <f>COUNTIFS('Statistics'!$P$7:$P$58,"S3",'Statistics'!$D$7:$D$58,"R")</f>
        <v/>
      </c>
      <c r="D43" s="87">
        <f>COUNTIFS('Statistics'!$P$7:$P$58,"S3",'Statistics'!$D$7:$D$58,"A")</f>
        <v/>
      </c>
      <c r="E43" s="87">
        <f>COUNTIFS('Statistics'!$P$7:$P$58,"S3",'Statistics'!$D$7:$D$58,"G")</f>
        <v/>
      </c>
      <c r="F43" s="87">
        <f>COUNTIFS('Statistics'!$P$7:$P$58,"S3",'Statistics'!$D$7:$D$58,"")</f>
        <v/>
      </c>
      <c r="G43" s="96">
        <f>IFERROR(E43/B43,0)</f>
        <v/>
      </c>
    </row>
    <row r="44">
      <c r="A44" s="95" t="inlineStr">
        <is>
          <t>Statistics 4: Statistical distributions</t>
        </is>
      </c>
      <c r="B44" s="87">
        <f>COUNTIFS('Statistics'!$P$7:$P$58,"S4")</f>
        <v/>
      </c>
      <c r="C44" s="87">
        <f>COUNTIFS('Statistics'!$P$7:$P$58,"S4",'Statistics'!$D$7:$D$58,"R")</f>
        <v/>
      </c>
      <c r="D44" s="87">
        <f>COUNTIFS('Statistics'!$P$7:$P$58,"S4",'Statistics'!$D$7:$D$58,"A")</f>
        <v/>
      </c>
      <c r="E44" s="87">
        <f>COUNTIFS('Statistics'!$P$7:$P$58,"S4",'Statistics'!$D$7:$D$58,"G")</f>
        <v/>
      </c>
      <c r="F44" s="87">
        <f>COUNTIFS('Statistics'!$P$7:$P$58,"S4",'Statistics'!$D$7:$D$58,"")</f>
        <v/>
      </c>
      <c r="G44" s="96">
        <f>IFERROR(E44/B44,0)</f>
        <v/>
      </c>
    </row>
    <row r="45">
      <c r="A45" s="95" t="inlineStr">
        <is>
          <t>Statistics 5: Statistical hypothesis testing</t>
        </is>
      </c>
      <c r="B45" s="87">
        <f>COUNTIFS('Statistics'!$P$7:$P$58,"S5")</f>
        <v/>
      </c>
      <c r="C45" s="87">
        <f>COUNTIFS('Statistics'!$P$7:$P$58,"S5",'Statistics'!$D$7:$D$58,"R")</f>
        <v/>
      </c>
      <c r="D45" s="87">
        <f>COUNTIFS('Statistics'!$P$7:$P$58,"S5",'Statistics'!$D$7:$D$58,"A")</f>
        <v/>
      </c>
      <c r="E45" s="87">
        <f>COUNTIFS('Statistics'!$P$7:$P$58,"S5",'Statistics'!$D$7:$D$58,"G")</f>
        <v/>
      </c>
      <c r="F45" s="87">
        <f>COUNTIFS('Statistics'!$P$7:$P$58,"S5",'Statistics'!$D$7:$D$58,"")</f>
        <v/>
      </c>
      <c r="G45" s="96">
        <f>IFERROR(E45/B45,0)</f>
        <v/>
      </c>
    </row>
    <row r="46">
      <c r="A46" s="95" t="inlineStr">
        <is>
          <t>Mechanics 6: Quantities and units in mechanics</t>
        </is>
      </c>
      <c r="B46" s="87">
        <f>COUNTIFS('Mechanics'!$P$7:$P$50,"M6")</f>
        <v/>
      </c>
      <c r="C46" s="87">
        <f>COUNTIFS('Mechanics'!$P$7:$P$50,"M6",'Mechanics'!$D$7:$D$50,"R")</f>
        <v/>
      </c>
      <c r="D46" s="87">
        <f>COUNTIFS('Mechanics'!$P$7:$P$50,"M6",'Mechanics'!$D$7:$D$50,"A")</f>
        <v/>
      </c>
      <c r="E46" s="87">
        <f>COUNTIFS('Mechanics'!$P$7:$P$50,"M6",'Mechanics'!$D$7:$D$50,"G")</f>
        <v/>
      </c>
      <c r="F46" s="87">
        <f>COUNTIFS('Mechanics'!$P$7:$P$50,"M6",'Mechanics'!$D$7:$D$50,"")</f>
        <v/>
      </c>
      <c r="G46" s="96">
        <f>IFERROR(E46/B46,0)</f>
        <v/>
      </c>
    </row>
    <row r="47">
      <c r="A47" s="95" t="inlineStr">
        <is>
          <t>Mechanics 7: Kinematics</t>
        </is>
      </c>
      <c r="B47" s="87">
        <f>COUNTIFS('Mechanics'!$P$7:$P$50,"M7")</f>
        <v/>
      </c>
      <c r="C47" s="87">
        <f>COUNTIFS('Mechanics'!$P$7:$P$50,"M7",'Mechanics'!$D$7:$D$50,"R")</f>
        <v/>
      </c>
      <c r="D47" s="87">
        <f>COUNTIFS('Mechanics'!$P$7:$P$50,"M7",'Mechanics'!$D$7:$D$50,"A")</f>
        <v/>
      </c>
      <c r="E47" s="87">
        <f>COUNTIFS('Mechanics'!$P$7:$P$50,"M7",'Mechanics'!$D$7:$D$50,"G")</f>
        <v/>
      </c>
      <c r="F47" s="87">
        <f>COUNTIFS('Mechanics'!$P$7:$P$50,"M7",'Mechanics'!$D$7:$D$50,"")</f>
        <v/>
      </c>
      <c r="G47" s="96">
        <f>IFERROR(E47/B47,0)</f>
        <v/>
      </c>
    </row>
    <row r="48">
      <c r="A48" s="95" t="inlineStr">
        <is>
          <t>Mechanics 8: Forces and Newton's laws</t>
        </is>
      </c>
      <c r="B48" s="87">
        <f>COUNTIFS('Mechanics'!$P$7:$P$50,"M8")</f>
        <v/>
      </c>
      <c r="C48" s="87">
        <f>COUNTIFS('Mechanics'!$P$7:$P$50,"M8",'Mechanics'!$D$7:$D$50,"R")</f>
        <v/>
      </c>
      <c r="D48" s="87">
        <f>COUNTIFS('Mechanics'!$P$7:$P$50,"M8",'Mechanics'!$D$7:$D$50,"A")</f>
        <v/>
      </c>
      <c r="E48" s="87">
        <f>COUNTIFS('Mechanics'!$P$7:$P$50,"M8",'Mechanics'!$D$7:$D$50,"G")</f>
        <v/>
      </c>
      <c r="F48" s="87">
        <f>COUNTIFS('Mechanics'!$P$7:$P$50,"M8",'Mechanics'!$D$7:$D$50,"")</f>
        <v/>
      </c>
      <c r="G48" s="96">
        <f>IFERROR(E48/B48,0)</f>
        <v/>
      </c>
    </row>
    <row r="49">
      <c r="A49" s="95" t="inlineStr">
        <is>
          <t>Mechanics 9: Moments</t>
        </is>
      </c>
      <c r="B49" s="87">
        <f>COUNTIFS('Mechanics'!$P$7:$P$50,"M9")</f>
        <v/>
      </c>
      <c r="C49" s="87">
        <f>COUNTIFS('Mechanics'!$P$7:$P$50,"M9",'Mechanics'!$D$7:$D$50,"R")</f>
        <v/>
      </c>
      <c r="D49" s="87">
        <f>COUNTIFS('Mechanics'!$P$7:$P$50,"M9",'Mechanics'!$D$7:$D$50,"A")</f>
        <v/>
      </c>
      <c r="E49" s="87">
        <f>COUNTIFS('Mechanics'!$P$7:$P$50,"M9",'Mechanics'!$D$7:$D$50,"G")</f>
        <v/>
      </c>
      <c r="F49" s="87">
        <f>COUNTIFS('Mechanics'!$P$7:$P$50,"M9",'Mechanics'!$D$7:$D$50,"")</f>
        <v/>
      </c>
      <c r="G49" s="96">
        <f>IFERROR(E49/B49,0)</f>
        <v/>
      </c>
    </row>
  </sheetData>
  <mergeCells count="8">
    <mergeCell ref="G4:H4"/>
    <mergeCell ref="E4:F4"/>
    <mergeCell ref="A4"/>
    <mergeCell ref="C5:D5"/>
    <mergeCell ref="G5:H5"/>
    <mergeCell ref="E5:F5"/>
    <mergeCell ref="A5"/>
    <mergeCell ref="C4:D4"/>
  </mergeCells>
  <conditionalFormatting sqref="C20:C21">
    <cfRule type="cellIs" priority="1" operator="greaterThan" dxfId="6">
      <formula>0</formula>
    </cfRule>
  </conditionalFormatting>
  <conditionalFormatting sqref="D20:D21">
    <cfRule type="cellIs" priority="2" operator="greaterThan" dxfId="7">
      <formula>0</formula>
    </cfRule>
  </conditionalFormatting>
  <conditionalFormatting sqref="E20:E21">
    <cfRule type="cellIs" priority="3" operator="greaterThan" dxfId="8">
      <formula>0</formula>
    </cfRule>
  </conditionalFormatting>
  <conditionalFormatting sqref="G20:G21">
    <cfRule type="dataBar" priority="4">
      <dataBar>
        <cfvo type="num" val="0"/>
        <cfvo type="num" val="1"/>
        <color rgb="0063BE7B"/>
      </dataBar>
    </cfRule>
  </conditionalFormatting>
  <conditionalFormatting sqref="C25:C27">
    <cfRule type="cellIs" priority="5" operator="greaterThan" dxfId="6">
      <formula>0</formula>
    </cfRule>
  </conditionalFormatting>
  <conditionalFormatting sqref="D25:D27">
    <cfRule type="cellIs" priority="6" operator="greaterThan" dxfId="7">
      <formula>0</formula>
    </cfRule>
  </conditionalFormatting>
  <conditionalFormatting sqref="E25:E27">
    <cfRule type="cellIs" priority="7" operator="greaterThan" dxfId="8">
      <formula>0</formula>
    </cfRule>
  </conditionalFormatting>
  <conditionalFormatting sqref="G25:G27">
    <cfRule type="dataBar" priority="8">
      <dataBar>
        <cfvo type="num" val="0"/>
        <cfvo type="num" val="1"/>
        <color rgb="0063BE7B"/>
      </dataBar>
    </cfRule>
  </conditionalFormatting>
  <conditionalFormatting sqref="C31:C49">
    <cfRule type="cellIs" priority="9" operator="greaterThan" dxfId="6">
      <formula>0</formula>
    </cfRule>
  </conditionalFormatting>
  <conditionalFormatting sqref="D31:D49">
    <cfRule type="cellIs" priority="10" operator="greaterThan" dxfId="7">
      <formula>0</formula>
    </cfRule>
  </conditionalFormatting>
  <conditionalFormatting sqref="E31:E49">
    <cfRule type="cellIs" priority="11" operator="greaterThan" dxfId="8">
      <formula>0</formula>
    </cfRule>
  </conditionalFormatting>
  <conditionalFormatting sqref="G31:G49">
    <cfRule type="dataBar" priority="12">
      <dataBar>
        <cfvo type="num" val="0"/>
        <cfvo type="num" val="1"/>
        <color rgb="0063BE7B"/>
      </dataBar>
    </cfRule>
  </conditionalFormatting>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2026-10-02T15:42:50Z</dcterms:created>
  <dcterms:modified xsi:type="dcterms:W3CDTF">2026-10-02T15:42:51Z</dcterms:modified>
</cp:coreProperties>
</file>