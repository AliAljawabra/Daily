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AG tracker" sheetId="2" state="visible" r:id="rId2"/>
    <sheet name="Summary" sheetId="3" state="visible" r:id="rId3"/>
  </sheets>
  <definedNames>
    <definedName name="_xlnm._FilterDatabase" localSheetId="1" hidden="1">'RAG tracker'!$A$1:$L$251</definedName>
    <definedName name="_xlnm.Print_Titles" localSheetId="1">'RAG tracker'!$1:$1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6F4EF"/>
      <sz val="10"/>
    </font>
    <font>
      <name val="Arial"/>
      <b val="1"/>
      <color rgb="00C3A965"/>
      <sz val="11"/>
    </font>
    <font>
      <name val="Arial"/>
      <color rgb="005D6471"/>
      <sz val="10"/>
    </font>
    <font>
      <name val="Arial"/>
      <sz val="10"/>
    </font>
    <font>
      <name val="Arial"/>
      <b val="1"/>
      <sz val="11"/>
    </font>
    <font>
      <name val="Arial"/>
      <color rgb="000563C1"/>
      <sz val="10"/>
      <u val="single"/>
    </font>
    <font>
      <name val="Arial"/>
      <i val="1"/>
      <color rgb="005D6471"/>
      <sz val="10"/>
    </font>
    <font>
      <name val="Arial"/>
      <b val="1"/>
      <color rgb="00162947"/>
      <sz val="16"/>
    </font>
    <font>
      <name val="Arial"/>
      <b val="1"/>
      <sz val="10"/>
    </font>
    <font>
      <name val="Arial"/>
      <b val="1"/>
      <color rgb="00162947"/>
      <sz val="11"/>
    </font>
    <font>
      <name val="Arial"/>
      <b val="1"/>
      <color rgb="00162947"/>
      <sz val="10"/>
    </font>
  </fonts>
  <fills count="9">
    <fill>
      <patternFill/>
    </fill>
    <fill>
      <patternFill patternType="gray125"/>
    </fill>
    <fill>
      <patternFill patternType="solid">
        <fgColor rgb="0016294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FEBE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1" fillId="5" borderId="0" applyAlignment="1" pivotButton="0" quotePrefix="0" xfId="0">
      <alignment horizontal="center" vertical="top"/>
    </xf>
    <xf numFmtId="0" fontId="11" fillId="6" borderId="0" applyAlignment="1" pivotButton="0" quotePrefix="0" xfId="0">
      <alignment horizontal="center" vertical="top"/>
    </xf>
    <xf numFmtId="0" fontId="11" fillId="7" borderId="0" applyAlignment="1" pivotButton="0" quotePrefix="0" xfId="0">
      <alignment horizontal="center" vertical="top"/>
    </xf>
    <xf numFmtId="0" fontId="10" fillId="0" borderId="0" pivotButton="0" quotePrefix="0" xfId="0"/>
    <xf numFmtId="0" fontId="1" fillId="2" borderId="0" applyAlignment="1" pivotButton="0" quotePrefix="0" xfId="0">
      <alignment vertical="center"/>
    </xf>
    <xf numFmtId="0" fontId="4" fillId="0" borderId="1" pivotButton="0" quotePrefix="0" xfId="0"/>
    <xf numFmtId="0" fontId="9" fillId="6" borderId="1" applyAlignment="1" pivotButton="0" quotePrefix="0" xfId="0">
      <alignment horizontal="center"/>
    </xf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6" fillId="0" borderId="1" pivotButton="0" quotePrefix="0" xfId="0"/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5" borderId="1" pivotButton="0" quotePrefix="0" xfId="0"/>
    <xf numFmtId="0" fontId="4" fillId="4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9" fillId="0" borderId="1" pivotButton="0" quotePrefix="0" xfId="0"/>
    <xf numFmtId="0" fontId="9" fillId="8" borderId="0" pivotButton="0" quotePrefix="0" xfId="0"/>
    <xf numFmtId="0" fontId="0" fillId="8" borderId="0" pivotButton="0" quotePrefix="0" xfId="0"/>
    <xf numFmtId="0" fontId="0" fillId="4" borderId="0" pivotButton="0" quotePrefix="0" xfId="0"/>
    <xf numFmtId="9" fontId="0" fillId="0" borderId="0" pivotButton="0" quotePrefix="0" xfId="0"/>
    <xf numFmtId="9" fontId="4" fillId="0" borderId="1" pivotButton="0" quotePrefix="0" xfId="0"/>
    <xf numFmtId="0" fontId="9" fillId="8" borderId="1" pivotButton="0" quotePrefix="0" xfId="0"/>
    <xf numFmtId="9" fontId="9" fillId="8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mathsgenie.co.uk/a-level/maths/edexcel/as-pure-mathematics-7-4-mathematical-proof" TargetMode="External" Id="rId1" /><Relationship Type="http://schemas.openxmlformats.org/officeDocument/2006/relationships/hyperlink" Target="https://assets.mathsgenie.co.uk/content/worksheets/a_level_maths/algebraic-methods-a3de4bc8.pdf" TargetMode="External" Id="rId2" /><Relationship Type="http://schemas.openxmlformats.org/officeDocument/2006/relationships/hyperlink" Target="https://assets.mathsgenie.co.uk/content/worksheets/a_level_maths/algebraic-methods-ans-9324f91d.pdf" TargetMode="External" Id="rId3" /><Relationship Type="http://schemas.openxmlformats.org/officeDocument/2006/relationships/hyperlink" Target="https://pmt.physicsandmathstutor.com/download/Maths/A-level/Pure/Proof-1/Edexcel-Set-C/QP/Proof%20QP.pdf" TargetMode="External" Id="rId4" /><Relationship Type="http://schemas.openxmlformats.org/officeDocument/2006/relationships/hyperlink" Target="https://pmt.physicsandmathstutor.com/download/Maths/A-level/Pure/Proof-1/Edexcel-Set-C/MS/Proof%20MS.pdf" TargetMode="External" Id="rId5" /><Relationship Type="http://schemas.openxmlformats.org/officeDocument/2006/relationships/hyperlink" Target="https://pmt.physicsandmathstutor.com/download/Maths/A-level/Pure/Proof-1/Edexcel-Set-C/MA/Proof%20MA.pdf" TargetMode="External" Id="rId6" /><Relationship Type="http://schemas.openxmlformats.org/officeDocument/2006/relationships/hyperlink" Target="https://mathsgenie.co.uk/a-level/maths/edexcel/as-pure-mathematics-7-5-methods-of-proof" TargetMode="External" Id="rId7" /><Relationship Type="http://schemas.openxmlformats.org/officeDocument/2006/relationships/hyperlink" Target="https://assets.mathsgenie.co.uk/content/worksheets/a_level_maths/algebraic-methods-a3de4bc8.pdf" TargetMode="External" Id="rId8" /><Relationship Type="http://schemas.openxmlformats.org/officeDocument/2006/relationships/hyperlink" Target="https://assets.mathsgenie.co.uk/content/worksheets/a_level_maths/algebraic-methods-ans-9324f91d.pdf" TargetMode="External" Id="rId9" /><Relationship Type="http://schemas.openxmlformats.org/officeDocument/2006/relationships/hyperlink" Target="https://pmt.physicsandmathstutor.com/download/Maths/A-level/Pure/Proof-1/Edexcel-Set-C/QP/Proof%20QP.pdf" TargetMode="External" Id="rId10" /><Relationship Type="http://schemas.openxmlformats.org/officeDocument/2006/relationships/hyperlink" Target="https://pmt.physicsandmathstutor.com/download/Maths/A-level/Pure/Proof-1/Edexcel-Set-C/MS/Proof%20MS.pdf" TargetMode="External" Id="rId11" /><Relationship Type="http://schemas.openxmlformats.org/officeDocument/2006/relationships/hyperlink" Target="https://pmt.physicsandmathstutor.com/download/Maths/A-level/Pure/Proof-1/Edexcel-Set-C/MA/Proof%20MA.pdf" TargetMode="External" Id="rId12" /><Relationship Type="http://schemas.openxmlformats.org/officeDocument/2006/relationships/hyperlink" Target="https://mathsgenie.co.uk/a-level/maths/edexcel/a-level-pure-mathematics-1-1-proof-by-contradiction" TargetMode="External" Id="rId13" /><Relationship Type="http://schemas.openxmlformats.org/officeDocument/2006/relationships/hyperlink" Target="https://assets.mathsgenie.co.uk/content/worksheets/a_level_maths/a-level-algebraic-methods-67104351.pdf" TargetMode="External" Id="rId14" /><Relationship Type="http://schemas.openxmlformats.org/officeDocument/2006/relationships/hyperlink" Target="https://assets.mathsgenie.co.uk/content/worksheets/a_level_maths/a-level-algebraic-methods-ans-75eb77a6.pdf" TargetMode="External" Id="rId15" /><Relationship Type="http://schemas.openxmlformats.org/officeDocument/2006/relationships/hyperlink" Target="https://pmt.physicsandmathstutor.com/download/Maths/A-level/Pure/Proof-1/Edexcel-Set-C/QP/Proof%20QP.pdf" TargetMode="External" Id="rId16" /><Relationship Type="http://schemas.openxmlformats.org/officeDocument/2006/relationships/hyperlink" Target="https://pmt.physicsandmathstutor.com/download/Maths/A-level/Pure/Proof-1/Edexcel-Set-C/MS/Proof%20MS.pdf" TargetMode="External" Id="rId17" /><Relationship Type="http://schemas.openxmlformats.org/officeDocument/2006/relationships/hyperlink" Target="https://pmt.physicsandmathstutor.com/download/Maths/A-level/Pure/Proof-1/Edexcel-Set-C/MA/Proof%20MA.pdf" TargetMode="External" Id="rId18" /><Relationship Type="http://schemas.openxmlformats.org/officeDocument/2006/relationships/hyperlink" Target="https://mathsgenie.co.uk/a-level/maths/edexcel/as-pure-mathematics-1-1-index-laws" TargetMode="External" Id="rId19" /><Relationship Type="http://schemas.openxmlformats.org/officeDocument/2006/relationships/hyperlink" Target="https://assets.mathsgenie.co.uk/content/worksheets/as_level_maths/as-pure-algebraic-expressions-1f02c4c4.pdf" TargetMode="External" Id="rId20" /><Relationship Type="http://schemas.openxmlformats.org/officeDocument/2006/relationships/hyperlink" Target="https://assets.mathsgenie.co.uk/content/worksheets/a_level_maths/algebraic-expressions-ans-8768133f.pdf" TargetMode="External" Id="rId21" /><Relationship Type="http://schemas.openxmlformats.org/officeDocument/2006/relationships/hyperlink" Target="https://pmt.physicsandmathstutor.com/download/Maths/A-level/Pure/Algebra-and-Functions-1/Edexcel-Set-C/QP/Surds%20and%20Indices%20QP.pdf" TargetMode="External" Id="rId22" /><Relationship Type="http://schemas.openxmlformats.org/officeDocument/2006/relationships/hyperlink" Target="https://pmt.physicsandmathstutor.com/download/Maths/A-level/Pure/Algebra-and-Functions-1/Edexcel-Set-C/MS/Surds%20and%20Indices%20MS.pdf" TargetMode="External" Id="rId23" /><Relationship Type="http://schemas.openxmlformats.org/officeDocument/2006/relationships/hyperlink" Target="https://pmt.physicsandmathstutor.com/download/Maths/A-level/Pure/Algebra-and-Functions-1/Edexcel-Set-C/MA/Surds%20and%20Indices%20MA.pdf" TargetMode="External" Id="rId24" /><Relationship Type="http://schemas.openxmlformats.org/officeDocument/2006/relationships/hyperlink" Target="https://mathsgenie.co.uk/a-level/maths/edexcel/as-pure-mathematics-1-4-negative-and-fractional-indices" TargetMode="External" Id="rId25" /><Relationship Type="http://schemas.openxmlformats.org/officeDocument/2006/relationships/hyperlink" Target="https://assets.mathsgenie.co.uk/content/worksheets/as_level_maths/as-pure-algebraic-expressions-1f02c4c4.pdf" TargetMode="External" Id="rId26" /><Relationship Type="http://schemas.openxmlformats.org/officeDocument/2006/relationships/hyperlink" Target="https://assets.mathsgenie.co.uk/content/worksheets/a_level_maths/algebraic-expressions-ans-8768133f.pdf" TargetMode="External" Id="rId27" /><Relationship Type="http://schemas.openxmlformats.org/officeDocument/2006/relationships/hyperlink" Target="https://pmt.physicsandmathstutor.com/download/Maths/A-level/Pure/Algebra-and-Functions-1/Edexcel-Set-C/QP/Surds%20and%20Indices%20QP.pdf" TargetMode="External" Id="rId28" /><Relationship Type="http://schemas.openxmlformats.org/officeDocument/2006/relationships/hyperlink" Target="https://pmt.physicsandmathstutor.com/download/Maths/A-level/Pure/Algebra-and-Functions-1/Edexcel-Set-C/MS/Surds%20and%20Indices%20MS.pdf" TargetMode="External" Id="rId29" /><Relationship Type="http://schemas.openxmlformats.org/officeDocument/2006/relationships/hyperlink" Target="https://pmt.physicsandmathstutor.com/download/Maths/A-level/Pure/Algebra-and-Functions-1/Edexcel-Set-C/MA/Surds%20and%20Indices%20MA.pdf" TargetMode="External" Id="rId30" /><Relationship Type="http://schemas.openxmlformats.org/officeDocument/2006/relationships/hyperlink" Target="https://mathsgenie.co.uk/a-level/maths/edexcel/as-pure-mathematics-1-5-surds" TargetMode="External" Id="rId31" /><Relationship Type="http://schemas.openxmlformats.org/officeDocument/2006/relationships/hyperlink" Target="https://assets.mathsgenie.co.uk/content/worksheets/as_level_maths/as-pure-algebraic-expressions-1f02c4c4.pdf" TargetMode="External" Id="rId32" /><Relationship Type="http://schemas.openxmlformats.org/officeDocument/2006/relationships/hyperlink" Target="https://assets.mathsgenie.co.uk/content/worksheets/a_level_maths/algebraic-expressions-ans-8768133f.pdf" TargetMode="External" Id="rId33" /><Relationship Type="http://schemas.openxmlformats.org/officeDocument/2006/relationships/hyperlink" Target="https://pmt.physicsandmathstutor.com/download/Maths/A-level/Pure/Algebra-and-Functions-1/Edexcel-Set-C/QP/Surds%20and%20Indices%20QP.pdf" TargetMode="External" Id="rId34" /><Relationship Type="http://schemas.openxmlformats.org/officeDocument/2006/relationships/hyperlink" Target="https://pmt.physicsandmathstutor.com/download/Maths/A-level/Pure/Algebra-and-Functions-1/Edexcel-Set-C/MS/Surds%20and%20Indices%20MS.pdf" TargetMode="External" Id="rId35" /><Relationship Type="http://schemas.openxmlformats.org/officeDocument/2006/relationships/hyperlink" Target="https://pmt.physicsandmathstutor.com/download/Maths/A-level/Pure/Algebra-and-Functions-1/Edexcel-Set-C/MA/Surds%20and%20Indices%20MA.pdf" TargetMode="External" Id="rId36" /><Relationship Type="http://schemas.openxmlformats.org/officeDocument/2006/relationships/hyperlink" Target="https://mathsgenie.co.uk/a-level/maths/edexcel/as-pure-mathematics-2-1-solving-quadratics" TargetMode="External" Id="rId37" /><Relationship Type="http://schemas.openxmlformats.org/officeDocument/2006/relationships/hyperlink" Target="https://assets.mathsgenie.co.uk/content/worksheets/a_level_maths/quadratics-368699de.pdf" TargetMode="External" Id="rId38" /><Relationship Type="http://schemas.openxmlformats.org/officeDocument/2006/relationships/hyperlink" Target="https://assets.mathsgenie.co.uk/content/worksheets/a_level_maths/quadratics-ans-cb70f353.pdf" TargetMode="External" Id="rId39" /><Relationship Type="http://schemas.openxmlformats.org/officeDocument/2006/relationships/hyperlink" Target="https://pmt.physicsandmathstutor.com/download/Maths/A-level/Pure/Algebra-and-Functions-1/Edexcel-Set-C/QP/Quadratics%20QP.pdf" TargetMode="External" Id="rId40" /><Relationship Type="http://schemas.openxmlformats.org/officeDocument/2006/relationships/hyperlink" Target="https://pmt.physicsandmathstutor.com/download/Maths/A-level/Pure/Algebra-and-Functions-1/Edexcel-Set-C/MS/Quadratics%20MS.pdf" TargetMode="External" Id="rId41" /><Relationship Type="http://schemas.openxmlformats.org/officeDocument/2006/relationships/hyperlink" Target="https://pmt.physicsandmathstutor.com/download/Maths/A-level/Pure/Algebra-and-Functions-1/Edexcel-Set-C/MA/Quadratics%20MA.pdf" TargetMode="External" Id="rId42" /><Relationship Type="http://schemas.openxmlformats.org/officeDocument/2006/relationships/hyperlink" Target="https://mathsgenie.co.uk/a-level/maths/edexcel/as-pure-mathematics-2-2-completing-the-square" TargetMode="External" Id="rId43" /><Relationship Type="http://schemas.openxmlformats.org/officeDocument/2006/relationships/hyperlink" Target="https://assets.mathsgenie.co.uk/content/worksheets/a_level_maths/as-pure-completing-the-square-580b2d03.pdf" TargetMode="External" Id="rId44" /><Relationship Type="http://schemas.openxmlformats.org/officeDocument/2006/relationships/hyperlink" Target="https://assets.mathsgenie.co.uk/content/worksheets/a_level_maths/as-pure-completing-the-square-ans-8296f3e9.pdf" TargetMode="External" Id="rId45" /><Relationship Type="http://schemas.openxmlformats.org/officeDocument/2006/relationships/hyperlink" Target="https://pmt.physicsandmathstutor.com/download/Maths/A-level/Pure/Algebra-and-Functions-1/Edexcel-Set-C/QP/Quadratics%20QP.pdf" TargetMode="External" Id="rId46" /><Relationship Type="http://schemas.openxmlformats.org/officeDocument/2006/relationships/hyperlink" Target="https://pmt.physicsandmathstutor.com/download/Maths/A-level/Pure/Algebra-and-Functions-1/Edexcel-Set-C/MS/Quadratics%20MS.pdf" TargetMode="External" Id="rId47" /><Relationship Type="http://schemas.openxmlformats.org/officeDocument/2006/relationships/hyperlink" Target="https://pmt.physicsandmathstutor.com/download/Maths/A-level/Pure/Algebra-and-Functions-1/Edexcel-Set-C/MA/Quadratics%20MA.pdf" TargetMode="External" Id="rId48" /><Relationship Type="http://schemas.openxmlformats.org/officeDocument/2006/relationships/hyperlink" Target="https://mathsgenie.co.uk/a-level/maths/edexcel/as-pure-mathematics-2-3-sketching-quadratic-graphs" TargetMode="External" Id="rId49" /><Relationship Type="http://schemas.openxmlformats.org/officeDocument/2006/relationships/hyperlink" Target="https://assets.mathsgenie.co.uk/content/worksheets/a_level_maths/quadratics-368699de.pdf" TargetMode="External" Id="rId50" /><Relationship Type="http://schemas.openxmlformats.org/officeDocument/2006/relationships/hyperlink" Target="https://assets.mathsgenie.co.uk/content/worksheets/a_level_maths/quadratics-ans-cb70f353.pdf" TargetMode="External" Id="rId51" /><Relationship Type="http://schemas.openxmlformats.org/officeDocument/2006/relationships/hyperlink" Target="https://pmt.physicsandmathstutor.com/download/Maths/A-level/Pure/Algebra-and-Functions-1/Edexcel-Set-C/QP/Quadratics%20QP.pdf" TargetMode="External" Id="rId52" /><Relationship Type="http://schemas.openxmlformats.org/officeDocument/2006/relationships/hyperlink" Target="https://pmt.physicsandmathstutor.com/download/Maths/A-level/Pure/Algebra-and-Functions-1/Edexcel-Set-C/MS/Quadratics%20MS.pdf" TargetMode="External" Id="rId53" /><Relationship Type="http://schemas.openxmlformats.org/officeDocument/2006/relationships/hyperlink" Target="https://pmt.physicsandmathstutor.com/download/Maths/A-level/Pure/Algebra-and-Functions-1/Edexcel-Set-C/MA/Quadratics%20MA.pdf" TargetMode="External" Id="rId54" /><Relationship Type="http://schemas.openxmlformats.org/officeDocument/2006/relationships/hyperlink" Target="https://mathsgenie.co.uk/a-level/maths/edexcel/as-pure-mathematics-2-4-the-discriminant" TargetMode="External" Id="rId55" /><Relationship Type="http://schemas.openxmlformats.org/officeDocument/2006/relationships/hyperlink" Target="https://assets.mathsgenie.co.uk/content/worksheets/a_level_maths/as-pure-the-discriminant-cdb34299.pdf" TargetMode="External" Id="rId56" /><Relationship Type="http://schemas.openxmlformats.org/officeDocument/2006/relationships/hyperlink" Target="https://assets.mathsgenie.co.uk/content/worksheets/a_level_maths/as-pure-the-discriminant-ans-ecb9abd5.pdf" TargetMode="External" Id="rId57" /><Relationship Type="http://schemas.openxmlformats.org/officeDocument/2006/relationships/hyperlink" Target="https://pmt.physicsandmathstutor.com/download/Maths/A-level/Pure/Algebra-and-Functions-1/Edexcel-Set-C/QP/Quadratics%20QP.pdf" TargetMode="External" Id="rId58" /><Relationship Type="http://schemas.openxmlformats.org/officeDocument/2006/relationships/hyperlink" Target="https://pmt.physicsandmathstutor.com/download/Maths/A-level/Pure/Algebra-and-Functions-1/Edexcel-Set-C/MS/Quadratics%20MS.pdf" TargetMode="External" Id="rId59" /><Relationship Type="http://schemas.openxmlformats.org/officeDocument/2006/relationships/hyperlink" Target="https://pmt.physicsandmathstutor.com/download/Maths/A-level/Pure/Algebra-and-Functions-1/Edexcel-Set-C/MA/Quadratics%20MA.pdf" TargetMode="External" Id="rId60" /><Relationship Type="http://schemas.openxmlformats.org/officeDocument/2006/relationships/hyperlink" Target="https://mathsgenie.co.uk/a-level/maths/edexcel/as-pure-mathematics-2-1-solving-quadratics" TargetMode="External" Id="rId61" /><Relationship Type="http://schemas.openxmlformats.org/officeDocument/2006/relationships/hyperlink" Target="https://assets.mathsgenie.co.uk/content/worksheets/a_level_maths/quadratics-368699de.pdf" TargetMode="External" Id="rId62" /><Relationship Type="http://schemas.openxmlformats.org/officeDocument/2006/relationships/hyperlink" Target="https://assets.mathsgenie.co.uk/content/worksheets/a_level_maths/quadratics-ans-cb70f353.pdf" TargetMode="External" Id="rId63" /><Relationship Type="http://schemas.openxmlformats.org/officeDocument/2006/relationships/hyperlink" Target="https://pmt.physicsandmathstutor.com/download/Maths/A-level/Pure/Algebra-and-Functions-1/Edexcel-Set-C/QP/Quadratics%20QP.pdf" TargetMode="External" Id="rId64" /><Relationship Type="http://schemas.openxmlformats.org/officeDocument/2006/relationships/hyperlink" Target="https://pmt.physicsandmathstutor.com/download/Maths/A-level/Pure/Algebra-and-Functions-1/Edexcel-Set-C/MS/Quadratics%20MS.pdf" TargetMode="External" Id="rId65" /><Relationship Type="http://schemas.openxmlformats.org/officeDocument/2006/relationships/hyperlink" Target="https://pmt.physicsandmathstutor.com/download/Maths/A-level/Pure/Algebra-and-Functions-1/Edexcel-Set-C/MA/Quadratics%20MA.pdf" TargetMode="External" Id="rId66" /><Relationship Type="http://schemas.openxmlformats.org/officeDocument/2006/relationships/hyperlink" Target="https://mathsgenie.co.uk/a-level/maths/edexcel/as-pure-mathematics-3-1-linear-simultaneous-equations" TargetMode="External" Id="rId67" /><Relationship Type="http://schemas.openxmlformats.org/officeDocument/2006/relationships/hyperlink" Target="https://assets.mathsgenie.co.uk/content/worksheets/as_level_maths/equations-and-inequalities-dcb945d3.pdf" TargetMode="External" Id="rId68" /><Relationship Type="http://schemas.openxmlformats.org/officeDocument/2006/relationships/hyperlink" Target="https://assets.mathsgenie.co.uk/content/worksheets/as_level_maths/equations-and-inequalities-ans-0265cfa5.pdf" TargetMode="External" Id="rId69" /><Relationship Type="http://schemas.openxmlformats.org/officeDocument/2006/relationships/hyperlink" Target="https://mathsgenie.co.uk/a-level/maths/edexcel/as-pure-mathematics-3-2-quadratic-simultaneous-equations" TargetMode="External" Id="rId70" /><Relationship Type="http://schemas.openxmlformats.org/officeDocument/2006/relationships/hyperlink" Target="https://assets.mathsgenie.co.uk/content/worksheets/as_level_maths/equations-and-inequalities-dcb945d3.pdf" TargetMode="External" Id="rId71" /><Relationship Type="http://schemas.openxmlformats.org/officeDocument/2006/relationships/hyperlink" Target="https://assets.mathsgenie.co.uk/content/worksheets/as_level_maths/equations-and-inequalities-ans-0265cfa5.pdf" TargetMode="External" Id="rId72" /><Relationship Type="http://schemas.openxmlformats.org/officeDocument/2006/relationships/hyperlink" Target="https://mathsgenie.co.uk/a-level/maths/edexcel/as-pure-mathematics-3-4-linear-inequalities" TargetMode="External" Id="rId73" /><Relationship Type="http://schemas.openxmlformats.org/officeDocument/2006/relationships/hyperlink" Target="https://assets.mathsgenie.co.uk/content/worksheets/as_level_maths/equations-and-inequalities-dcb945d3.pdf" TargetMode="External" Id="rId74" /><Relationship Type="http://schemas.openxmlformats.org/officeDocument/2006/relationships/hyperlink" Target="https://assets.mathsgenie.co.uk/content/worksheets/as_level_maths/equations-and-inequalities-ans-0265cfa5.pdf" TargetMode="External" Id="rId75" /><Relationship Type="http://schemas.openxmlformats.org/officeDocument/2006/relationships/hyperlink" Target="https://pmt.physicsandmathstutor.com/download/Maths/A-level/Pure/Algebra-and-Functions-1/Edexcel-Set-C/QP/Inequalities%20QP.pdf" TargetMode="External" Id="rId76" /><Relationship Type="http://schemas.openxmlformats.org/officeDocument/2006/relationships/hyperlink" Target="https://pmt.physicsandmathstutor.com/download/Maths/A-level/Pure/Algebra-and-Functions-1/Edexcel-Set-C/MS/Inequalities%20MS.pdf" TargetMode="External" Id="rId77" /><Relationship Type="http://schemas.openxmlformats.org/officeDocument/2006/relationships/hyperlink" Target="https://pmt.physicsandmathstutor.com/download/Maths/A-level/Pure/Algebra-and-Functions-1/Edexcel-Set-C/MA/Inequalities%20MA.pdf" TargetMode="External" Id="rId78" /><Relationship Type="http://schemas.openxmlformats.org/officeDocument/2006/relationships/hyperlink" Target="https://mathsgenie.co.uk/a-level/maths/edexcel/as-pure-mathematics-3-5-quadratic-inequalities" TargetMode="External" Id="rId79" /><Relationship Type="http://schemas.openxmlformats.org/officeDocument/2006/relationships/hyperlink" Target="https://assets.mathsgenie.co.uk/content/worksheets/a_level_maths/as-pure-quadratic-inequalities-and-simultaneous-d81d56d6.pdf" TargetMode="External" Id="rId80" /><Relationship Type="http://schemas.openxmlformats.org/officeDocument/2006/relationships/hyperlink" Target="https://assets.mathsgenie.co.uk/content/worksheets/a_level_maths/as-pure-quadratic-inequalities-and-simultaneous-ans-4efbbe6f.pdf" TargetMode="External" Id="rId81" /><Relationship Type="http://schemas.openxmlformats.org/officeDocument/2006/relationships/hyperlink" Target="https://pmt.physicsandmathstutor.com/download/Maths/A-level/Pure/Algebra-and-Functions-1/Edexcel-Set-C/QP/Inequalities%20QP.pdf" TargetMode="External" Id="rId82" /><Relationship Type="http://schemas.openxmlformats.org/officeDocument/2006/relationships/hyperlink" Target="https://pmt.physicsandmathstutor.com/download/Maths/A-level/Pure/Algebra-and-Functions-1/Edexcel-Set-C/MS/Inequalities%20MS.pdf" TargetMode="External" Id="rId83" /><Relationship Type="http://schemas.openxmlformats.org/officeDocument/2006/relationships/hyperlink" Target="https://pmt.physicsandmathstutor.com/download/Maths/A-level/Pure/Algebra-and-Functions-1/Edexcel-Set-C/MA/Inequalities%20MA.pdf" TargetMode="External" Id="rId84" /><Relationship Type="http://schemas.openxmlformats.org/officeDocument/2006/relationships/hyperlink" Target="https://mathsgenie.co.uk/a-level/maths/edexcel/as-pure-mathematics-3-6-inequalities-on-graphs" TargetMode="External" Id="rId85" /><Relationship Type="http://schemas.openxmlformats.org/officeDocument/2006/relationships/hyperlink" Target="https://assets.mathsgenie.co.uk/content/worksheets/as_level_maths/equations-and-inequalities-dcb945d3.pdf" TargetMode="External" Id="rId86" /><Relationship Type="http://schemas.openxmlformats.org/officeDocument/2006/relationships/hyperlink" Target="https://assets.mathsgenie.co.uk/content/worksheets/as_level_maths/equations-and-inequalities-ans-0265cfa5.pdf" TargetMode="External" Id="rId87" /><Relationship Type="http://schemas.openxmlformats.org/officeDocument/2006/relationships/hyperlink" Target="https://pmt.physicsandmathstutor.com/download/Maths/A-level/Pure/Algebra-and-Functions-1/Edexcel-Set-C/QP/Inequalities%20QP.pdf" TargetMode="External" Id="rId88" /><Relationship Type="http://schemas.openxmlformats.org/officeDocument/2006/relationships/hyperlink" Target="https://pmt.physicsandmathstutor.com/download/Maths/A-level/Pure/Algebra-and-Functions-1/Edexcel-Set-C/MS/Inequalities%20MS.pdf" TargetMode="External" Id="rId89" /><Relationship Type="http://schemas.openxmlformats.org/officeDocument/2006/relationships/hyperlink" Target="https://pmt.physicsandmathstutor.com/download/Maths/A-level/Pure/Algebra-and-Functions-1/Edexcel-Set-C/MA/Inequalities%20MA.pdf" TargetMode="External" Id="rId90" /><Relationship Type="http://schemas.openxmlformats.org/officeDocument/2006/relationships/hyperlink" Target="https://mathsgenie.co.uk/a-level/maths/edexcel/as-pure-mathematics-1-2-expanding-brackets" TargetMode="External" Id="rId91" /><Relationship Type="http://schemas.openxmlformats.org/officeDocument/2006/relationships/hyperlink" Target="https://assets.mathsgenie.co.uk/content/worksheets/as_level_maths/as-pure-algebraic-expressions-1f02c4c4.pdf" TargetMode="External" Id="rId92" /><Relationship Type="http://schemas.openxmlformats.org/officeDocument/2006/relationships/hyperlink" Target="https://assets.mathsgenie.co.uk/content/worksheets/a_level_maths/algebraic-expressions-ans-8768133f.pdf" TargetMode="External" Id="rId93" /><Relationship Type="http://schemas.openxmlformats.org/officeDocument/2006/relationships/hyperlink" Target="https://mathsgenie.co.uk/a-level/maths/edexcel/as-pure-mathematics-1-3-factorising" TargetMode="External" Id="rId94" /><Relationship Type="http://schemas.openxmlformats.org/officeDocument/2006/relationships/hyperlink" Target="https://assets.mathsgenie.co.uk/content/worksheets/as_level_maths/as-pure-algebraic-expressions-1f02c4c4.pdf" TargetMode="External" Id="rId95" /><Relationship Type="http://schemas.openxmlformats.org/officeDocument/2006/relationships/hyperlink" Target="https://assets.mathsgenie.co.uk/content/worksheets/a_level_maths/algebraic-expressions-ans-8768133f.pdf" TargetMode="External" Id="rId96" /><Relationship Type="http://schemas.openxmlformats.org/officeDocument/2006/relationships/hyperlink" Target="https://pmt.physicsandmathstutor.com/download/Maths/A-level/Pure/Algebra-and-Functions-1/Edexcel-Set-C/QP/Factor%20Theorem%20QP.pdf" TargetMode="External" Id="rId97" /><Relationship Type="http://schemas.openxmlformats.org/officeDocument/2006/relationships/hyperlink" Target="https://pmt.physicsandmathstutor.com/download/Maths/A-level/Pure/Algebra-and-Functions-1/Edexcel-Set-C/MS/Factor%20Theorem%20MS.pdf" TargetMode="External" Id="rId98" /><Relationship Type="http://schemas.openxmlformats.org/officeDocument/2006/relationships/hyperlink" Target="https://pmt.physicsandmathstutor.com/download/Maths/A-level/Pure/Algebra-and-Functions-1/Edexcel-Set-C/MA/Factor%20Theorem%20MA.pdf" TargetMode="External" Id="rId99" /><Relationship Type="http://schemas.openxmlformats.org/officeDocument/2006/relationships/hyperlink" Target="https://mathsgenie.co.uk/a-level/maths/edexcel/as-pure-mathematics-7-1-algebraic-fractions" TargetMode="External" Id="rId100" /><Relationship Type="http://schemas.openxmlformats.org/officeDocument/2006/relationships/hyperlink" Target="https://assets.mathsgenie.co.uk/content/worksheets/a_level_maths/algebraic-methods-a3de4bc8.pdf" TargetMode="External" Id="rId101" /><Relationship Type="http://schemas.openxmlformats.org/officeDocument/2006/relationships/hyperlink" Target="https://assets.mathsgenie.co.uk/content/worksheets/a_level_maths/algebraic-methods-ans-9324f91d.pdf" TargetMode="External" Id="rId102" /><Relationship Type="http://schemas.openxmlformats.org/officeDocument/2006/relationships/hyperlink" Target="https://mathsgenie.co.uk/a-level/maths/edexcel/as-pure-mathematics-7-2-dividing-polynomials" TargetMode="External" Id="rId103" /><Relationship Type="http://schemas.openxmlformats.org/officeDocument/2006/relationships/hyperlink" Target="https://assets.mathsgenie.co.uk/content/worksheets/a_level_maths/algebraic-methods-a3de4bc8.pdf" TargetMode="External" Id="rId104" /><Relationship Type="http://schemas.openxmlformats.org/officeDocument/2006/relationships/hyperlink" Target="https://assets.mathsgenie.co.uk/content/worksheets/a_level_maths/algebraic-methods-ans-9324f91d.pdf" TargetMode="External" Id="rId105" /><Relationship Type="http://schemas.openxmlformats.org/officeDocument/2006/relationships/hyperlink" Target="https://pmt.physicsandmathstutor.com/download/Maths/A-level/Pure/Algebra-and-Functions-1/Edexcel-Set-C/QP/Factor%20Theorem%20QP.pdf" TargetMode="External" Id="rId106" /><Relationship Type="http://schemas.openxmlformats.org/officeDocument/2006/relationships/hyperlink" Target="https://pmt.physicsandmathstutor.com/download/Maths/A-level/Pure/Algebra-and-Functions-1/Edexcel-Set-C/MS/Factor%20Theorem%20MS.pdf" TargetMode="External" Id="rId107" /><Relationship Type="http://schemas.openxmlformats.org/officeDocument/2006/relationships/hyperlink" Target="https://pmt.physicsandmathstutor.com/download/Maths/A-level/Pure/Algebra-and-Functions-1/Edexcel-Set-C/MA/Factor%20Theorem%20MA.pdf" TargetMode="External" Id="rId108" /><Relationship Type="http://schemas.openxmlformats.org/officeDocument/2006/relationships/hyperlink" Target="https://mathsgenie.co.uk/a-level/maths/edexcel/as-pure-mathematics-7-3-the-factor-theorem" TargetMode="External" Id="rId109" /><Relationship Type="http://schemas.openxmlformats.org/officeDocument/2006/relationships/hyperlink" Target="https://assets.mathsgenie.co.uk/content/worksheets/a_level_maths/as-pure-factor-theorem-8d13729f.pdf" TargetMode="External" Id="rId110" /><Relationship Type="http://schemas.openxmlformats.org/officeDocument/2006/relationships/hyperlink" Target="https://assets.mathsgenie.co.uk/content/worksheets/a_level_maths/as-pure-factor-theorem-ans-01efae22.pdf" TargetMode="External" Id="rId111" /><Relationship Type="http://schemas.openxmlformats.org/officeDocument/2006/relationships/hyperlink" Target="https://pmt.physicsandmathstutor.com/download/Maths/A-level/Pure/Algebra-and-Functions-1/Edexcel-Set-C/QP/Factor%20Theorem%20QP.pdf" TargetMode="External" Id="rId112" /><Relationship Type="http://schemas.openxmlformats.org/officeDocument/2006/relationships/hyperlink" Target="https://pmt.physicsandmathstutor.com/download/Maths/A-level/Pure/Algebra-and-Functions-1/Edexcel-Set-C/MS/Factor%20Theorem%20MS.pdf" TargetMode="External" Id="rId113" /><Relationship Type="http://schemas.openxmlformats.org/officeDocument/2006/relationships/hyperlink" Target="https://pmt.physicsandmathstutor.com/download/Maths/A-level/Pure/Algebra-and-Functions-1/Edexcel-Set-C/MA/Factor%20Theorem%20MA.pdf" TargetMode="External" Id="rId114" /><Relationship Type="http://schemas.openxmlformats.org/officeDocument/2006/relationships/hyperlink" Target="https://mathsgenie.co.uk/a-level/maths/edexcel/a-level-pure-mathematics-1-2-algebraic-fractions" TargetMode="External" Id="rId115" /><Relationship Type="http://schemas.openxmlformats.org/officeDocument/2006/relationships/hyperlink" Target="https://assets.mathsgenie.co.uk/content/worksheets/a_level_maths/a-level-algebraic-methods-67104351.pdf" TargetMode="External" Id="rId116" /><Relationship Type="http://schemas.openxmlformats.org/officeDocument/2006/relationships/hyperlink" Target="https://assets.mathsgenie.co.uk/content/worksheets/a_level_maths/a-level-algebraic-methods-ans-75eb77a6.pdf" TargetMode="External" Id="rId117" /><Relationship Type="http://schemas.openxmlformats.org/officeDocument/2006/relationships/hyperlink" Target="https://pmt.physicsandmathstutor.com/download/Maths/A-level/Pure/Algebra-and-Functions-2/Edexcel-Set-C/QP/Partial%20Fractions%20QP.pdf" TargetMode="External" Id="rId118" /><Relationship Type="http://schemas.openxmlformats.org/officeDocument/2006/relationships/hyperlink" Target="https://pmt.physicsandmathstutor.com/download/Maths/A-level/Pure/Algebra-and-Functions-2/Edexcel-Set-C/MS/Partial%20Fractions%20MS.pdf" TargetMode="External" Id="rId119" /><Relationship Type="http://schemas.openxmlformats.org/officeDocument/2006/relationships/hyperlink" Target="https://pmt.physicsandmathstutor.com/download/Maths/A-level/Pure/Algebra-and-Functions-2/Edexcel-Set-C/MA/Partial%20Fractions%20MA.pdf" TargetMode="External" Id="rId120" /><Relationship Type="http://schemas.openxmlformats.org/officeDocument/2006/relationships/hyperlink" Target="https://mathsgenie.co.uk/a-level/maths/edexcel/a-level-pure-mathematics-1-5-algebraic-division" TargetMode="External" Id="rId121" /><Relationship Type="http://schemas.openxmlformats.org/officeDocument/2006/relationships/hyperlink" Target="https://assets.mathsgenie.co.uk/content/worksheets/a_level_maths/a-level-algebraic-methods-67104351.pdf" TargetMode="External" Id="rId122" /><Relationship Type="http://schemas.openxmlformats.org/officeDocument/2006/relationships/hyperlink" Target="https://assets.mathsgenie.co.uk/content/worksheets/a_level_maths/a-level-algebraic-methods-ans-75eb77a6.pdf" TargetMode="External" Id="rId123" /><Relationship Type="http://schemas.openxmlformats.org/officeDocument/2006/relationships/hyperlink" Target="https://pmt.physicsandmathstutor.com/download/Maths/A-level/Pure/Algebra-and-Functions-2/Edexcel-Set-C/QP/Partial%20Fractions%20QP.pdf" TargetMode="External" Id="rId124" /><Relationship Type="http://schemas.openxmlformats.org/officeDocument/2006/relationships/hyperlink" Target="https://pmt.physicsandmathstutor.com/download/Maths/A-level/Pure/Algebra-and-Functions-2/Edexcel-Set-C/MS/Partial%20Fractions%20MS.pdf" TargetMode="External" Id="rId125" /><Relationship Type="http://schemas.openxmlformats.org/officeDocument/2006/relationships/hyperlink" Target="https://pmt.physicsandmathstutor.com/download/Maths/A-level/Pure/Algebra-and-Functions-2/Edexcel-Set-C/MA/Partial%20Fractions%20MA.pdf" TargetMode="External" Id="rId126" /><Relationship Type="http://schemas.openxmlformats.org/officeDocument/2006/relationships/hyperlink" Target="https://mathsgenie.co.uk/a-level/maths/edexcel/as-pure-mathematics-4-1-cubic-graphs" TargetMode="External" Id="rId127" /><Relationship Type="http://schemas.openxmlformats.org/officeDocument/2006/relationships/hyperlink" Target="https://assets.mathsgenie.co.uk/content/worksheets/as_level_maths/graphs-and-transformations-2ff373eb.pdf" TargetMode="External" Id="rId128" /><Relationship Type="http://schemas.openxmlformats.org/officeDocument/2006/relationships/hyperlink" Target="https://assets.mathsgenie.co.uk/content/worksheets/as_level_maths/graphs-and-transformations-ans-ad2c0ad7.pdf" TargetMode="External" Id="rId129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30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31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32" /><Relationship Type="http://schemas.openxmlformats.org/officeDocument/2006/relationships/hyperlink" Target="https://mathsgenie.co.uk/a-level/maths/edexcel/as-pure-mathematics-4-2-quartic-graphs" TargetMode="External" Id="rId133" /><Relationship Type="http://schemas.openxmlformats.org/officeDocument/2006/relationships/hyperlink" Target="https://assets.mathsgenie.co.uk/content/worksheets/as_level_maths/graphs-and-transformations-2ff373eb.pdf" TargetMode="External" Id="rId134" /><Relationship Type="http://schemas.openxmlformats.org/officeDocument/2006/relationships/hyperlink" Target="https://assets.mathsgenie.co.uk/content/worksheets/as_level_maths/graphs-and-transformations-ans-ad2c0ad7.pdf" TargetMode="External" Id="rId135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36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37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38" /><Relationship Type="http://schemas.openxmlformats.org/officeDocument/2006/relationships/hyperlink" Target="https://mathsgenie.co.uk/a-level/maths/edexcel/as-pure-mathematics-4-3-reciprocal-graphs" TargetMode="External" Id="rId139" /><Relationship Type="http://schemas.openxmlformats.org/officeDocument/2006/relationships/hyperlink" Target="https://assets.mathsgenie.co.uk/content/worksheets/as_level_maths/graphs-and-transformations-2ff373eb.pdf" TargetMode="External" Id="rId140" /><Relationship Type="http://schemas.openxmlformats.org/officeDocument/2006/relationships/hyperlink" Target="https://assets.mathsgenie.co.uk/content/worksheets/as_level_maths/graphs-and-transformations-ans-ad2c0ad7.pdf" TargetMode="External" Id="rId141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42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43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44" /><Relationship Type="http://schemas.openxmlformats.org/officeDocument/2006/relationships/hyperlink" Target="https://mathsgenie.co.uk/a-level/maths/edexcel/as-pure-mathematics-4-4-points-of-intersection" TargetMode="External" Id="rId145" /><Relationship Type="http://schemas.openxmlformats.org/officeDocument/2006/relationships/hyperlink" Target="https://assets.mathsgenie.co.uk/content/worksheets/as_level_maths/graphs-and-transformations-2ff373eb.pdf" TargetMode="External" Id="rId146" /><Relationship Type="http://schemas.openxmlformats.org/officeDocument/2006/relationships/hyperlink" Target="https://assets.mathsgenie.co.uk/content/worksheets/as_level_maths/graphs-and-transformations-ans-ad2c0ad7.pdf" TargetMode="External" Id="rId147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48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49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50" /><Relationship Type="http://schemas.openxmlformats.org/officeDocument/2006/relationships/hyperlink" Target="https://mathsgenie.co.uk/a-level/maths/edexcel/as-pure-mathematics-4-graphs-and-transformations" TargetMode="External" Id="rId151" /><Relationship Type="http://schemas.openxmlformats.org/officeDocument/2006/relationships/hyperlink" Target="https://assets.mathsgenie.co.uk/content/worksheets/as_level_maths/graphs-and-transformations-2ff373eb.pdf" TargetMode="External" Id="rId152" /><Relationship Type="http://schemas.openxmlformats.org/officeDocument/2006/relationships/hyperlink" Target="https://assets.mathsgenie.co.uk/content/worksheets/as_level_maths/graphs-and-transformations-ans-ad2c0ad7.pdf" TargetMode="External" Id="rId153" /><Relationship Type="http://schemas.openxmlformats.org/officeDocument/2006/relationships/hyperlink" Target="https://mathsgenie.co.uk/a-level/maths/edexcel/a-level-pure-mathematics-2-1-the-modulus-function" TargetMode="External" Id="rId154" /><Relationship Type="http://schemas.openxmlformats.org/officeDocument/2006/relationships/hyperlink" Target="https://assets.mathsgenie.co.uk/content/worksheets/a_level_maths/functions-and-graphs-e0302bb2.pdf" TargetMode="External" Id="rId155" /><Relationship Type="http://schemas.openxmlformats.org/officeDocument/2006/relationships/hyperlink" Target="https://assets.mathsgenie.co.uk/content/worksheets/a_level_maths/functions-and-graphs-ans-f4112813.pdf" TargetMode="External" Id="rId156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157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158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159" /><Relationship Type="http://schemas.openxmlformats.org/officeDocument/2006/relationships/hyperlink" Target="https://mathsgenie.co.uk/a-level/maths/edexcel/a-level-pure-mathematics-2-7-solving-modulus-problems" TargetMode="External" Id="rId160" /><Relationship Type="http://schemas.openxmlformats.org/officeDocument/2006/relationships/hyperlink" Target="https://assets.mathsgenie.co.uk/content/worksheets/a_level_maths/functions-and-graphs-e0302bb2.pdf" TargetMode="External" Id="rId161" /><Relationship Type="http://schemas.openxmlformats.org/officeDocument/2006/relationships/hyperlink" Target="https://assets.mathsgenie.co.uk/content/worksheets/a_level_maths/functions-and-graphs-ans-f4112813.pdf" TargetMode="External" Id="rId162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163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164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165" /><Relationship Type="http://schemas.openxmlformats.org/officeDocument/2006/relationships/hyperlink" Target="https://mathsgenie.co.uk/a-level/maths/edexcel/a-level-pure-mathematics-2-2-functions-and-mappings" TargetMode="External" Id="rId166" /><Relationship Type="http://schemas.openxmlformats.org/officeDocument/2006/relationships/hyperlink" Target="https://assets.mathsgenie.co.uk/content/worksheets/a_level_maths/functions-and-graphs-e0302bb2.pdf" TargetMode="External" Id="rId167" /><Relationship Type="http://schemas.openxmlformats.org/officeDocument/2006/relationships/hyperlink" Target="https://assets.mathsgenie.co.uk/content/worksheets/a_level_maths/functions-and-graphs-ans-f4112813.pdf" TargetMode="External" Id="rId168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169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170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171" /><Relationship Type="http://schemas.openxmlformats.org/officeDocument/2006/relationships/hyperlink" Target="https://mathsgenie.co.uk/a-level/maths/edexcel/a-level-pure-mathematics-2-3-composite-functions" TargetMode="External" Id="rId172" /><Relationship Type="http://schemas.openxmlformats.org/officeDocument/2006/relationships/hyperlink" Target="https://assets.mathsgenie.co.uk/content/worksheets/a_level_maths/functions-and-graphs-e0302bb2.pdf" TargetMode="External" Id="rId173" /><Relationship Type="http://schemas.openxmlformats.org/officeDocument/2006/relationships/hyperlink" Target="https://assets.mathsgenie.co.uk/content/worksheets/a_level_maths/functions-and-graphs-ans-f4112813.pdf" TargetMode="External" Id="rId174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175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176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177" /><Relationship Type="http://schemas.openxmlformats.org/officeDocument/2006/relationships/hyperlink" Target="https://mathsgenie.co.uk/a-level/maths/edexcel/a-level-pure-mathematics-2-4-inverse-functions" TargetMode="External" Id="rId178" /><Relationship Type="http://schemas.openxmlformats.org/officeDocument/2006/relationships/hyperlink" Target="https://assets.mathsgenie.co.uk/content/worksheets/a_level_maths/functions-and-graphs-e0302bb2.pdf" TargetMode="External" Id="rId179" /><Relationship Type="http://schemas.openxmlformats.org/officeDocument/2006/relationships/hyperlink" Target="https://assets.mathsgenie.co.uk/content/worksheets/a_level_maths/functions-and-graphs-ans-f4112813.pdf" TargetMode="External" Id="rId180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181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182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183" /><Relationship Type="http://schemas.openxmlformats.org/officeDocument/2006/relationships/hyperlink" Target="https://mathsgenie.co.uk/a-level/maths/edexcel/as-pure-mathematics-4-5-translating-graphs" TargetMode="External" Id="rId184" /><Relationship Type="http://schemas.openxmlformats.org/officeDocument/2006/relationships/hyperlink" Target="https://assets.mathsgenie.co.uk/content/worksheets/as_level_maths/graphs-and-transformations-2ff373eb.pdf" TargetMode="External" Id="rId185" /><Relationship Type="http://schemas.openxmlformats.org/officeDocument/2006/relationships/hyperlink" Target="https://assets.mathsgenie.co.uk/content/worksheets/as_level_maths/graphs-and-transformations-ans-ad2c0ad7.pdf" TargetMode="External" Id="rId186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87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88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89" /><Relationship Type="http://schemas.openxmlformats.org/officeDocument/2006/relationships/hyperlink" Target="https://mathsgenie.co.uk/a-level/maths/edexcel/as-pure-mathematics-4-6-stretching-graphs" TargetMode="External" Id="rId190" /><Relationship Type="http://schemas.openxmlformats.org/officeDocument/2006/relationships/hyperlink" Target="https://assets.mathsgenie.co.uk/content/worksheets/as_level_maths/graphs-and-transformations-2ff373eb.pdf" TargetMode="External" Id="rId191" /><Relationship Type="http://schemas.openxmlformats.org/officeDocument/2006/relationships/hyperlink" Target="https://assets.mathsgenie.co.uk/content/worksheets/as_level_maths/graphs-and-transformations-ans-ad2c0ad7.pdf" TargetMode="External" Id="rId192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93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94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95" /><Relationship Type="http://schemas.openxmlformats.org/officeDocument/2006/relationships/hyperlink" Target="https://mathsgenie.co.uk/a-level/maths/edexcel/as-pure-mathematics-4-7-transforming-functions" TargetMode="External" Id="rId196" /><Relationship Type="http://schemas.openxmlformats.org/officeDocument/2006/relationships/hyperlink" Target="https://assets.mathsgenie.co.uk/content/worksheets/as_level_maths/graphs-and-transformations-2ff373eb.pdf" TargetMode="External" Id="rId197" /><Relationship Type="http://schemas.openxmlformats.org/officeDocument/2006/relationships/hyperlink" Target="https://assets.mathsgenie.co.uk/content/worksheets/as_level_maths/graphs-and-transformations-ans-ad2c0ad7.pdf" TargetMode="External" Id="rId198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99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00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01" /><Relationship Type="http://schemas.openxmlformats.org/officeDocument/2006/relationships/hyperlink" Target="https://mathsgenie.co.uk/a-level/maths/edexcel/a-level-pure-mathematics-2-5-y-f-x-and-y-f-x" TargetMode="External" Id="rId202" /><Relationship Type="http://schemas.openxmlformats.org/officeDocument/2006/relationships/hyperlink" Target="https://assets.mathsgenie.co.uk/content/worksheets/a_level_maths/functions-and-graphs-e0302bb2.pdf" TargetMode="External" Id="rId203" /><Relationship Type="http://schemas.openxmlformats.org/officeDocument/2006/relationships/hyperlink" Target="https://assets.mathsgenie.co.uk/content/worksheets/a_level_maths/functions-and-graphs-ans-f4112813.pdf" TargetMode="External" Id="rId204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205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206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207" /><Relationship Type="http://schemas.openxmlformats.org/officeDocument/2006/relationships/hyperlink" Target="https://mathsgenie.co.uk/a-level/maths/edexcel/a-level-pure-mathematics-2-6-combining-transformations" TargetMode="External" Id="rId208" /><Relationship Type="http://schemas.openxmlformats.org/officeDocument/2006/relationships/hyperlink" Target="https://assets.mathsgenie.co.uk/content/worksheets/a_level_maths/functions-and-graphs-e0302bb2.pdf" TargetMode="External" Id="rId209" /><Relationship Type="http://schemas.openxmlformats.org/officeDocument/2006/relationships/hyperlink" Target="https://assets.mathsgenie.co.uk/content/worksheets/a_level_maths/functions-and-graphs-ans-f4112813.pdf" TargetMode="External" Id="rId210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11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12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13" /><Relationship Type="http://schemas.openxmlformats.org/officeDocument/2006/relationships/hyperlink" Target="https://mathsgenie.co.uk/a-level/maths/edexcel/a-level-pure-mathematics-1-3-partial-fractions" TargetMode="External" Id="rId214" /><Relationship Type="http://schemas.openxmlformats.org/officeDocument/2006/relationships/hyperlink" Target="https://assets.mathsgenie.co.uk/content/worksheets/a_level_maths/a-level-algebraic-methods-67104351.pdf" TargetMode="External" Id="rId215" /><Relationship Type="http://schemas.openxmlformats.org/officeDocument/2006/relationships/hyperlink" Target="https://assets.mathsgenie.co.uk/content/worksheets/a_level_maths/a-level-algebraic-methods-ans-75eb77a6.pdf" TargetMode="External" Id="rId216" /><Relationship Type="http://schemas.openxmlformats.org/officeDocument/2006/relationships/hyperlink" Target="https://pmt.physicsandmathstutor.com/download/Maths/A-level/Pure/Algebra-and-Functions-2/Edexcel-Set-C/QP/Partial%20Fractions%20QP.pdf" TargetMode="External" Id="rId217" /><Relationship Type="http://schemas.openxmlformats.org/officeDocument/2006/relationships/hyperlink" Target="https://pmt.physicsandmathstutor.com/download/Maths/A-level/Pure/Algebra-and-Functions-2/Edexcel-Set-C/MS/Partial%20Fractions%20MS.pdf" TargetMode="External" Id="rId218" /><Relationship Type="http://schemas.openxmlformats.org/officeDocument/2006/relationships/hyperlink" Target="https://pmt.physicsandmathstutor.com/download/Maths/A-level/Pure/Algebra-and-Functions-2/Edexcel-Set-C/MA/Partial%20Fractions%20MA.pdf" TargetMode="External" Id="rId219" /><Relationship Type="http://schemas.openxmlformats.org/officeDocument/2006/relationships/hyperlink" Target="https://mathsgenie.co.uk/a-level/maths/edexcel/a-level-pure-mathematics-1-4-repeated-factors" TargetMode="External" Id="rId220" /><Relationship Type="http://schemas.openxmlformats.org/officeDocument/2006/relationships/hyperlink" Target="https://assets.mathsgenie.co.uk/content/worksheets/a_level_maths/a-level-algebraic-methods-67104351.pdf" TargetMode="External" Id="rId221" /><Relationship Type="http://schemas.openxmlformats.org/officeDocument/2006/relationships/hyperlink" Target="https://assets.mathsgenie.co.uk/content/worksheets/a_level_maths/a-level-algebraic-methods-ans-75eb77a6.pdf" TargetMode="External" Id="rId222" /><Relationship Type="http://schemas.openxmlformats.org/officeDocument/2006/relationships/hyperlink" Target="https://pmt.physicsandmathstutor.com/download/Maths/A-level/Pure/Algebra-and-Functions-2/Edexcel-Set-C/QP/Partial%20Fractions%20QP.pdf" TargetMode="External" Id="rId223" /><Relationship Type="http://schemas.openxmlformats.org/officeDocument/2006/relationships/hyperlink" Target="https://pmt.physicsandmathstutor.com/download/Maths/A-level/Pure/Algebra-and-Functions-2/Edexcel-Set-C/MS/Partial%20Fractions%20MS.pdf" TargetMode="External" Id="rId224" /><Relationship Type="http://schemas.openxmlformats.org/officeDocument/2006/relationships/hyperlink" Target="https://pmt.physicsandmathstutor.com/download/Maths/A-level/Pure/Algebra-and-Functions-2/Edexcel-Set-C/MA/Partial%20Fractions%20MA.pdf" TargetMode="External" Id="rId225" /><Relationship Type="http://schemas.openxmlformats.org/officeDocument/2006/relationships/hyperlink" Target="https://mathsgenie.co.uk/a-level/maths/edexcel/as-pure-mathematics-2-5-modelling-with-quadratics" TargetMode="External" Id="rId226" /><Relationship Type="http://schemas.openxmlformats.org/officeDocument/2006/relationships/hyperlink" Target="https://assets.mathsgenie.co.uk/content/worksheets/a_level_maths/quadratics-368699de.pdf" TargetMode="External" Id="rId227" /><Relationship Type="http://schemas.openxmlformats.org/officeDocument/2006/relationships/hyperlink" Target="https://assets.mathsgenie.co.uk/content/worksheets/a_level_maths/quadratics-ans-cb70f353.pdf" TargetMode="External" Id="rId228" /><Relationship Type="http://schemas.openxmlformats.org/officeDocument/2006/relationships/hyperlink" Target="https://pmt.physicsandmathstutor.com/download/Maths/A-level/Pure/Algebra-and-Functions-1/Edexcel-Set-C/QP/Quadratics%20QP.pdf" TargetMode="External" Id="rId229" /><Relationship Type="http://schemas.openxmlformats.org/officeDocument/2006/relationships/hyperlink" Target="https://pmt.physicsandmathstutor.com/download/Maths/A-level/Pure/Algebra-and-Functions-1/Edexcel-Set-C/MS/Quadratics%20MS.pdf" TargetMode="External" Id="rId230" /><Relationship Type="http://schemas.openxmlformats.org/officeDocument/2006/relationships/hyperlink" Target="https://pmt.physicsandmathstutor.com/download/Maths/A-level/Pure/Algebra-and-Functions-1/Edexcel-Set-C/MA/Quadratics%20MA.pdf" TargetMode="External" Id="rId231" /><Relationship Type="http://schemas.openxmlformats.org/officeDocument/2006/relationships/hyperlink" Target="https://mathsgenie.co.uk/a-level/maths/edexcel/as-pure-mathematics-5-1-y-mx-c" TargetMode="External" Id="rId232" /><Relationship Type="http://schemas.openxmlformats.org/officeDocument/2006/relationships/hyperlink" Target="https://assets.mathsgenie.co.uk/content/worksheets/a_level_maths/straight-line-graphs-292c4a26.pdf" TargetMode="External" Id="rId233" /><Relationship Type="http://schemas.openxmlformats.org/officeDocument/2006/relationships/hyperlink" Target="https://assets.mathsgenie.co.uk/content/worksheets/a_level_maths/straight-line-graphs-ans-005ba0f8.pdf" TargetMode="External" Id="rId234" /><Relationship Type="http://schemas.openxmlformats.org/officeDocument/2006/relationships/hyperlink" Target="https://pmt.physicsandmathstutor.com/download/Maths/A-level/Pure/Coordinate-Geometry-1/Edexcel-Set-C/QP/Straight%20Lines%20QP.pdf" TargetMode="External" Id="rId235" /><Relationship Type="http://schemas.openxmlformats.org/officeDocument/2006/relationships/hyperlink" Target="https://pmt.physicsandmathstutor.com/download/Maths/A-level/Pure/Coordinate-Geometry-1/Edexcel-Set-C/MS/Straight%20Lines%20MS.pdf" TargetMode="External" Id="rId236" /><Relationship Type="http://schemas.openxmlformats.org/officeDocument/2006/relationships/hyperlink" Target="https://pmt.physicsandmathstutor.com/download/Maths/A-level/Pure/Coordinate-Geometry-1/Edexcel-Set-C/MA/Straight%20Lines%20MA.pdf" TargetMode="External" Id="rId237" /><Relationship Type="http://schemas.openxmlformats.org/officeDocument/2006/relationships/hyperlink" Target="https://mathsgenie.co.uk/a-level/maths/edexcel/as-pure-mathematics-5-2-equations-of-straight-lines" TargetMode="External" Id="rId238" /><Relationship Type="http://schemas.openxmlformats.org/officeDocument/2006/relationships/hyperlink" Target="https://assets.mathsgenie.co.uk/content/worksheets/a_level_maths/straight-line-graphs-292c4a26.pdf" TargetMode="External" Id="rId239" /><Relationship Type="http://schemas.openxmlformats.org/officeDocument/2006/relationships/hyperlink" Target="https://assets.mathsgenie.co.uk/content/worksheets/a_level_maths/straight-line-graphs-ans-005ba0f8.pdf" TargetMode="External" Id="rId240" /><Relationship Type="http://schemas.openxmlformats.org/officeDocument/2006/relationships/hyperlink" Target="https://pmt.physicsandmathstutor.com/download/Maths/A-level/Pure/Coordinate-Geometry-1/Edexcel-Set-C/QP/Straight%20Lines%20QP.pdf" TargetMode="External" Id="rId241" /><Relationship Type="http://schemas.openxmlformats.org/officeDocument/2006/relationships/hyperlink" Target="https://pmt.physicsandmathstutor.com/download/Maths/A-level/Pure/Coordinate-Geometry-1/Edexcel-Set-C/MS/Straight%20Lines%20MS.pdf" TargetMode="External" Id="rId242" /><Relationship Type="http://schemas.openxmlformats.org/officeDocument/2006/relationships/hyperlink" Target="https://pmt.physicsandmathstutor.com/download/Maths/A-level/Pure/Coordinate-Geometry-1/Edexcel-Set-C/MA/Straight%20Lines%20MA.pdf" TargetMode="External" Id="rId243" /><Relationship Type="http://schemas.openxmlformats.org/officeDocument/2006/relationships/hyperlink" Target="https://mathsgenie.co.uk/a-level/maths/edexcel/as-pure-mathematics-5-3-parallel-and-perpendicular-lines" TargetMode="External" Id="rId244" /><Relationship Type="http://schemas.openxmlformats.org/officeDocument/2006/relationships/hyperlink" Target="https://assets.mathsgenie.co.uk/content/worksheets/a_level_maths/straight-line-graphs-292c4a26.pdf" TargetMode="External" Id="rId245" /><Relationship Type="http://schemas.openxmlformats.org/officeDocument/2006/relationships/hyperlink" Target="https://assets.mathsgenie.co.uk/content/worksheets/a_level_maths/straight-line-graphs-ans-005ba0f8.pdf" TargetMode="External" Id="rId246" /><Relationship Type="http://schemas.openxmlformats.org/officeDocument/2006/relationships/hyperlink" Target="https://pmt.physicsandmathstutor.com/download/Maths/A-level/Pure/Coordinate-Geometry-1/Edexcel-Set-C/QP/Straight%20Lines%20QP.pdf" TargetMode="External" Id="rId247" /><Relationship Type="http://schemas.openxmlformats.org/officeDocument/2006/relationships/hyperlink" Target="https://pmt.physicsandmathstutor.com/download/Maths/A-level/Pure/Coordinate-Geometry-1/Edexcel-Set-C/MS/Straight%20Lines%20MS.pdf" TargetMode="External" Id="rId248" /><Relationship Type="http://schemas.openxmlformats.org/officeDocument/2006/relationships/hyperlink" Target="https://pmt.physicsandmathstutor.com/download/Maths/A-level/Pure/Coordinate-Geometry-1/Edexcel-Set-C/MA/Straight%20Lines%20MA.pdf" TargetMode="External" Id="rId249" /><Relationship Type="http://schemas.openxmlformats.org/officeDocument/2006/relationships/hyperlink" Target="https://mathsgenie.co.uk/a-level/maths/edexcel/as-pure-mathematics-5-4-length-and-area" TargetMode="External" Id="rId250" /><Relationship Type="http://schemas.openxmlformats.org/officeDocument/2006/relationships/hyperlink" Target="https://assets.mathsgenie.co.uk/content/worksheets/a_level_maths/straight-line-graphs-292c4a26.pdf" TargetMode="External" Id="rId251" /><Relationship Type="http://schemas.openxmlformats.org/officeDocument/2006/relationships/hyperlink" Target="https://assets.mathsgenie.co.uk/content/worksheets/a_level_maths/straight-line-graphs-ans-005ba0f8.pdf" TargetMode="External" Id="rId252" /><Relationship Type="http://schemas.openxmlformats.org/officeDocument/2006/relationships/hyperlink" Target="https://pmt.physicsandmathstutor.com/download/Maths/A-level/Pure/Coordinate-Geometry-1/Edexcel-Set-C/QP/Straight%20Lines%20QP.pdf" TargetMode="External" Id="rId253" /><Relationship Type="http://schemas.openxmlformats.org/officeDocument/2006/relationships/hyperlink" Target="https://pmt.physicsandmathstutor.com/download/Maths/A-level/Pure/Coordinate-Geometry-1/Edexcel-Set-C/MS/Straight%20Lines%20MS.pdf" TargetMode="External" Id="rId254" /><Relationship Type="http://schemas.openxmlformats.org/officeDocument/2006/relationships/hyperlink" Target="https://pmt.physicsandmathstutor.com/download/Maths/A-level/Pure/Coordinate-Geometry-1/Edexcel-Set-C/MA/Straight%20Lines%20MA.pdf" TargetMode="External" Id="rId255" /><Relationship Type="http://schemas.openxmlformats.org/officeDocument/2006/relationships/hyperlink" Target="https://mathsgenie.co.uk/a-level/maths/edexcel/as-pure-mathematics-5-5-modelling-with-straight-lines" TargetMode="External" Id="rId256" /><Relationship Type="http://schemas.openxmlformats.org/officeDocument/2006/relationships/hyperlink" Target="https://assets.mathsgenie.co.uk/content/worksheets/a_level_maths/straight-line-graphs-292c4a26.pdf" TargetMode="External" Id="rId257" /><Relationship Type="http://schemas.openxmlformats.org/officeDocument/2006/relationships/hyperlink" Target="https://assets.mathsgenie.co.uk/content/worksheets/a_level_maths/straight-line-graphs-ans-005ba0f8.pdf" TargetMode="External" Id="rId258" /><Relationship Type="http://schemas.openxmlformats.org/officeDocument/2006/relationships/hyperlink" Target="https://pmt.physicsandmathstutor.com/download/Maths/A-level/Pure/Coordinate-Geometry-1/Edexcel-Set-C/QP/Linear%20Models%20QP.pdf" TargetMode="External" Id="rId259" /><Relationship Type="http://schemas.openxmlformats.org/officeDocument/2006/relationships/hyperlink" Target="https://pmt.physicsandmathstutor.com/download/Maths/A-level/Pure/Coordinate-Geometry-1/Edexcel-Set-C/MS/Linear%20Models%20MS.pdf" TargetMode="External" Id="rId260" /><Relationship Type="http://schemas.openxmlformats.org/officeDocument/2006/relationships/hyperlink" Target="https://pmt.physicsandmathstutor.com/download/Maths/A-level/Pure/Coordinate-Geometry-1/Edexcel-Set-C/MA/Linear%20Models%20MA.pdf" TargetMode="External" Id="rId261" /><Relationship Type="http://schemas.openxmlformats.org/officeDocument/2006/relationships/hyperlink" Target="https://mathsgenie.co.uk/a-level/maths/edexcel/as-pure-mathematics-6-1-midpoints-and-perpendicular-bisectors" TargetMode="External" Id="rId262" /><Relationship Type="http://schemas.openxmlformats.org/officeDocument/2006/relationships/hyperlink" Target="https://assets.mathsgenie.co.uk/content/worksheets/a_level_maths/circles-f6b421fc.pdf" TargetMode="External" Id="rId263" /><Relationship Type="http://schemas.openxmlformats.org/officeDocument/2006/relationships/hyperlink" Target="https://assets.mathsgenie.co.uk/content/worksheets/a_level_maths/circles-ans-e9cff5dc.pdf" TargetMode="External" Id="rId264" /><Relationship Type="http://schemas.openxmlformats.org/officeDocument/2006/relationships/hyperlink" Target="https://pmt.physicsandmathstutor.com/download/Maths/A-level/Pure/Coordinate-Geometry-1/Edexcel-Set-C/QP/Circles%20QP.pdf" TargetMode="External" Id="rId265" /><Relationship Type="http://schemas.openxmlformats.org/officeDocument/2006/relationships/hyperlink" Target="https://pmt.physicsandmathstutor.com/download/Maths/A-level/Pure/Coordinate-Geometry-1/Edexcel-Set-C/MS/Circles%20MS.pdf" TargetMode="External" Id="rId266" /><Relationship Type="http://schemas.openxmlformats.org/officeDocument/2006/relationships/hyperlink" Target="https://pmt.physicsandmathstutor.com/download/Maths/A-level/Pure/Coordinate-Geometry-1/Edexcel-Set-C/MA/Circles%20MA.pdf" TargetMode="External" Id="rId267" /><Relationship Type="http://schemas.openxmlformats.org/officeDocument/2006/relationships/hyperlink" Target="https://mathsgenie.co.uk/a-level/maths/edexcel/as-pure-mathematics-6-2-equation-of-a-circle" TargetMode="External" Id="rId268" /><Relationship Type="http://schemas.openxmlformats.org/officeDocument/2006/relationships/hyperlink" Target="https://assets.mathsgenie.co.uk/content/worksheets/a_level_maths/as-pure-equation-of-a-circle-dd6b60df.pdf" TargetMode="External" Id="rId269" /><Relationship Type="http://schemas.openxmlformats.org/officeDocument/2006/relationships/hyperlink" Target="https://assets.mathsgenie.co.uk/content/worksheets/a_level_maths/as-pure-equation-of-a-circle-ans-b821a7c5.pdf" TargetMode="External" Id="rId270" /><Relationship Type="http://schemas.openxmlformats.org/officeDocument/2006/relationships/hyperlink" Target="https://pmt.physicsandmathstutor.com/download/Maths/A-level/Pure/Coordinate-Geometry-1/Edexcel-Set-C/QP/Circles%20QP.pdf" TargetMode="External" Id="rId271" /><Relationship Type="http://schemas.openxmlformats.org/officeDocument/2006/relationships/hyperlink" Target="https://pmt.physicsandmathstutor.com/download/Maths/A-level/Pure/Coordinate-Geometry-1/Edexcel-Set-C/MS/Circles%20MS.pdf" TargetMode="External" Id="rId272" /><Relationship Type="http://schemas.openxmlformats.org/officeDocument/2006/relationships/hyperlink" Target="https://pmt.physicsandmathstutor.com/download/Maths/A-level/Pure/Coordinate-Geometry-1/Edexcel-Set-C/MA/Circles%20MA.pdf" TargetMode="External" Id="rId273" /><Relationship Type="http://schemas.openxmlformats.org/officeDocument/2006/relationships/hyperlink" Target="https://mathsgenie.co.uk/a-level/maths/edexcel/as-pure-mathematics-6-3-intersections-of-straight-lines-and-circles" TargetMode="External" Id="rId274" /><Relationship Type="http://schemas.openxmlformats.org/officeDocument/2006/relationships/hyperlink" Target="https://assets.mathsgenie.co.uk/content/worksheets/a_level_maths/circles-f6b421fc.pdf" TargetMode="External" Id="rId275" /><Relationship Type="http://schemas.openxmlformats.org/officeDocument/2006/relationships/hyperlink" Target="https://assets.mathsgenie.co.uk/content/worksheets/a_level_maths/circles-ans-e9cff5dc.pdf" TargetMode="External" Id="rId276" /><Relationship Type="http://schemas.openxmlformats.org/officeDocument/2006/relationships/hyperlink" Target="https://pmt.physicsandmathstutor.com/download/Maths/A-level/Pure/Coordinate-Geometry-1/Edexcel-Set-C/QP/Circles%20QP.pdf" TargetMode="External" Id="rId277" /><Relationship Type="http://schemas.openxmlformats.org/officeDocument/2006/relationships/hyperlink" Target="https://pmt.physicsandmathstutor.com/download/Maths/A-level/Pure/Coordinate-Geometry-1/Edexcel-Set-C/MS/Circles%20MS.pdf" TargetMode="External" Id="rId278" /><Relationship Type="http://schemas.openxmlformats.org/officeDocument/2006/relationships/hyperlink" Target="https://pmt.physicsandmathstutor.com/download/Maths/A-level/Pure/Coordinate-Geometry-1/Edexcel-Set-C/MA/Circles%20MA.pdf" TargetMode="External" Id="rId279" /><Relationship Type="http://schemas.openxmlformats.org/officeDocument/2006/relationships/hyperlink" Target="https://mathsgenie.co.uk/a-level/maths/edexcel/as-pure-mathematics-6-4-use-tangent-and-chord-properties" TargetMode="External" Id="rId280" /><Relationship Type="http://schemas.openxmlformats.org/officeDocument/2006/relationships/hyperlink" Target="https://assets.mathsgenie.co.uk/content/worksheets/a_level_maths/circles-f6b421fc.pdf" TargetMode="External" Id="rId281" /><Relationship Type="http://schemas.openxmlformats.org/officeDocument/2006/relationships/hyperlink" Target="https://assets.mathsgenie.co.uk/content/worksheets/a_level_maths/circles-ans-e9cff5dc.pdf" TargetMode="External" Id="rId282" /><Relationship Type="http://schemas.openxmlformats.org/officeDocument/2006/relationships/hyperlink" Target="https://pmt.physicsandmathstutor.com/download/Maths/A-level/Pure/Coordinate-Geometry-1/Edexcel-Set-C/QP/Circles%20QP.pdf" TargetMode="External" Id="rId283" /><Relationship Type="http://schemas.openxmlformats.org/officeDocument/2006/relationships/hyperlink" Target="https://pmt.physicsandmathstutor.com/download/Maths/A-level/Pure/Coordinate-Geometry-1/Edexcel-Set-C/MS/Circles%20MS.pdf" TargetMode="External" Id="rId284" /><Relationship Type="http://schemas.openxmlformats.org/officeDocument/2006/relationships/hyperlink" Target="https://pmt.physicsandmathstutor.com/download/Maths/A-level/Pure/Coordinate-Geometry-1/Edexcel-Set-C/MA/Circles%20MA.pdf" TargetMode="External" Id="rId285" /><Relationship Type="http://schemas.openxmlformats.org/officeDocument/2006/relationships/hyperlink" Target="https://mathsgenie.co.uk/a-level/maths/edexcel/as-pure-mathematics-6-5-circles-and-triangles" TargetMode="External" Id="rId286" /><Relationship Type="http://schemas.openxmlformats.org/officeDocument/2006/relationships/hyperlink" Target="https://assets.mathsgenie.co.uk/content/worksheets/a_level_maths/circles-f6b421fc.pdf" TargetMode="External" Id="rId287" /><Relationship Type="http://schemas.openxmlformats.org/officeDocument/2006/relationships/hyperlink" Target="https://assets.mathsgenie.co.uk/content/worksheets/a_level_maths/circles-ans-e9cff5dc.pdf" TargetMode="External" Id="rId288" /><Relationship Type="http://schemas.openxmlformats.org/officeDocument/2006/relationships/hyperlink" Target="https://pmt.physicsandmathstutor.com/download/Maths/A-level/Pure/Coordinate-Geometry-1/Edexcel-Set-C/QP/Circles%20QP.pdf" TargetMode="External" Id="rId289" /><Relationship Type="http://schemas.openxmlformats.org/officeDocument/2006/relationships/hyperlink" Target="https://pmt.physicsandmathstutor.com/download/Maths/A-level/Pure/Coordinate-Geometry-1/Edexcel-Set-C/MS/Circles%20MS.pdf" TargetMode="External" Id="rId290" /><Relationship Type="http://schemas.openxmlformats.org/officeDocument/2006/relationships/hyperlink" Target="https://pmt.physicsandmathstutor.com/download/Maths/A-level/Pure/Coordinate-Geometry-1/Edexcel-Set-C/MA/Circles%20MA.pdf" TargetMode="External" Id="rId291" /><Relationship Type="http://schemas.openxmlformats.org/officeDocument/2006/relationships/hyperlink" Target="https://mathsgenie.co.uk/a-level/maths/edexcel/a-level-pure-mathematics-8-1-parametric-equations" TargetMode="External" Id="rId292" /><Relationship Type="http://schemas.openxmlformats.org/officeDocument/2006/relationships/hyperlink" Target="https://assets.mathsgenie.co.uk/content/worksheets/a_level_maths/parametric-equations-37ac7b71.pdf" TargetMode="External" Id="rId293" /><Relationship Type="http://schemas.openxmlformats.org/officeDocument/2006/relationships/hyperlink" Target="https://assets.mathsgenie.co.uk/content/worksheets/a_level_maths/parametric-equations-ans-f9e3d49c.pdf" TargetMode="External" Id="rId294" /><Relationship Type="http://schemas.openxmlformats.org/officeDocument/2006/relationships/hyperlink" Target="https://pmt.physicsandmathstutor.com/download/Maths/A-level/Pure/Coordinate-Geometry-2/Edexcel-Set-C/QP/Parametric%20Equations%20QP.pdf" TargetMode="External" Id="rId295" /><Relationship Type="http://schemas.openxmlformats.org/officeDocument/2006/relationships/hyperlink" Target="https://pmt.physicsandmathstutor.com/download/Maths/A-level/Pure/Coordinate-Geometry-2/Edexcel-Set-C/MS/Parametric%20Equations%20MS.pdf" TargetMode="External" Id="rId296" /><Relationship Type="http://schemas.openxmlformats.org/officeDocument/2006/relationships/hyperlink" Target="https://pmt.physicsandmathstutor.com/download/Maths/A-level/Pure/Coordinate-Geometry-2/Edexcel-Set-C/MA/Parametric%20Equations%20MA.pdf" TargetMode="External" Id="rId297" /><Relationship Type="http://schemas.openxmlformats.org/officeDocument/2006/relationships/hyperlink" Target="https://mathsgenie.co.uk/a-level/maths/edexcel/a-level-pure-mathematics-8-2-using-trigonometric-identities" TargetMode="External" Id="rId298" /><Relationship Type="http://schemas.openxmlformats.org/officeDocument/2006/relationships/hyperlink" Target="https://assets.mathsgenie.co.uk/content/worksheets/a_level_maths/parametric-equations-37ac7b71.pdf" TargetMode="External" Id="rId299" /><Relationship Type="http://schemas.openxmlformats.org/officeDocument/2006/relationships/hyperlink" Target="https://assets.mathsgenie.co.uk/content/worksheets/a_level_maths/parametric-equations-ans-f9e3d49c.pdf" TargetMode="External" Id="rId300" /><Relationship Type="http://schemas.openxmlformats.org/officeDocument/2006/relationships/hyperlink" Target="https://pmt.physicsandmathstutor.com/download/Maths/A-level/Pure/Coordinate-Geometry-2/Edexcel-Set-C/QP/Parametric%20Equations%20QP.pdf" TargetMode="External" Id="rId301" /><Relationship Type="http://schemas.openxmlformats.org/officeDocument/2006/relationships/hyperlink" Target="https://pmt.physicsandmathstutor.com/download/Maths/A-level/Pure/Coordinate-Geometry-2/Edexcel-Set-C/MS/Parametric%20Equations%20MS.pdf" TargetMode="External" Id="rId302" /><Relationship Type="http://schemas.openxmlformats.org/officeDocument/2006/relationships/hyperlink" Target="https://pmt.physicsandmathstutor.com/download/Maths/A-level/Pure/Coordinate-Geometry-2/Edexcel-Set-C/MA/Parametric%20Equations%20MA.pdf" TargetMode="External" Id="rId303" /><Relationship Type="http://schemas.openxmlformats.org/officeDocument/2006/relationships/hyperlink" Target="https://mathsgenie.co.uk/a-level/maths/edexcel/a-level-pure-mathematics-8-3-curve-sketching" TargetMode="External" Id="rId304" /><Relationship Type="http://schemas.openxmlformats.org/officeDocument/2006/relationships/hyperlink" Target="https://assets.mathsgenie.co.uk/content/worksheets/a_level_maths/parametric-equations-37ac7b71.pdf" TargetMode="External" Id="rId305" /><Relationship Type="http://schemas.openxmlformats.org/officeDocument/2006/relationships/hyperlink" Target="https://assets.mathsgenie.co.uk/content/worksheets/a_level_maths/parametric-equations-ans-f9e3d49c.pdf" TargetMode="External" Id="rId306" /><Relationship Type="http://schemas.openxmlformats.org/officeDocument/2006/relationships/hyperlink" Target="https://pmt.physicsandmathstutor.com/download/Maths/A-level/Pure/Coordinate-Geometry-2/Edexcel-Set-C/QP/Parametric%20Equations%20QP.pdf" TargetMode="External" Id="rId307" /><Relationship Type="http://schemas.openxmlformats.org/officeDocument/2006/relationships/hyperlink" Target="https://pmt.physicsandmathstutor.com/download/Maths/A-level/Pure/Coordinate-Geometry-2/Edexcel-Set-C/MS/Parametric%20Equations%20MS.pdf" TargetMode="External" Id="rId308" /><Relationship Type="http://schemas.openxmlformats.org/officeDocument/2006/relationships/hyperlink" Target="https://pmt.physicsandmathstutor.com/download/Maths/A-level/Pure/Coordinate-Geometry-2/Edexcel-Set-C/MA/Parametric%20Equations%20MA.pdf" TargetMode="External" Id="rId309" /><Relationship Type="http://schemas.openxmlformats.org/officeDocument/2006/relationships/hyperlink" Target="https://mathsgenie.co.uk/a-level/maths/edexcel/a-level-pure-mathematics-8-4-points-of-intersection" TargetMode="External" Id="rId310" /><Relationship Type="http://schemas.openxmlformats.org/officeDocument/2006/relationships/hyperlink" Target="https://assets.mathsgenie.co.uk/content/worksheets/a_level_maths/parametric-equations-37ac7b71.pdf" TargetMode="External" Id="rId311" /><Relationship Type="http://schemas.openxmlformats.org/officeDocument/2006/relationships/hyperlink" Target="https://assets.mathsgenie.co.uk/content/worksheets/a_level_maths/parametric-equations-ans-f9e3d49c.pdf" TargetMode="External" Id="rId312" /><Relationship Type="http://schemas.openxmlformats.org/officeDocument/2006/relationships/hyperlink" Target="https://pmt.physicsandmathstutor.com/download/Maths/A-level/Pure/Coordinate-Geometry-2/Edexcel-Set-C/QP/Parametric%20Equations%20QP.pdf" TargetMode="External" Id="rId313" /><Relationship Type="http://schemas.openxmlformats.org/officeDocument/2006/relationships/hyperlink" Target="https://pmt.physicsandmathstutor.com/download/Maths/A-level/Pure/Coordinate-Geometry-2/Edexcel-Set-C/MS/Parametric%20Equations%20MS.pdf" TargetMode="External" Id="rId314" /><Relationship Type="http://schemas.openxmlformats.org/officeDocument/2006/relationships/hyperlink" Target="https://pmt.physicsandmathstutor.com/download/Maths/A-level/Pure/Coordinate-Geometry-2/Edexcel-Set-C/MA/Parametric%20Equations%20MA.pdf" TargetMode="External" Id="rId315" /><Relationship Type="http://schemas.openxmlformats.org/officeDocument/2006/relationships/hyperlink" Target="https://mathsgenie.co.uk/a-level/maths/edexcel/a-level-pure-mathematics-8-5-modelling-with-parametric-equations" TargetMode="External" Id="rId316" /><Relationship Type="http://schemas.openxmlformats.org/officeDocument/2006/relationships/hyperlink" Target="https://assets.mathsgenie.co.uk/content/worksheets/a_level_maths/parametric-equations-37ac7b71.pdf" TargetMode="External" Id="rId317" /><Relationship Type="http://schemas.openxmlformats.org/officeDocument/2006/relationships/hyperlink" Target="https://assets.mathsgenie.co.uk/content/worksheets/a_level_maths/parametric-equations-ans-f9e3d49c.pdf" TargetMode="External" Id="rId318" /><Relationship Type="http://schemas.openxmlformats.org/officeDocument/2006/relationships/hyperlink" Target="https://pmt.physicsandmathstutor.com/download/Maths/A-level/Pure/Coordinate-Geometry-2/Edexcel-Set-C/QP/Parametric%20Equations%20QP.pdf" TargetMode="External" Id="rId319" /><Relationship Type="http://schemas.openxmlformats.org/officeDocument/2006/relationships/hyperlink" Target="https://pmt.physicsandmathstutor.com/download/Maths/A-level/Pure/Coordinate-Geometry-2/Edexcel-Set-C/MS/Parametric%20Equations%20MS.pdf" TargetMode="External" Id="rId320" /><Relationship Type="http://schemas.openxmlformats.org/officeDocument/2006/relationships/hyperlink" Target="https://pmt.physicsandmathstutor.com/download/Maths/A-level/Pure/Coordinate-Geometry-2/Edexcel-Set-C/MA/Parametric%20Equations%20MA.pdf" TargetMode="External" Id="rId321" /><Relationship Type="http://schemas.openxmlformats.org/officeDocument/2006/relationships/hyperlink" Target="https://mathsgenie.co.uk/a-level/maths/edexcel/as-pure-mathematics-8-2-factorial-notation" TargetMode="External" Id="rId322" /><Relationship Type="http://schemas.openxmlformats.org/officeDocument/2006/relationships/hyperlink" Target="https://assets.mathsgenie.co.uk/content/worksheets/as_level_maths/the-binomial-expansion-5c869b97.pdf" TargetMode="External" Id="rId323" /><Relationship Type="http://schemas.openxmlformats.org/officeDocument/2006/relationships/hyperlink" Target="https://assets.mathsgenie.co.uk/content/worksheets/as_level_maths/the-binomial-expansion-ans-2a6c8fcf.pdf" TargetMode="External" Id="rId324" /><Relationship Type="http://schemas.openxmlformats.org/officeDocument/2006/relationships/hyperlink" Target="https://pmt.physicsandmathstutor.com/download/Maths/A-level/Pure/Sequences-and-Series-1/Edexcel-Set-C/QP/Binomial%20Expansion%20QP.pdf" TargetMode="External" Id="rId325" /><Relationship Type="http://schemas.openxmlformats.org/officeDocument/2006/relationships/hyperlink" Target="https://pmt.physicsandmathstutor.com/download/Maths/A-level/Pure/Sequences-and-Series-1/Edexcel-Set-C/MS/Binomial%20Expansion%20MS.pdf" TargetMode="External" Id="rId326" /><Relationship Type="http://schemas.openxmlformats.org/officeDocument/2006/relationships/hyperlink" Target="https://pmt.physicsandmathstutor.com/download/Maths/A-level/Pure/Sequences-and-Series-1/Edexcel-Set-C/MA/Binomial%20Expansion%20MA.pdf" TargetMode="External" Id="rId327" /><Relationship Type="http://schemas.openxmlformats.org/officeDocument/2006/relationships/hyperlink" Target="https://mathsgenie.co.uk/a-level/maths/edexcel/as-pure-mathematics-8-3-the-binomial-expansion" TargetMode="External" Id="rId328" /><Relationship Type="http://schemas.openxmlformats.org/officeDocument/2006/relationships/hyperlink" Target="https://assets.mathsgenie.co.uk/content/worksheets/as_level_maths/the-binomial-expansion-5c869b97.pdf" TargetMode="External" Id="rId329" /><Relationship Type="http://schemas.openxmlformats.org/officeDocument/2006/relationships/hyperlink" Target="https://assets.mathsgenie.co.uk/content/worksheets/as_level_maths/the-binomial-expansion-ans-2a6c8fcf.pdf" TargetMode="External" Id="rId330" /><Relationship Type="http://schemas.openxmlformats.org/officeDocument/2006/relationships/hyperlink" Target="https://pmt.physicsandmathstutor.com/download/Maths/A-level/Pure/Sequences-and-Series-1/Edexcel-Set-C/QP/Binomial%20Expansion%20QP.pdf" TargetMode="External" Id="rId331" /><Relationship Type="http://schemas.openxmlformats.org/officeDocument/2006/relationships/hyperlink" Target="https://pmt.physicsandmathstutor.com/download/Maths/A-level/Pure/Sequences-and-Series-1/Edexcel-Set-C/MS/Binomial%20Expansion%20MS.pdf" TargetMode="External" Id="rId332" /><Relationship Type="http://schemas.openxmlformats.org/officeDocument/2006/relationships/hyperlink" Target="https://pmt.physicsandmathstutor.com/download/Maths/A-level/Pure/Sequences-and-Series-1/Edexcel-Set-C/MA/Binomial%20Expansion%20MA.pdf" TargetMode="External" Id="rId333" /><Relationship Type="http://schemas.openxmlformats.org/officeDocument/2006/relationships/hyperlink" Target="https://mathsgenie.co.uk/a-level/maths/edexcel/as-pure-mathematics-8-4-solving-binomial-problems" TargetMode="External" Id="rId334" /><Relationship Type="http://schemas.openxmlformats.org/officeDocument/2006/relationships/hyperlink" Target="https://assets.mathsgenie.co.uk/content/worksheets/as_level_maths/the-binomial-expansion-5c869b97.pdf" TargetMode="External" Id="rId335" /><Relationship Type="http://schemas.openxmlformats.org/officeDocument/2006/relationships/hyperlink" Target="https://assets.mathsgenie.co.uk/content/worksheets/as_level_maths/the-binomial-expansion-ans-2a6c8fcf.pdf" TargetMode="External" Id="rId336" /><Relationship Type="http://schemas.openxmlformats.org/officeDocument/2006/relationships/hyperlink" Target="https://pmt.physicsandmathstutor.com/download/Maths/A-level/Pure/Sequences-and-Series-1/Edexcel-Set-C/QP/Binomial%20Expansion%20QP.pdf" TargetMode="External" Id="rId337" /><Relationship Type="http://schemas.openxmlformats.org/officeDocument/2006/relationships/hyperlink" Target="https://pmt.physicsandmathstutor.com/download/Maths/A-level/Pure/Sequences-and-Series-1/Edexcel-Set-C/MS/Binomial%20Expansion%20MS.pdf" TargetMode="External" Id="rId338" /><Relationship Type="http://schemas.openxmlformats.org/officeDocument/2006/relationships/hyperlink" Target="https://pmt.physicsandmathstutor.com/download/Maths/A-level/Pure/Sequences-and-Series-1/Edexcel-Set-C/MA/Binomial%20Expansion%20MA.pdf" TargetMode="External" Id="rId339" /><Relationship Type="http://schemas.openxmlformats.org/officeDocument/2006/relationships/hyperlink" Target="https://mathsgenie.co.uk/a-level/maths/edexcel/as-pure-mathematics-8-5-binomial-estimation" TargetMode="External" Id="rId340" /><Relationship Type="http://schemas.openxmlformats.org/officeDocument/2006/relationships/hyperlink" Target="https://assets.mathsgenie.co.uk/content/worksheets/as_level_maths/the-binomial-expansion-5c869b97.pdf" TargetMode="External" Id="rId341" /><Relationship Type="http://schemas.openxmlformats.org/officeDocument/2006/relationships/hyperlink" Target="https://assets.mathsgenie.co.uk/content/worksheets/as_level_maths/the-binomial-expansion-ans-2a6c8fcf.pdf" TargetMode="External" Id="rId342" /><Relationship Type="http://schemas.openxmlformats.org/officeDocument/2006/relationships/hyperlink" Target="https://pmt.physicsandmathstutor.com/download/Maths/A-level/Pure/Sequences-and-Series-1/Edexcel-Set-C/QP/Binomial%20Expansion%20QP.pdf" TargetMode="External" Id="rId343" /><Relationship Type="http://schemas.openxmlformats.org/officeDocument/2006/relationships/hyperlink" Target="https://pmt.physicsandmathstutor.com/download/Maths/A-level/Pure/Sequences-and-Series-1/Edexcel-Set-C/MS/Binomial%20Expansion%20MS.pdf" TargetMode="External" Id="rId344" /><Relationship Type="http://schemas.openxmlformats.org/officeDocument/2006/relationships/hyperlink" Target="https://pmt.physicsandmathstutor.com/download/Maths/A-level/Pure/Sequences-and-Series-1/Edexcel-Set-C/MA/Binomial%20Expansion%20MA.pdf" TargetMode="External" Id="rId345" /><Relationship Type="http://schemas.openxmlformats.org/officeDocument/2006/relationships/hyperlink" Target="https://mathsgenie.co.uk/a-level/maths/edexcel/a-level-pure-mathematics-4-1-expanding-1-x-n" TargetMode="External" Id="rId346" /><Relationship Type="http://schemas.openxmlformats.org/officeDocument/2006/relationships/hyperlink" Target="https://assets.mathsgenie.co.uk/content/worksheets/a_level_maths/year-2-binomial-expansion-34e0909e.pdf" TargetMode="External" Id="rId347" /><Relationship Type="http://schemas.openxmlformats.org/officeDocument/2006/relationships/hyperlink" Target="https://assets.mathsgenie.co.uk/content/worksheets/a_level_maths/year-2-binomial-expansion-ans-28b7e3e0.pdf" TargetMode="External" Id="rId348" /><Relationship Type="http://schemas.openxmlformats.org/officeDocument/2006/relationships/hyperlink" Target="https://pmt.physicsandmathstutor.com/download/Maths/A-level/Pure/Sequences-and-Series-2/Edexcel-Set-C/QP/Binomial%20Expansion%20QP.pdf" TargetMode="External" Id="rId349" /><Relationship Type="http://schemas.openxmlformats.org/officeDocument/2006/relationships/hyperlink" Target="https://pmt.physicsandmathstutor.com/download/Maths/A-level/Pure/Sequences-and-Series-2/Edexcel-Set-C/MS/Binomial%20Expansion%20MS.pdf" TargetMode="External" Id="rId350" /><Relationship Type="http://schemas.openxmlformats.org/officeDocument/2006/relationships/hyperlink" Target="https://pmt.physicsandmathstutor.com/download/Maths/A-level/Pure/Sequences-and-Series-2/Edexcel-Set-C/MA/Binomial%20Expansion%20MA.pdf" TargetMode="External" Id="rId351" /><Relationship Type="http://schemas.openxmlformats.org/officeDocument/2006/relationships/hyperlink" Target="https://mathsgenie.co.uk/a-level/maths/edexcel/a-level-pure-mathematics-4-2-expanding-a-bx-n" TargetMode="External" Id="rId352" /><Relationship Type="http://schemas.openxmlformats.org/officeDocument/2006/relationships/hyperlink" Target="https://assets.mathsgenie.co.uk/content/worksheets/a_level_maths/year-2-binomial-expansion-34e0909e.pdf" TargetMode="External" Id="rId353" /><Relationship Type="http://schemas.openxmlformats.org/officeDocument/2006/relationships/hyperlink" Target="https://assets.mathsgenie.co.uk/content/worksheets/a_level_maths/year-2-binomial-expansion-ans-28b7e3e0.pdf" TargetMode="External" Id="rId354" /><Relationship Type="http://schemas.openxmlformats.org/officeDocument/2006/relationships/hyperlink" Target="https://pmt.physicsandmathstutor.com/download/Maths/A-level/Pure/Sequences-and-Series-2/Edexcel-Set-C/QP/Binomial%20Expansion%20QP.pdf" TargetMode="External" Id="rId355" /><Relationship Type="http://schemas.openxmlformats.org/officeDocument/2006/relationships/hyperlink" Target="https://pmt.physicsandmathstutor.com/download/Maths/A-level/Pure/Sequences-and-Series-2/Edexcel-Set-C/MS/Binomial%20Expansion%20MS.pdf" TargetMode="External" Id="rId356" /><Relationship Type="http://schemas.openxmlformats.org/officeDocument/2006/relationships/hyperlink" Target="https://pmt.physicsandmathstutor.com/download/Maths/A-level/Pure/Sequences-and-Series-2/Edexcel-Set-C/MA/Binomial%20Expansion%20MA.pdf" TargetMode="External" Id="rId357" /><Relationship Type="http://schemas.openxmlformats.org/officeDocument/2006/relationships/hyperlink" Target="https://mathsgenie.co.uk/a-level/maths/edexcel/a-level-pure-mathematics-4-3-using-partial-fractions" TargetMode="External" Id="rId358" /><Relationship Type="http://schemas.openxmlformats.org/officeDocument/2006/relationships/hyperlink" Target="https://assets.mathsgenie.co.uk/content/worksheets/a_level_maths/year-2-binomial-expansion-34e0909e.pdf" TargetMode="External" Id="rId359" /><Relationship Type="http://schemas.openxmlformats.org/officeDocument/2006/relationships/hyperlink" Target="https://assets.mathsgenie.co.uk/content/worksheets/a_level_maths/year-2-binomial-expansion-ans-28b7e3e0.pdf" TargetMode="External" Id="rId360" /><Relationship Type="http://schemas.openxmlformats.org/officeDocument/2006/relationships/hyperlink" Target="https://pmt.physicsandmathstutor.com/download/Maths/A-level/Pure/Sequences-and-Series-2/Edexcel-Set-C/QP/Binomial%20Expansion%20QP.pdf" TargetMode="External" Id="rId361" /><Relationship Type="http://schemas.openxmlformats.org/officeDocument/2006/relationships/hyperlink" Target="https://pmt.physicsandmathstutor.com/download/Maths/A-level/Pure/Sequences-and-Series-2/Edexcel-Set-C/MS/Binomial%20Expansion%20MS.pdf" TargetMode="External" Id="rId362" /><Relationship Type="http://schemas.openxmlformats.org/officeDocument/2006/relationships/hyperlink" Target="https://pmt.physicsandmathstutor.com/download/Maths/A-level/Pure/Sequences-and-Series-2/Edexcel-Set-C/MA/Binomial%20Expansion%20MA.pdf" TargetMode="External" Id="rId363" /><Relationship Type="http://schemas.openxmlformats.org/officeDocument/2006/relationships/hyperlink" Target="https://mathsgenie.co.uk/a-level/maths/edexcel/a-level-pure-mathematics-3-7-recurrence-relations" TargetMode="External" Id="rId364" /><Relationship Type="http://schemas.openxmlformats.org/officeDocument/2006/relationships/hyperlink" Target="https://assets.mathsgenie.co.uk/content/worksheets/a_level_maths/sequences-and-series-91a49f19.pdf" TargetMode="External" Id="rId365" /><Relationship Type="http://schemas.openxmlformats.org/officeDocument/2006/relationships/hyperlink" Target="https://assets.mathsgenie.co.uk/content/worksheets/a_level_maths/sequences-and-series-ans-1530136d.pdf" TargetMode="External" Id="rId366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367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368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369" /><Relationship Type="http://schemas.openxmlformats.org/officeDocument/2006/relationships/hyperlink" Target="https://mathsgenie.co.uk/a-level/maths/edexcel/a-level-pure-mathematics-3-7-recurrence-relations" TargetMode="External" Id="rId370" /><Relationship Type="http://schemas.openxmlformats.org/officeDocument/2006/relationships/hyperlink" Target="https://assets.mathsgenie.co.uk/content/worksheets/a_level_maths/sequences-and-series-91a49f19.pdf" TargetMode="External" Id="rId371" /><Relationship Type="http://schemas.openxmlformats.org/officeDocument/2006/relationships/hyperlink" Target="https://assets.mathsgenie.co.uk/content/worksheets/a_level_maths/sequences-and-series-ans-1530136d.pdf" TargetMode="External" Id="rId372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373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374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375" /><Relationship Type="http://schemas.openxmlformats.org/officeDocument/2006/relationships/hyperlink" Target="https://mathsgenie.co.uk/a-level/maths/edexcel/a-level-pure-mathematics-3-6-sigma-notation" TargetMode="External" Id="rId376" /><Relationship Type="http://schemas.openxmlformats.org/officeDocument/2006/relationships/hyperlink" Target="https://assets.mathsgenie.co.uk/content/worksheets/a_level_maths/sequences-and-series-91a49f19.pdf" TargetMode="External" Id="rId377" /><Relationship Type="http://schemas.openxmlformats.org/officeDocument/2006/relationships/hyperlink" Target="https://assets.mathsgenie.co.uk/content/worksheets/a_level_maths/sequences-and-series-ans-1530136d.pdf" TargetMode="External" Id="rId378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379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380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381" /><Relationship Type="http://schemas.openxmlformats.org/officeDocument/2006/relationships/hyperlink" Target="https://mathsgenie.co.uk/a-level/maths/edexcel/a-level-pure-mathematics-3-1-arithmetic-sequences" TargetMode="External" Id="rId382" /><Relationship Type="http://schemas.openxmlformats.org/officeDocument/2006/relationships/hyperlink" Target="https://assets.mathsgenie.co.uk/content/worksheets/a_level_maths/sequences-and-series-91a49f19.pdf" TargetMode="External" Id="rId383" /><Relationship Type="http://schemas.openxmlformats.org/officeDocument/2006/relationships/hyperlink" Target="https://assets.mathsgenie.co.uk/content/worksheets/a_level_maths/sequences-and-series-ans-1530136d.pdf" TargetMode="External" Id="rId384" /><Relationship Type="http://schemas.openxmlformats.org/officeDocument/2006/relationships/hyperlink" Target="https://pmt.physicsandmathstutor.com/download/Maths/A-level/Pure/Sequences-and-Series-2/Edexcel-Set-C/QP/Arithmetic%20Sequences%20QP.pdf" TargetMode="External" Id="rId385" /><Relationship Type="http://schemas.openxmlformats.org/officeDocument/2006/relationships/hyperlink" Target="https://pmt.physicsandmathstutor.com/download/Maths/A-level/Pure/Sequences-and-Series-2/Edexcel-Set-C/MS/Arithmetic%20Sequences%20MS.pdf" TargetMode="External" Id="rId386" /><Relationship Type="http://schemas.openxmlformats.org/officeDocument/2006/relationships/hyperlink" Target="https://pmt.physicsandmathstutor.com/download/Maths/A-level/Pure/Sequences-and-Series-2/Edexcel-Set-C/MA/Arithmetic%20Sequences%20MA.pdf" TargetMode="External" Id="rId387" /><Relationship Type="http://schemas.openxmlformats.org/officeDocument/2006/relationships/hyperlink" Target="https://mathsgenie.co.uk/a-level/maths/edexcel/a-level-pure-mathematics-3-2-arithmetic-series" TargetMode="External" Id="rId388" /><Relationship Type="http://schemas.openxmlformats.org/officeDocument/2006/relationships/hyperlink" Target="https://assets.mathsgenie.co.uk/content/worksheets/a_level_maths/sequences-and-series-91a49f19.pdf" TargetMode="External" Id="rId389" /><Relationship Type="http://schemas.openxmlformats.org/officeDocument/2006/relationships/hyperlink" Target="https://assets.mathsgenie.co.uk/content/worksheets/a_level_maths/sequences-and-series-ans-1530136d.pdf" TargetMode="External" Id="rId390" /><Relationship Type="http://schemas.openxmlformats.org/officeDocument/2006/relationships/hyperlink" Target="https://pmt.physicsandmathstutor.com/download/Maths/A-level/Pure/Sequences-and-Series-2/Edexcel-Set-C/QP/Arithmetic%20Sequences%20QP.pdf" TargetMode="External" Id="rId391" /><Relationship Type="http://schemas.openxmlformats.org/officeDocument/2006/relationships/hyperlink" Target="https://pmt.physicsandmathstutor.com/download/Maths/A-level/Pure/Sequences-and-Series-2/Edexcel-Set-C/MS/Arithmetic%20Sequences%20MS.pdf" TargetMode="External" Id="rId392" /><Relationship Type="http://schemas.openxmlformats.org/officeDocument/2006/relationships/hyperlink" Target="https://pmt.physicsandmathstutor.com/download/Maths/A-level/Pure/Sequences-and-Series-2/Edexcel-Set-C/MA/Arithmetic%20Sequences%20MA.pdf" TargetMode="External" Id="rId393" /><Relationship Type="http://schemas.openxmlformats.org/officeDocument/2006/relationships/hyperlink" Target="https://mathsgenie.co.uk/a-level/maths/edexcel/a-level-pure-mathematics-3-3-geometric-sequences" TargetMode="External" Id="rId394" /><Relationship Type="http://schemas.openxmlformats.org/officeDocument/2006/relationships/hyperlink" Target="https://assets.mathsgenie.co.uk/content/worksheets/a_level_maths/sequences-and-series-91a49f19.pdf" TargetMode="External" Id="rId395" /><Relationship Type="http://schemas.openxmlformats.org/officeDocument/2006/relationships/hyperlink" Target="https://assets.mathsgenie.co.uk/content/worksheets/a_level_maths/sequences-and-series-ans-1530136d.pdf" TargetMode="External" Id="rId396" /><Relationship Type="http://schemas.openxmlformats.org/officeDocument/2006/relationships/hyperlink" Target="https://pmt.physicsandmathstutor.com/download/Maths/A-level/Pure/Sequences-and-Series-2/Edexcel-Set-C/QP/Geometric%20Series%20QP.pdf" TargetMode="External" Id="rId397" /><Relationship Type="http://schemas.openxmlformats.org/officeDocument/2006/relationships/hyperlink" Target="https://pmt.physicsandmathstutor.com/download/Maths/A-level/Pure/Sequences-and-Series-2/Edexcel-Set-C/MS/Geometric%20Series%20MS.pdf" TargetMode="External" Id="rId398" /><Relationship Type="http://schemas.openxmlformats.org/officeDocument/2006/relationships/hyperlink" Target="https://pmt.physicsandmathstutor.com/download/Maths/A-level/Pure/Sequences-and-Series-2/Edexcel-Set-C/MA/Geometric%20Series%20MA.pdf" TargetMode="External" Id="rId399" /><Relationship Type="http://schemas.openxmlformats.org/officeDocument/2006/relationships/hyperlink" Target="https://mathsgenie.co.uk/a-level/maths/edexcel/a-level-pure-mathematics-3-4-geometric-series" TargetMode="External" Id="rId400" /><Relationship Type="http://schemas.openxmlformats.org/officeDocument/2006/relationships/hyperlink" Target="https://assets.mathsgenie.co.uk/content/worksheets/a_level_maths/sequences-and-series-91a49f19.pdf" TargetMode="External" Id="rId401" /><Relationship Type="http://schemas.openxmlformats.org/officeDocument/2006/relationships/hyperlink" Target="https://assets.mathsgenie.co.uk/content/worksheets/a_level_maths/sequences-and-series-ans-1530136d.pdf" TargetMode="External" Id="rId402" /><Relationship Type="http://schemas.openxmlformats.org/officeDocument/2006/relationships/hyperlink" Target="https://pmt.physicsandmathstutor.com/download/Maths/A-level/Pure/Sequences-and-Series-2/Edexcel-Set-C/QP/Geometric%20Series%20QP.pdf" TargetMode="External" Id="rId403" /><Relationship Type="http://schemas.openxmlformats.org/officeDocument/2006/relationships/hyperlink" Target="https://pmt.physicsandmathstutor.com/download/Maths/A-level/Pure/Sequences-and-Series-2/Edexcel-Set-C/MS/Geometric%20Series%20MS.pdf" TargetMode="External" Id="rId404" /><Relationship Type="http://schemas.openxmlformats.org/officeDocument/2006/relationships/hyperlink" Target="https://pmt.physicsandmathstutor.com/download/Maths/A-level/Pure/Sequences-and-Series-2/Edexcel-Set-C/MA/Geometric%20Series%20MA.pdf" TargetMode="External" Id="rId405" /><Relationship Type="http://schemas.openxmlformats.org/officeDocument/2006/relationships/hyperlink" Target="https://mathsgenie.co.uk/a-level/maths/edexcel/a-level-pure-mathematics-3-5-sum-to-infinity" TargetMode="External" Id="rId406" /><Relationship Type="http://schemas.openxmlformats.org/officeDocument/2006/relationships/hyperlink" Target="https://assets.mathsgenie.co.uk/content/worksheets/a_level_maths/sequences-and-series-91a49f19.pdf" TargetMode="External" Id="rId407" /><Relationship Type="http://schemas.openxmlformats.org/officeDocument/2006/relationships/hyperlink" Target="https://assets.mathsgenie.co.uk/content/worksheets/a_level_maths/sequences-and-series-ans-1530136d.pdf" TargetMode="External" Id="rId408" /><Relationship Type="http://schemas.openxmlformats.org/officeDocument/2006/relationships/hyperlink" Target="https://pmt.physicsandmathstutor.com/download/Maths/A-level/Pure/Sequences-and-Series-2/Edexcel-Set-C/QP/Geometric%20Series%20QP.pdf" TargetMode="External" Id="rId409" /><Relationship Type="http://schemas.openxmlformats.org/officeDocument/2006/relationships/hyperlink" Target="https://pmt.physicsandmathstutor.com/download/Maths/A-level/Pure/Sequences-and-Series-2/Edexcel-Set-C/MS/Geometric%20Series%20MS.pdf" TargetMode="External" Id="rId410" /><Relationship Type="http://schemas.openxmlformats.org/officeDocument/2006/relationships/hyperlink" Target="https://pmt.physicsandmathstutor.com/download/Maths/A-level/Pure/Sequences-and-Series-2/Edexcel-Set-C/MA/Geometric%20Series%20MA.pdf" TargetMode="External" Id="rId411" /><Relationship Type="http://schemas.openxmlformats.org/officeDocument/2006/relationships/hyperlink" Target="https://mathsgenie.co.uk/a-level/maths/edexcel/a-level-pure-mathematics-3-8-modelling-with-series" TargetMode="External" Id="rId412" /><Relationship Type="http://schemas.openxmlformats.org/officeDocument/2006/relationships/hyperlink" Target="https://assets.mathsgenie.co.uk/content/worksheets/a_level_maths/sequences-and-series-91a49f19.pdf" TargetMode="External" Id="rId413" /><Relationship Type="http://schemas.openxmlformats.org/officeDocument/2006/relationships/hyperlink" Target="https://assets.mathsgenie.co.uk/content/worksheets/a_level_maths/sequences-and-series-ans-1530136d.pdf" TargetMode="External" Id="rId414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415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416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417" /><Relationship Type="http://schemas.openxmlformats.org/officeDocument/2006/relationships/hyperlink" Target="https://mathsgenie.co.uk/a-level/maths/edexcel/as-pure-mathematics-9-1-the-cosine-rule" TargetMode="External" Id="rId418" /><Relationship Type="http://schemas.openxmlformats.org/officeDocument/2006/relationships/hyperlink" Target="https://assets.mathsgenie.co.uk/content/worksheets/a_level_maths/trigonometric-ratios-eaa8fc86.pdf" TargetMode="External" Id="rId419" /><Relationship Type="http://schemas.openxmlformats.org/officeDocument/2006/relationships/hyperlink" Target="https://assets.mathsgenie.co.uk/content/worksheets/a_level_maths/trigonometric-ratios-ans-8276d4dd.pdf" TargetMode="External" Id="rId420" /><Relationship Type="http://schemas.openxmlformats.org/officeDocument/2006/relationships/hyperlink" Target="https://pmt.physicsandmathstutor.com/download/Maths/A-level/Pure/Trigonometry-1/Edexcel-Set-C/QP/Sine%20and%20Cosine%20Rule%20QP.pdf" TargetMode="External" Id="rId421" /><Relationship Type="http://schemas.openxmlformats.org/officeDocument/2006/relationships/hyperlink" Target="https://pmt.physicsandmathstutor.com/download/Maths/A-level/Pure/Trigonometry-1/Edexcel-Set-C/MS/Sine%20and%20Cosine%20Rule%20MS.pdf" TargetMode="External" Id="rId422" /><Relationship Type="http://schemas.openxmlformats.org/officeDocument/2006/relationships/hyperlink" Target="https://pmt.physicsandmathstutor.com/download/Maths/A-level/Pure/Trigonometry-1/Edexcel-Set-C/MA/Sine%20and%20Cosine%20Rule%20MA.pdf" TargetMode="External" Id="rId423" /><Relationship Type="http://schemas.openxmlformats.org/officeDocument/2006/relationships/hyperlink" Target="https://mathsgenie.co.uk/a-level/maths/edexcel/as-pure-mathematics-9-2-the-sine-rule" TargetMode="External" Id="rId424" /><Relationship Type="http://schemas.openxmlformats.org/officeDocument/2006/relationships/hyperlink" Target="https://assets.mathsgenie.co.uk/content/worksheets/a_level_maths/trigonometric-ratios-eaa8fc86.pdf" TargetMode="External" Id="rId425" /><Relationship Type="http://schemas.openxmlformats.org/officeDocument/2006/relationships/hyperlink" Target="https://assets.mathsgenie.co.uk/content/worksheets/a_level_maths/trigonometric-ratios-ans-8276d4dd.pdf" TargetMode="External" Id="rId426" /><Relationship Type="http://schemas.openxmlformats.org/officeDocument/2006/relationships/hyperlink" Target="https://pmt.physicsandmathstutor.com/download/Maths/A-level/Pure/Trigonometry-1/Edexcel-Set-C/QP/Sine%20and%20Cosine%20Rule%20QP.pdf" TargetMode="External" Id="rId427" /><Relationship Type="http://schemas.openxmlformats.org/officeDocument/2006/relationships/hyperlink" Target="https://pmt.physicsandmathstutor.com/download/Maths/A-level/Pure/Trigonometry-1/Edexcel-Set-C/MS/Sine%20and%20Cosine%20Rule%20MS.pdf" TargetMode="External" Id="rId428" /><Relationship Type="http://schemas.openxmlformats.org/officeDocument/2006/relationships/hyperlink" Target="https://pmt.physicsandmathstutor.com/download/Maths/A-level/Pure/Trigonometry-1/Edexcel-Set-C/MA/Sine%20and%20Cosine%20Rule%20MA.pdf" TargetMode="External" Id="rId429" /><Relationship Type="http://schemas.openxmlformats.org/officeDocument/2006/relationships/hyperlink" Target="https://mathsgenie.co.uk/a-level/maths/edexcel/as-pure-mathematics-9-3-areas-of-triangles" TargetMode="External" Id="rId430" /><Relationship Type="http://schemas.openxmlformats.org/officeDocument/2006/relationships/hyperlink" Target="https://assets.mathsgenie.co.uk/content/worksheets/a_level_maths/trigonometric-ratios-eaa8fc86.pdf" TargetMode="External" Id="rId431" /><Relationship Type="http://schemas.openxmlformats.org/officeDocument/2006/relationships/hyperlink" Target="https://assets.mathsgenie.co.uk/content/worksheets/a_level_maths/trigonometric-ratios-ans-8276d4dd.pdf" TargetMode="External" Id="rId432" /><Relationship Type="http://schemas.openxmlformats.org/officeDocument/2006/relationships/hyperlink" Target="https://pmt.physicsandmathstutor.com/download/Maths/A-level/Pure/Trigonometry-1/Edexcel-Set-C/QP/Sine%20and%20Cosine%20Rule%20QP.pdf" TargetMode="External" Id="rId433" /><Relationship Type="http://schemas.openxmlformats.org/officeDocument/2006/relationships/hyperlink" Target="https://pmt.physicsandmathstutor.com/download/Maths/A-level/Pure/Trigonometry-1/Edexcel-Set-C/MS/Sine%20and%20Cosine%20Rule%20MS.pdf" TargetMode="External" Id="rId434" /><Relationship Type="http://schemas.openxmlformats.org/officeDocument/2006/relationships/hyperlink" Target="https://pmt.physicsandmathstutor.com/download/Maths/A-level/Pure/Trigonometry-1/Edexcel-Set-C/MA/Sine%20and%20Cosine%20Rule%20MA.pdf" TargetMode="External" Id="rId435" /><Relationship Type="http://schemas.openxmlformats.org/officeDocument/2006/relationships/hyperlink" Target="https://mathsgenie.co.uk/a-level/maths/edexcel/as-pure-mathematics-9-4-solving-triangle-problems" TargetMode="External" Id="rId436" /><Relationship Type="http://schemas.openxmlformats.org/officeDocument/2006/relationships/hyperlink" Target="https://assets.mathsgenie.co.uk/content/worksheets/a_level_maths/trigonometric-ratios-eaa8fc86.pdf" TargetMode="External" Id="rId437" /><Relationship Type="http://schemas.openxmlformats.org/officeDocument/2006/relationships/hyperlink" Target="https://assets.mathsgenie.co.uk/content/worksheets/a_level_maths/trigonometric-ratios-ans-8276d4dd.pdf" TargetMode="External" Id="rId438" /><Relationship Type="http://schemas.openxmlformats.org/officeDocument/2006/relationships/hyperlink" Target="https://pmt.physicsandmathstutor.com/download/Maths/A-level/Pure/Trigonometry-1/Edexcel-Set-C/QP/Sine%20and%20Cosine%20Rule%20QP.pdf" TargetMode="External" Id="rId439" /><Relationship Type="http://schemas.openxmlformats.org/officeDocument/2006/relationships/hyperlink" Target="https://pmt.physicsandmathstutor.com/download/Maths/A-level/Pure/Trigonometry-1/Edexcel-Set-C/MS/Sine%20and%20Cosine%20Rule%20MS.pdf" TargetMode="External" Id="rId440" /><Relationship Type="http://schemas.openxmlformats.org/officeDocument/2006/relationships/hyperlink" Target="https://pmt.physicsandmathstutor.com/download/Maths/A-level/Pure/Trigonometry-1/Edexcel-Set-C/MA/Sine%20and%20Cosine%20Rule%20MA.pdf" TargetMode="External" Id="rId441" /><Relationship Type="http://schemas.openxmlformats.org/officeDocument/2006/relationships/hyperlink" Target="https://mathsgenie.co.uk/a-level/maths/edexcel/as-pure-mathematics-10-1-angles-in-all-four-quadrants" TargetMode="External" Id="rId442" /><Relationship Type="http://schemas.openxmlformats.org/officeDocument/2006/relationships/hyperlink" Target="https://assets.mathsgenie.co.uk/content/worksheets/as_level_maths/trigonometric-identities-and-equations-ffd64a6d.pdf" TargetMode="External" Id="rId443" /><Relationship Type="http://schemas.openxmlformats.org/officeDocument/2006/relationships/hyperlink" Target="https://assets.mathsgenie.co.uk/content/worksheets/as_level_maths/trigonometric-identities-and-equations-ans-1ae76cee.pdf" TargetMode="External" Id="rId444" /><Relationship Type="http://schemas.openxmlformats.org/officeDocument/2006/relationships/hyperlink" Target="https://pmt.physicsandmathstutor.com/download/Maths/A-level/Pure/Trigonometry-1/Edexcel-Set-C/QP/Trigonometric%20Equations%20QP.pdf" TargetMode="External" Id="rId445" /><Relationship Type="http://schemas.openxmlformats.org/officeDocument/2006/relationships/hyperlink" Target="https://pmt.physicsandmathstutor.com/download/Maths/A-level/Pure/Trigonometry-1/Edexcel-Set-C/MS/Trigonometric%20Equations%20MS.pdf" TargetMode="External" Id="rId446" /><Relationship Type="http://schemas.openxmlformats.org/officeDocument/2006/relationships/hyperlink" Target="https://pmt.physicsandmathstutor.com/download/Maths/A-level/Pure/Trigonometry-1/Edexcel-Set-C/MA/Trigonometric%20Equations%20MA.pdf" TargetMode="External" Id="rId447" /><Relationship Type="http://schemas.openxmlformats.org/officeDocument/2006/relationships/hyperlink" Target="https://mathsgenie.co.uk/a-level/maths/edexcel/a-level-pure-mathematics-5-1-radian-measure" TargetMode="External" Id="rId448" /><Relationship Type="http://schemas.openxmlformats.org/officeDocument/2006/relationships/hyperlink" Target="https://assets.mathsgenie.co.uk/content/worksheets/a_level_maths/radians-2a6e7bab.pdf" TargetMode="External" Id="rId449" /><Relationship Type="http://schemas.openxmlformats.org/officeDocument/2006/relationships/hyperlink" Target="https://assets.mathsgenie.co.uk/content/worksheets/a_level_maths/radians-ans-c0f95f99.pdf" TargetMode="External" Id="rId450" /><Relationship Type="http://schemas.openxmlformats.org/officeDocument/2006/relationships/hyperlink" Target="https://pmt.physicsandmathstutor.com/download/Maths/A-level/Pure/Coordinate-Geometry-2/Edexcel-Set-C/QP/Arc%20Length%20and%20Sector%20Area%20QP.pdf" TargetMode="External" Id="rId451" /><Relationship Type="http://schemas.openxmlformats.org/officeDocument/2006/relationships/hyperlink" Target="https://pmt.physicsandmathstutor.com/download/Maths/A-level/Pure/Coordinate-Geometry-2/Edexcel-Set-C/MS/Arc%20Length%20and%20Sector%20Area%20MS.pdf" TargetMode="External" Id="rId452" /><Relationship Type="http://schemas.openxmlformats.org/officeDocument/2006/relationships/hyperlink" Target="https://pmt.physicsandmathstutor.com/download/Maths/A-level/Pure/Coordinate-Geometry-2/Edexcel-Set-C/MA/Arc%20Length%20and%20Sector%20Area%20MA.pdf" TargetMode="External" Id="rId453" /><Relationship Type="http://schemas.openxmlformats.org/officeDocument/2006/relationships/hyperlink" Target="https://mathsgenie.co.uk/a-level/maths/edexcel/a-level-pure-mathematics-5-2-arc-length" TargetMode="External" Id="rId454" /><Relationship Type="http://schemas.openxmlformats.org/officeDocument/2006/relationships/hyperlink" Target="https://assets.mathsgenie.co.uk/content/worksheets/a_level_maths/radians-2a6e7bab.pdf" TargetMode="External" Id="rId455" /><Relationship Type="http://schemas.openxmlformats.org/officeDocument/2006/relationships/hyperlink" Target="https://assets.mathsgenie.co.uk/content/worksheets/a_level_maths/radians-ans-c0f95f99.pdf" TargetMode="External" Id="rId456" /><Relationship Type="http://schemas.openxmlformats.org/officeDocument/2006/relationships/hyperlink" Target="https://pmt.physicsandmathstutor.com/download/Maths/A-level/Pure/Coordinate-Geometry-2/Edexcel-Set-C/QP/Arc%20Length%20and%20Sector%20Area%20QP.pdf" TargetMode="External" Id="rId457" /><Relationship Type="http://schemas.openxmlformats.org/officeDocument/2006/relationships/hyperlink" Target="https://pmt.physicsandmathstutor.com/download/Maths/A-level/Pure/Coordinate-Geometry-2/Edexcel-Set-C/MS/Arc%20Length%20and%20Sector%20Area%20MS.pdf" TargetMode="External" Id="rId458" /><Relationship Type="http://schemas.openxmlformats.org/officeDocument/2006/relationships/hyperlink" Target="https://pmt.physicsandmathstutor.com/download/Maths/A-level/Pure/Coordinate-Geometry-2/Edexcel-Set-C/MA/Arc%20Length%20and%20Sector%20Area%20MA.pdf" TargetMode="External" Id="rId459" /><Relationship Type="http://schemas.openxmlformats.org/officeDocument/2006/relationships/hyperlink" Target="https://mathsgenie.co.uk/a-level/maths/edexcel/a-level-pure-mathematics-5-3-areas-of-sectors-and-segments" TargetMode="External" Id="rId460" /><Relationship Type="http://schemas.openxmlformats.org/officeDocument/2006/relationships/hyperlink" Target="https://assets.mathsgenie.co.uk/content/worksheets/a_level_maths/radians-2a6e7bab.pdf" TargetMode="External" Id="rId461" /><Relationship Type="http://schemas.openxmlformats.org/officeDocument/2006/relationships/hyperlink" Target="https://assets.mathsgenie.co.uk/content/worksheets/a_level_maths/radians-ans-c0f95f99.pdf" TargetMode="External" Id="rId462" /><Relationship Type="http://schemas.openxmlformats.org/officeDocument/2006/relationships/hyperlink" Target="https://pmt.physicsandmathstutor.com/download/Maths/A-level/Pure/Coordinate-Geometry-2/Edexcel-Set-C/QP/Arc%20Length%20and%20Sector%20Area%20QP.pdf" TargetMode="External" Id="rId463" /><Relationship Type="http://schemas.openxmlformats.org/officeDocument/2006/relationships/hyperlink" Target="https://pmt.physicsandmathstutor.com/download/Maths/A-level/Pure/Coordinate-Geometry-2/Edexcel-Set-C/MS/Arc%20Length%20and%20Sector%20Area%20MS.pdf" TargetMode="External" Id="rId464" /><Relationship Type="http://schemas.openxmlformats.org/officeDocument/2006/relationships/hyperlink" Target="https://pmt.physicsandmathstutor.com/download/Maths/A-level/Pure/Coordinate-Geometry-2/Edexcel-Set-C/MA/Arc%20Length%20and%20Sector%20Area%20MA.pdf" TargetMode="External" Id="rId465" /><Relationship Type="http://schemas.openxmlformats.org/officeDocument/2006/relationships/hyperlink" Target="https://mathsgenie.co.uk/a-level/maths/edexcel/a-level-pure-mathematics-5-5-small-angle-approximations" TargetMode="External" Id="rId466" /><Relationship Type="http://schemas.openxmlformats.org/officeDocument/2006/relationships/hyperlink" Target="https://assets.mathsgenie.co.uk/content/worksheets/a_level_maths/radians-2a6e7bab.pdf" TargetMode="External" Id="rId467" /><Relationship Type="http://schemas.openxmlformats.org/officeDocument/2006/relationships/hyperlink" Target="https://assets.mathsgenie.co.uk/content/worksheets/a_level_maths/radians-ans-c0f95f99.pdf" TargetMode="External" Id="rId468" /><Relationship Type="http://schemas.openxmlformats.org/officeDocument/2006/relationships/hyperlink" Target="https://pmt.physicsandmathstutor.com/download/Maths/A-level/Pure/Trigonometry-2/Edexcel-Set-C/QP/Small%20Angle%20Approximation%20QP.pdf" TargetMode="External" Id="rId469" /><Relationship Type="http://schemas.openxmlformats.org/officeDocument/2006/relationships/hyperlink" Target="https://pmt.physicsandmathstutor.com/download/Maths/A-level/Pure/Trigonometry-2/Edexcel-Set-C/MS/Small%20Angle%20Approximation%20MS.pdf" TargetMode="External" Id="rId470" /><Relationship Type="http://schemas.openxmlformats.org/officeDocument/2006/relationships/hyperlink" Target="https://pmt.physicsandmathstutor.com/download/Maths/A-level/Pure/Trigonometry-2/Edexcel-Set-C/MA/Small%20Angle%20Approximation%20MA.pdf" TargetMode="External" Id="rId471" /><Relationship Type="http://schemas.openxmlformats.org/officeDocument/2006/relationships/hyperlink" Target="https://mathsgenie.co.uk/a-level/maths/edexcel/as-pure-mathematics-9-5-graphs-of-sine-cosine-and-tangent" TargetMode="External" Id="rId472" /><Relationship Type="http://schemas.openxmlformats.org/officeDocument/2006/relationships/hyperlink" Target="https://assets.mathsgenie.co.uk/content/worksheets/a_level_maths/trigonometric-ratios-eaa8fc86.pdf" TargetMode="External" Id="rId473" /><Relationship Type="http://schemas.openxmlformats.org/officeDocument/2006/relationships/hyperlink" Target="https://assets.mathsgenie.co.uk/content/worksheets/a_level_maths/trigonometric-ratios-ans-8276d4dd.pdf" TargetMode="External" Id="rId474" /><Relationship Type="http://schemas.openxmlformats.org/officeDocument/2006/relationships/hyperlink" Target="https://mathsgenie.co.uk/a-level/maths/edexcel/as-pure-mathematics-9-6-transforming-trigonometric-graphs" TargetMode="External" Id="rId475" /><Relationship Type="http://schemas.openxmlformats.org/officeDocument/2006/relationships/hyperlink" Target="https://assets.mathsgenie.co.uk/content/worksheets/a_level_maths/trigonometric-ratios-eaa8fc86.pdf" TargetMode="External" Id="rId476" /><Relationship Type="http://schemas.openxmlformats.org/officeDocument/2006/relationships/hyperlink" Target="https://assets.mathsgenie.co.uk/content/worksheets/a_level_maths/trigonometric-ratios-ans-8276d4dd.pdf" TargetMode="External" Id="rId477" /><Relationship Type="http://schemas.openxmlformats.org/officeDocument/2006/relationships/hyperlink" Target="https://mathsgenie.co.uk/a-level/maths/edexcel/as-pure-mathematics-10-2-exact-values-of-trigonometric-ratios" TargetMode="External" Id="rId478" /><Relationship Type="http://schemas.openxmlformats.org/officeDocument/2006/relationships/hyperlink" Target="https://assets.mathsgenie.co.uk/content/worksheets/as_level_maths/trigonometric-identities-and-equations-ffd64a6d.pdf" TargetMode="External" Id="rId479" /><Relationship Type="http://schemas.openxmlformats.org/officeDocument/2006/relationships/hyperlink" Target="https://assets.mathsgenie.co.uk/content/worksheets/as_level_maths/trigonometric-identities-and-equations-ans-1ae76cee.pdf" TargetMode="External" Id="rId480" /><Relationship Type="http://schemas.openxmlformats.org/officeDocument/2006/relationships/hyperlink" Target="https://pmt.physicsandmathstutor.com/download/Maths/A-level/Pure/Trigonometry-1/Edexcel-Set-C/QP/Trigonometric%20Equations%20QP.pdf" TargetMode="External" Id="rId481" /><Relationship Type="http://schemas.openxmlformats.org/officeDocument/2006/relationships/hyperlink" Target="https://pmt.physicsandmathstutor.com/download/Maths/A-level/Pure/Trigonometry-1/Edexcel-Set-C/MS/Trigonometric%20Equations%20MS.pdf" TargetMode="External" Id="rId482" /><Relationship Type="http://schemas.openxmlformats.org/officeDocument/2006/relationships/hyperlink" Target="https://pmt.physicsandmathstutor.com/download/Maths/A-level/Pure/Trigonometry-1/Edexcel-Set-C/MA/Trigonometric%20Equations%20MA.pdf" TargetMode="External" Id="rId483" /><Relationship Type="http://schemas.openxmlformats.org/officeDocument/2006/relationships/hyperlink" Target="https://mathsgenie.co.uk/a-level/maths/edexcel/a-level-pure-mathematics-6-1-secant-cosecant-and-cotangent" TargetMode="External" Id="rId484" /><Relationship Type="http://schemas.openxmlformats.org/officeDocument/2006/relationships/hyperlink" Target="https://assets.mathsgenie.co.uk/content/worksheets/a_level_maths/trigonometric-functions-8d9efec9.pdf" TargetMode="External" Id="rId485" /><Relationship Type="http://schemas.openxmlformats.org/officeDocument/2006/relationships/hyperlink" Target="https://assets.mathsgenie.co.uk/content/worksheets/a_level_maths/trigonometric-functions-ans-36daa596.pdf" TargetMode="External" Id="rId486" /><Relationship Type="http://schemas.openxmlformats.org/officeDocument/2006/relationships/hyperlink" Target="https://pmt.physicsandmathstutor.com/download/Maths/A-level/Pure/Trigonometry-2/Edexcel-Set-C/QP/Trigonometric%20Identities%20QP.pdf" TargetMode="External" Id="rId487" /><Relationship Type="http://schemas.openxmlformats.org/officeDocument/2006/relationships/hyperlink" Target="https://pmt.physicsandmathstutor.com/download/Maths/A-level/Pure/Trigonometry-2/Edexcel-Set-C/MS/Trigonometric%20Identities%20MS.pdf" TargetMode="External" Id="rId488" /><Relationship Type="http://schemas.openxmlformats.org/officeDocument/2006/relationships/hyperlink" Target="https://pmt.physicsandmathstutor.com/download/Maths/A-level/Pure/Trigonometry-2/Edexcel-Set-C/MA/Trigonometric%20Identities%20MA.pdf" TargetMode="External" Id="rId489" /><Relationship Type="http://schemas.openxmlformats.org/officeDocument/2006/relationships/hyperlink" Target="https://mathsgenie.co.uk/a-level/maths/edexcel/a-level-pure-mathematics-6-2-graphs-of-sec-x-cosec-x-and-cot-x" TargetMode="External" Id="rId490" /><Relationship Type="http://schemas.openxmlformats.org/officeDocument/2006/relationships/hyperlink" Target="https://assets.mathsgenie.co.uk/content/worksheets/a_level_maths/trigonometric-functions-8d9efec9.pdf" TargetMode="External" Id="rId491" /><Relationship Type="http://schemas.openxmlformats.org/officeDocument/2006/relationships/hyperlink" Target="https://assets.mathsgenie.co.uk/content/worksheets/a_level_maths/trigonometric-functions-ans-36daa596.pdf" TargetMode="External" Id="rId492" /><Relationship Type="http://schemas.openxmlformats.org/officeDocument/2006/relationships/hyperlink" Target="https://pmt.physicsandmathstutor.com/download/Maths/A-level/Pure/Trigonometry-2/Edexcel-Set-C/QP/Trigonometric%20Identities%20QP.pdf" TargetMode="External" Id="rId493" /><Relationship Type="http://schemas.openxmlformats.org/officeDocument/2006/relationships/hyperlink" Target="https://pmt.physicsandmathstutor.com/download/Maths/A-level/Pure/Trigonometry-2/Edexcel-Set-C/MS/Trigonometric%20Identities%20MS.pdf" TargetMode="External" Id="rId494" /><Relationship Type="http://schemas.openxmlformats.org/officeDocument/2006/relationships/hyperlink" Target="https://pmt.physicsandmathstutor.com/download/Maths/A-level/Pure/Trigonometry-2/Edexcel-Set-C/MA/Trigonometric%20Identities%20MA.pdf" TargetMode="External" Id="rId495" /><Relationship Type="http://schemas.openxmlformats.org/officeDocument/2006/relationships/hyperlink" Target="https://mathsgenie.co.uk/a-level/maths/edexcel/a-level-pure-mathematics-6-5-inverse-trigonometric-functions" TargetMode="External" Id="rId496" /><Relationship Type="http://schemas.openxmlformats.org/officeDocument/2006/relationships/hyperlink" Target="https://assets.mathsgenie.co.uk/content/worksheets/a_level_maths/trigonometric-functions-8d9efec9.pdf" TargetMode="External" Id="rId497" /><Relationship Type="http://schemas.openxmlformats.org/officeDocument/2006/relationships/hyperlink" Target="https://assets.mathsgenie.co.uk/content/worksheets/a_level_maths/trigonometric-functions-ans-36daa596.pdf" TargetMode="External" Id="rId498" /><Relationship Type="http://schemas.openxmlformats.org/officeDocument/2006/relationships/hyperlink" Target="https://pmt.physicsandmathstutor.com/download/Maths/A-level/Pure/Trigonometry-2/Edexcel-Set-C/QP/Trigonometric%20Identities%20QP.pdf" TargetMode="External" Id="rId499" /><Relationship Type="http://schemas.openxmlformats.org/officeDocument/2006/relationships/hyperlink" Target="https://pmt.physicsandmathstutor.com/download/Maths/A-level/Pure/Trigonometry-2/Edexcel-Set-C/MS/Trigonometric%20Identities%20MS.pdf" TargetMode="External" Id="rId500" /><Relationship Type="http://schemas.openxmlformats.org/officeDocument/2006/relationships/hyperlink" Target="https://pmt.physicsandmathstutor.com/download/Maths/A-level/Pure/Trigonometry-2/Edexcel-Set-C/MA/Trigonometric%20Identities%20MA.pdf" TargetMode="External" Id="rId501" /><Relationship Type="http://schemas.openxmlformats.org/officeDocument/2006/relationships/hyperlink" Target="https://mathsgenie.co.uk/a-level/maths/edexcel/as-pure-mathematics-10-3-trigonometric-identities" TargetMode="External" Id="rId502" /><Relationship Type="http://schemas.openxmlformats.org/officeDocument/2006/relationships/hyperlink" Target="https://assets.mathsgenie.co.uk/content/worksheets/as_level_maths/trigonometric-identities-and-equations-ffd64a6d.pdf" TargetMode="External" Id="rId503" /><Relationship Type="http://schemas.openxmlformats.org/officeDocument/2006/relationships/hyperlink" Target="https://assets.mathsgenie.co.uk/content/worksheets/as_level_maths/trigonometric-identities-and-equations-ans-1ae76cee.pdf" TargetMode="External" Id="rId504" /><Relationship Type="http://schemas.openxmlformats.org/officeDocument/2006/relationships/hyperlink" Target="https://pmt.physicsandmathstutor.com/download/Maths/A-level/Pure/Trigonometry-1/Edexcel-Set-C/QP/Trigonometric%20Identities%20QP.pdf" TargetMode="External" Id="rId505" /><Relationship Type="http://schemas.openxmlformats.org/officeDocument/2006/relationships/hyperlink" Target="https://pmt.physicsandmathstutor.com/download/Maths/A-level/Pure/Trigonometry-1/Edexcel-Set-C/MS/Trigonometric%20Identities%20MS.pdf" TargetMode="External" Id="rId506" /><Relationship Type="http://schemas.openxmlformats.org/officeDocument/2006/relationships/hyperlink" Target="https://pmt.physicsandmathstutor.com/download/Maths/A-level/Pure/Trigonometry-1/Edexcel-Set-C/MA/Trigonometric%20Identities%20MA.pdf" TargetMode="External" Id="rId507" /><Relationship Type="http://schemas.openxmlformats.org/officeDocument/2006/relationships/hyperlink" Target="https://mathsgenie.co.uk/a-level/maths/edexcel/a-level-pure-mathematics-6-4-trigonometric-identities" TargetMode="External" Id="rId508" /><Relationship Type="http://schemas.openxmlformats.org/officeDocument/2006/relationships/hyperlink" Target="https://assets.mathsgenie.co.uk/content/worksheets/a_level_maths/trigonometric-functions-8d9efec9.pdf" TargetMode="External" Id="rId509" /><Relationship Type="http://schemas.openxmlformats.org/officeDocument/2006/relationships/hyperlink" Target="https://assets.mathsgenie.co.uk/content/worksheets/a_level_maths/trigonometric-functions-ans-36daa596.pdf" TargetMode="External" Id="rId510" /><Relationship Type="http://schemas.openxmlformats.org/officeDocument/2006/relationships/hyperlink" Target="https://pmt.physicsandmathstutor.com/download/Maths/A-level/Pure/Trigonometry-2/Edexcel-Set-C/QP/Trigonometric%20Identities%20QP.pdf" TargetMode="External" Id="rId511" /><Relationship Type="http://schemas.openxmlformats.org/officeDocument/2006/relationships/hyperlink" Target="https://pmt.physicsandmathstutor.com/download/Maths/A-level/Pure/Trigonometry-2/Edexcel-Set-C/MS/Trigonometric%20Identities%20MS.pdf" TargetMode="External" Id="rId512" /><Relationship Type="http://schemas.openxmlformats.org/officeDocument/2006/relationships/hyperlink" Target="https://pmt.physicsandmathstutor.com/download/Maths/A-level/Pure/Trigonometry-2/Edexcel-Set-C/MA/Trigonometric%20Identities%20MA.pdf" TargetMode="External" Id="rId513" /><Relationship Type="http://schemas.openxmlformats.org/officeDocument/2006/relationships/hyperlink" Target="https://mathsgenie.co.uk/a-level/maths/edexcel/a-level-pure-mathematics-7-1-addition-formulae" TargetMode="External" Id="rId514" /><Relationship Type="http://schemas.openxmlformats.org/officeDocument/2006/relationships/hyperlink" Target="https://assets.mathsgenie.co.uk/content/worksheets/a_level_maths/trigonometry-and-modelling-b99133d9.pdf" TargetMode="External" Id="rId515" /><Relationship Type="http://schemas.openxmlformats.org/officeDocument/2006/relationships/hyperlink" Target="https://assets.mathsgenie.co.uk/content/worksheets/a_level_maths/trigonometry-and-modelling-ans-69c51c88.pdf" TargetMode="External" Id="rId516" /><Relationship Type="http://schemas.openxmlformats.org/officeDocument/2006/relationships/hyperlink" Target="https://pmt.physicsandmathstutor.com/download/Maths/A-level/Pure/Trigonometry-2/Edexcel-Set-C/QP/Trigonometric%20Identities%20QP.pdf" TargetMode="External" Id="rId517" /><Relationship Type="http://schemas.openxmlformats.org/officeDocument/2006/relationships/hyperlink" Target="https://pmt.physicsandmathstutor.com/download/Maths/A-level/Pure/Trigonometry-2/Edexcel-Set-C/MS/Trigonometric%20Identities%20MS.pdf" TargetMode="External" Id="rId518" /><Relationship Type="http://schemas.openxmlformats.org/officeDocument/2006/relationships/hyperlink" Target="https://pmt.physicsandmathstutor.com/download/Maths/A-level/Pure/Trigonometry-2/Edexcel-Set-C/MA/Trigonometric%20Identities%20MA.pdf" TargetMode="External" Id="rId519" /><Relationship Type="http://schemas.openxmlformats.org/officeDocument/2006/relationships/hyperlink" Target="https://mathsgenie.co.uk/a-level/maths/edexcel/a-level-pure-mathematics-7-2-double-angle-formulae" TargetMode="External" Id="rId520" /><Relationship Type="http://schemas.openxmlformats.org/officeDocument/2006/relationships/hyperlink" Target="https://assets.mathsgenie.co.uk/content/worksheets/a_level_maths/trigonometry-and-modelling-b99133d9.pdf" TargetMode="External" Id="rId521" /><Relationship Type="http://schemas.openxmlformats.org/officeDocument/2006/relationships/hyperlink" Target="https://assets.mathsgenie.co.uk/content/worksheets/a_level_maths/trigonometry-and-modelling-ans-69c51c88.pdf" TargetMode="External" Id="rId522" /><Relationship Type="http://schemas.openxmlformats.org/officeDocument/2006/relationships/hyperlink" Target="https://pmt.physicsandmathstutor.com/download/Maths/A-level/Pure/Trigonometry-2/Edexcel-Set-C/QP/Trigonometric%20Identities%20QP.pdf" TargetMode="External" Id="rId523" /><Relationship Type="http://schemas.openxmlformats.org/officeDocument/2006/relationships/hyperlink" Target="https://pmt.physicsandmathstutor.com/download/Maths/A-level/Pure/Trigonometry-2/Edexcel-Set-C/MS/Trigonometric%20Identities%20MS.pdf" TargetMode="External" Id="rId524" /><Relationship Type="http://schemas.openxmlformats.org/officeDocument/2006/relationships/hyperlink" Target="https://pmt.physicsandmathstutor.com/download/Maths/A-level/Pure/Trigonometry-2/Edexcel-Set-C/MA/Trigonometric%20Identities%20MA.pdf" TargetMode="External" Id="rId525" /><Relationship Type="http://schemas.openxmlformats.org/officeDocument/2006/relationships/hyperlink" Target="https://mathsgenie.co.uk/a-level/maths/edexcel/a-level-pure-mathematics-7-4-simplifying-a-cos-x-b-sin-x" TargetMode="External" Id="rId526" /><Relationship Type="http://schemas.openxmlformats.org/officeDocument/2006/relationships/hyperlink" Target="https://assets.mathsgenie.co.uk/content/worksheets/a_level_maths/trigonometry-and-modelling-b99133d9.pdf" TargetMode="External" Id="rId527" /><Relationship Type="http://schemas.openxmlformats.org/officeDocument/2006/relationships/hyperlink" Target="https://assets.mathsgenie.co.uk/content/worksheets/a_level_maths/trigonometry-and-modelling-ans-69c51c88.pdf" TargetMode="External" Id="rId528" /><Relationship Type="http://schemas.openxmlformats.org/officeDocument/2006/relationships/hyperlink" Target="https://pmt.physicsandmathstutor.com/download/Maths/A-level/Pure/Trigonometry-2/Edexcel-Set-C/QP/Trigonometric%20Equations%20QP.pdf" TargetMode="External" Id="rId529" /><Relationship Type="http://schemas.openxmlformats.org/officeDocument/2006/relationships/hyperlink" Target="https://pmt.physicsandmathstutor.com/download/Maths/A-level/Pure/Trigonometry-2/Edexcel-Set-C/MS/Trigonometric%20Equations%20MS.pdf" TargetMode="External" Id="rId530" /><Relationship Type="http://schemas.openxmlformats.org/officeDocument/2006/relationships/hyperlink" Target="https://pmt.physicsandmathstutor.com/download/Maths/A-level/Pure/Trigonometry-2/Edexcel-Set-C/MA/Trigonometric%20Equations%20MA.pdf" TargetMode="External" Id="rId531" /><Relationship Type="http://schemas.openxmlformats.org/officeDocument/2006/relationships/hyperlink" Target="https://mathsgenie.co.uk/a-level/maths/edexcel/as-pure-mathematics-10-4-solving-trigonometric-equations" TargetMode="External" Id="rId532" /><Relationship Type="http://schemas.openxmlformats.org/officeDocument/2006/relationships/hyperlink" Target="https://assets.mathsgenie.co.uk/content/worksheets/a_level_maths/as-pure-solving-trig-equations-97afbba6.pdf" TargetMode="External" Id="rId533" /><Relationship Type="http://schemas.openxmlformats.org/officeDocument/2006/relationships/hyperlink" Target="https://assets.mathsgenie.co.uk/content/worksheets/a_level_maths/as-pure-solving-trig-equations-ans-34dad6d1.pdf" TargetMode="External" Id="rId534" /><Relationship Type="http://schemas.openxmlformats.org/officeDocument/2006/relationships/hyperlink" Target="https://pmt.physicsandmathstutor.com/download/Maths/A-level/Pure/Trigonometry-1/Edexcel-Set-C/QP/Trigonometric%20Equations%20QP.pdf" TargetMode="External" Id="rId535" /><Relationship Type="http://schemas.openxmlformats.org/officeDocument/2006/relationships/hyperlink" Target="https://pmt.physicsandmathstutor.com/download/Maths/A-level/Pure/Trigonometry-1/Edexcel-Set-C/MS/Trigonometric%20Equations%20MS.pdf" TargetMode="External" Id="rId536" /><Relationship Type="http://schemas.openxmlformats.org/officeDocument/2006/relationships/hyperlink" Target="https://pmt.physicsandmathstutor.com/download/Maths/A-level/Pure/Trigonometry-1/Edexcel-Set-C/MA/Trigonometric%20Equations%20MA.pdf" TargetMode="External" Id="rId537" /><Relationship Type="http://schemas.openxmlformats.org/officeDocument/2006/relationships/hyperlink" Target="https://mathsgenie.co.uk/a-level/maths/edexcel/as-pure-mathematics-10-5-harder-trigonometric-equations" TargetMode="External" Id="rId538" /><Relationship Type="http://schemas.openxmlformats.org/officeDocument/2006/relationships/hyperlink" Target="https://assets.mathsgenie.co.uk/content/worksheets/as_level_maths/trigonometric-identities-and-equations-ffd64a6d.pdf" TargetMode="External" Id="rId539" /><Relationship Type="http://schemas.openxmlformats.org/officeDocument/2006/relationships/hyperlink" Target="https://assets.mathsgenie.co.uk/content/worksheets/as_level_maths/trigonometric-identities-and-equations-ans-1ae76cee.pdf" TargetMode="External" Id="rId540" /><Relationship Type="http://schemas.openxmlformats.org/officeDocument/2006/relationships/hyperlink" Target="https://pmt.physicsandmathstutor.com/download/Maths/A-level/Pure/Trigonometry-1/Edexcel-Set-C/QP/Trigonometric%20Equations%20QP.pdf" TargetMode="External" Id="rId541" /><Relationship Type="http://schemas.openxmlformats.org/officeDocument/2006/relationships/hyperlink" Target="https://pmt.physicsandmathstutor.com/download/Maths/A-level/Pure/Trigonometry-1/Edexcel-Set-C/MS/Trigonometric%20Equations%20MS.pdf" TargetMode="External" Id="rId542" /><Relationship Type="http://schemas.openxmlformats.org/officeDocument/2006/relationships/hyperlink" Target="https://pmt.physicsandmathstutor.com/download/Maths/A-level/Pure/Trigonometry-1/Edexcel-Set-C/MA/Trigonometric%20Equations%20MA.pdf" TargetMode="External" Id="rId543" /><Relationship Type="http://schemas.openxmlformats.org/officeDocument/2006/relationships/hyperlink" Target="https://mathsgenie.co.uk/a-level/maths/edexcel/a-level-pure-mathematics-7-3-solving-trigonometric-equations" TargetMode="External" Id="rId544" /><Relationship Type="http://schemas.openxmlformats.org/officeDocument/2006/relationships/hyperlink" Target="https://assets.mathsgenie.co.uk/content/worksheets/a_level_maths/trigonometry-and-modelling-b99133d9.pdf" TargetMode="External" Id="rId545" /><Relationship Type="http://schemas.openxmlformats.org/officeDocument/2006/relationships/hyperlink" Target="https://assets.mathsgenie.co.uk/content/worksheets/a_level_maths/trigonometry-and-modelling-ans-69c51c88.pdf" TargetMode="External" Id="rId546" /><Relationship Type="http://schemas.openxmlformats.org/officeDocument/2006/relationships/hyperlink" Target="https://pmt.physicsandmathstutor.com/download/Maths/A-level/Pure/Trigonometry-2/Edexcel-Set-C/QP/Trigonometric%20Equations%20QP.pdf" TargetMode="External" Id="rId547" /><Relationship Type="http://schemas.openxmlformats.org/officeDocument/2006/relationships/hyperlink" Target="https://pmt.physicsandmathstutor.com/download/Maths/A-level/Pure/Trigonometry-2/Edexcel-Set-C/MS/Trigonometric%20Equations%20MS.pdf" TargetMode="External" Id="rId548" /><Relationship Type="http://schemas.openxmlformats.org/officeDocument/2006/relationships/hyperlink" Target="https://pmt.physicsandmathstutor.com/download/Maths/A-level/Pure/Trigonometry-2/Edexcel-Set-C/MA/Trigonometric%20Equations%20MA.pdf" TargetMode="External" Id="rId549" /><Relationship Type="http://schemas.openxmlformats.org/officeDocument/2006/relationships/hyperlink" Target="https://mathsgenie.co.uk/a-level/maths/edexcel/a-level-pure-mathematics-7-5-proving-trigonometric-identities" TargetMode="External" Id="rId550" /><Relationship Type="http://schemas.openxmlformats.org/officeDocument/2006/relationships/hyperlink" Target="https://assets.mathsgenie.co.uk/content/worksheets/a_level_maths/trigonometry-and-modelling-b99133d9.pdf" TargetMode="External" Id="rId551" /><Relationship Type="http://schemas.openxmlformats.org/officeDocument/2006/relationships/hyperlink" Target="https://assets.mathsgenie.co.uk/content/worksheets/a_level_maths/trigonometry-and-modelling-ans-69c51c88.pdf" TargetMode="External" Id="rId552" /><Relationship Type="http://schemas.openxmlformats.org/officeDocument/2006/relationships/hyperlink" Target="https://pmt.physicsandmathstutor.com/download/Maths/A-level/Pure/Trigonometry-2/Edexcel-Set-C/QP/Trigonometric%20Identities%20QP.pdf" TargetMode="External" Id="rId553" /><Relationship Type="http://schemas.openxmlformats.org/officeDocument/2006/relationships/hyperlink" Target="https://pmt.physicsandmathstutor.com/download/Maths/A-level/Pure/Trigonometry-2/Edexcel-Set-C/MS/Trigonometric%20Identities%20MS.pdf" TargetMode="External" Id="rId554" /><Relationship Type="http://schemas.openxmlformats.org/officeDocument/2006/relationships/hyperlink" Target="https://pmt.physicsandmathstutor.com/download/Maths/A-level/Pure/Trigonometry-2/Edexcel-Set-C/MA/Trigonometric%20Identities%20MA.pdf" TargetMode="External" Id="rId555" /><Relationship Type="http://schemas.openxmlformats.org/officeDocument/2006/relationships/hyperlink" Target="https://mathsgenie.co.uk/a-level/maths/edexcel/a-level-pure-mathematics-7-6-modelling-with-trigonometric-functions" TargetMode="External" Id="rId556" /><Relationship Type="http://schemas.openxmlformats.org/officeDocument/2006/relationships/hyperlink" Target="https://assets.mathsgenie.co.uk/content/worksheets/a_level_maths/trigonometry-and-modelling-b99133d9.pdf" TargetMode="External" Id="rId557" /><Relationship Type="http://schemas.openxmlformats.org/officeDocument/2006/relationships/hyperlink" Target="https://assets.mathsgenie.co.uk/content/worksheets/a_level_maths/trigonometry-and-modelling-ans-69c51c88.pdf" TargetMode="External" Id="rId558" /><Relationship Type="http://schemas.openxmlformats.org/officeDocument/2006/relationships/hyperlink" Target="https://pmt.physicsandmathstutor.com/download/Maths/A-level/Pure/Trigonometry-2/Edexcel-Set-C/QP/Modelling%20with%20Trigonometric%20Functions%20QP.pdf" TargetMode="External" Id="rId559" /><Relationship Type="http://schemas.openxmlformats.org/officeDocument/2006/relationships/hyperlink" Target="https://pmt.physicsandmathstutor.com/download/Maths/A-level/Pure/Trigonometry-2/Edexcel-Set-C/MS/Modelling%20with%20Trigonometric%20Functions%20MS.pdf" TargetMode="External" Id="rId560" /><Relationship Type="http://schemas.openxmlformats.org/officeDocument/2006/relationships/hyperlink" Target="https://pmt.physicsandmathstutor.com/download/Maths/A-level/Pure/Trigonometry-2/Edexcel-Set-C/MA/Modelling%20with%20Trigonometric%20Functions%20MA.pdf" TargetMode="External" Id="rId561" /><Relationship Type="http://schemas.openxmlformats.org/officeDocument/2006/relationships/hyperlink" Target="https://mathsgenie.co.uk/a-level/maths/edexcel/as-pure-mathematics-14-1-exponential-functions" TargetMode="External" Id="rId562" /><Relationship Type="http://schemas.openxmlformats.org/officeDocument/2006/relationships/hyperlink" Target="https://assets.mathsgenie.co.uk/content/worksheets/as_level_maths/as-pure-exponentials-and-logs-16179138.pdf" TargetMode="External" Id="rId563" /><Relationship Type="http://schemas.openxmlformats.org/officeDocument/2006/relationships/hyperlink" Target="https://assets.mathsgenie.co.uk/content/worksheets/as_level_maths/exponentials-and-logs-ans-d72f1b47.pdf" TargetMode="External" Id="rId564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565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566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567" /><Relationship Type="http://schemas.openxmlformats.org/officeDocument/2006/relationships/hyperlink" Target="https://mathsgenie.co.uk/a-level/maths/edexcel/as-pure-mathematics-14-2-y-e-x" TargetMode="External" Id="rId568" /><Relationship Type="http://schemas.openxmlformats.org/officeDocument/2006/relationships/hyperlink" Target="https://assets.mathsgenie.co.uk/content/worksheets/as_level_maths/as-pure-exponentials-and-logs-16179138.pdf" TargetMode="External" Id="rId569" /><Relationship Type="http://schemas.openxmlformats.org/officeDocument/2006/relationships/hyperlink" Target="https://assets.mathsgenie.co.uk/content/worksheets/as_level_maths/exponentials-and-logs-ans-d72f1b47.pdf" TargetMode="External" Id="rId570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571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572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573" /><Relationship Type="http://schemas.openxmlformats.org/officeDocument/2006/relationships/hyperlink" Target="https://mathsgenie.co.uk/a-level/maths/edexcel/as-pure-mathematics-14-4-logarithms" TargetMode="External" Id="rId574" /><Relationship Type="http://schemas.openxmlformats.org/officeDocument/2006/relationships/hyperlink" Target="https://assets.mathsgenie.co.uk/content/worksheets/as_level_maths/as-pure-exponentials-and-logs-16179138.pdf" TargetMode="External" Id="rId575" /><Relationship Type="http://schemas.openxmlformats.org/officeDocument/2006/relationships/hyperlink" Target="https://assets.mathsgenie.co.uk/content/worksheets/as_level_maths/exponentials-and-logs-ans-d72f1b47.pdf" TargetMode="External" Id="rId576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577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578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579" /><Relationship Type="http://schemas.openxmlformats.org/officeDocument/2006/relationships/hyperlink" Target="https://mathsgenie.co.uk/a-level/maths/edexcel/as-pure-mathematics-14-5-laws-of-logarithms" TargetMode="External" Id="rId580" /><Relationship Type="http://schemas.openxmlformats.org/officeDocument/2006/relationships/hyperlink" Target="https://assets.mathsgenie.co.uk/content/worksheets/as_level_maths/as-pure-exponentials-and-logs-16179138.pdf" TargetMode="External" Id="rId581" /><Relationship Type="http://schemas.openxmlformats.org/officeDocument/2006/relationships/hyperlink" Target="https://assets.mathsgenie.co.uk/content/worksheets/as_level_maths/exponentials-and-logs-ans-d72f1b47.pdf" TargetMode="External" Id="rId582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583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584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585" /><Relationship Type="http://schemas.openxmlformats.org/officeDocument/2006/relationships/hyperlink" Target="https://mathsgenie.co.uk/a-level/maths/edexcel/as-pure-mathematics-14-6-solving-equations-using-logarithms" TargetMode="External" Id="rId586" /><Relationship Type="http://schemas.openxmlformats.org/officeDocument/2006/relationships/hyperlink" Target="https://assets.mathsgenie.co.uk/content/worksheets/as_level_maths/as-pure-exponentials-and-logs-16179138.pdf" TargetMode="External" Id="rId587" /><Relationship Type="http://schemas.openxmlformats.org/officeDocument/2006/relationships/hyperlink" Target="https://assets.mathsgenie.co.uk/content/worksheets/as_level_maths/exponentials-and-logs-ans-d72f1b47.pdf" TargetMode="External" Id="rId588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589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590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591" /><Relationship Type="http://schemas.openxmlformats.org/officeDocument/2006/relationships/hyperlink" Target="https://mathsgenie.co.uk/a-level/maths/edexcel/as-pure-mathematics-14-7-working-with-natural-logarithms" TargetMode="External" Id="rId592" /><Relationship Type="http://schemas.openxmlformats.org/officeDocument/2006/relationships/hyperlink" Target="https://assets.mathsgenie.co.uk/content/worksheets/as_level_maths/as-pure-exponentials-and-logs-16179138.pdf" TargetMode="External" Id="rId593" /><Relationship Type="http://schemas.openxmlformats.org/officeDocument/2006/relationships/hyperlink" Target="https://assets.mathsgenie.co.uk/content/worksheets/as_level_maths/exponentials-and-logs-ans-d72f1b47.pdf" TargetMode="External" Id="rId594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595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596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597" /><Relationship Type="http://schemas.openxmlformats.org/officeDocument/2006/relationships/hyperlink" Target="https://mathsgenie.co.uk/a-level/maths/edexcel/as-pure-mathematics-14-8-logarithms-and-non-linear-data" TargetMode="External" Id="rId598" /><Relationship Type="http://schemas.openxmlformats.org/officeDocument/2006/relationships/hyperlink" Target="https://assets.mathsgenie.co.uk/content/worksheets/as_level_maths/as-pure-exponentials-and-logs-16179138.pdf" TargetMode="External" Id="rId599" /><Relationship Type="http://schemas.openxmlformats.org/officeDocument/2006/relationships/hyperlink" Target="https://assets.mathsgenie.co.uk/content/worksheets/as_level_maths/exponentials-and-logs-ans-d72f1b47.pdf" TargetMode="External" Id="rId600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601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602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603" /><Relationship Type="http://schemas.openxmlformats.org/officeDocument/2006/relationships/hyperlink" Target="https://mathsgenie.co.uk/a-level/maths/edexcel/as-pure-mathematics-14-3-exponential-modelling" TargetMode="External" Id="rId604" /><Relationship Type="http://schemas.openxmlformats.org/officeDocument/2006/relationships/hyperlink" Target="https://assets.mathsgenie.co.uk/content/worksheets/as_level_maths/as-pure-exponentials-and-logs-16179138.pdf" TargetMode="External" Id="rId605" /><Relationship Type="http://schemas.openxmlformats.org/officeDocument/2006/relationships/hyperlink" Target="https://assets.mathsgenie.co.uk/content/worksheets/as_level_maths/exponentials-and-logs-ans-d72f1b47.pdf" TargetMode="External" Id="rId606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607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608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609" /><Relationship Type="http://schemas.openxmlformats.org/officeDocument/2006/relationships/hyperlink" Target="https://mathsgenie.co.uk/a-level/maths/edexcel/as-pure-mathematics-12-1-gradients-of-curves" TargetMode="External" Id="rId610" /><Relationship Type="http://schemas.openxmlformats.org/officeDocument/2006/relationships/hyperlink" Target="https://assets.mathsgenie.co.uk/content/worksheets/as_level_maths/as-pure-differentiation-a2014652.pdf" TargetMode="External" Id="rId611" /><Relationship Type="http://schemas.openxmlformats.org/officeDocument/2006/relationships/hyperlink" Target="https://assets.mathsgenie.co.uk/content/worksheets/as_level_maths/as-pure-differentiation-ans-ed22b85d.pdf" TargetMode="External" Id="rId612" /><Relationship Type="http://schemas.openxmlformats.org/officeDocument/2006/relationships/hyperlink" Target="https://pmt.physicsandmathstutor.com/download/Maths/A-level/Pure/Differentiation-1/Edexcel-Set-C/QP/Basic%20Differentiation%20QP.pdf" TargetMode="External" Id="rId613" /><Relationship Type="http://schemas.openxmlformats.org/officeDocument/2006/relationships/hyperlink" Target="https://pmt.physicsandmathstutor.com/download/Maths/A-level/Pure/Differentiation-1/Edexcel-Set-C/MS/Basic%20Differentiation%20MS.pdf" TargetMode="External" Id="rId614" /><Relationship Type="http://schemas.openxmlformats.org/officeDocument/2006/relationships/hyperlink" Target="https://pmt.physicsandmathstutor.com/download/Maths/A-level/Pure/Differentiation-1/Edexcel-Set-C/MA/Basic%20Differentiation%20MA.pdf" TargetMode="External" Id="rId615" /><Relationship Type="http://schemas.openxmlformats.org/officeDocument/2006/relationships/hyperlink" Target="https://mathsgenie.co.uk/a-level/maths/edexcel/as-pure-mathematics-12-2-differentiation-from-first-principles" TargetMode="External" Id="rId616" /><Relationship Type="http://schemas.openxmlformats.org/officeDocument/2006/relationships/hyperlink" Target="https://assets.mathsgenie.co.uk/content/worksheets/a_level_maths/as-pure-differentiation-first-principles-1d905079.pdf" TargetMode="External" Id="rId617" /><Relationship Type="http://schemas.openxmlformats.org/officeDocument/2006/relationships/hyperlink" Target="https://assets.mathsgenie.co.uk/content/worksheets/a_level_maths/as-pure-differentiation-first-principles-ans-4c10f9b7.pdf" TargetMode="External" Id="rId618" /><Relationship Type="http://schemas.openxmlformats.org/officeDocument/2006/relationships/hyperlink" Target="https://pmt.physicsandmathstutor.com/download/Maths/A-level/Pure/Differentiation-1/Edexcel-Set-C/QP/Differentiation%20from%20First%20Principles%20QP.pdf" TargetMode="External" Id="rId619" /><Relationship Type="http://schemas.openxmlformats.org/officeDocument/2006/relationships/hyperlink" Target="https://pmt.physicsandmathstutor.com/download/Maths/A-level/Pure/Differentiation-1/Edexcel-Set-C/MS/Differentiation%20from%20First%20Principles%20MS.pdf" TargetMode="External" Id="rId620" /><Relationship Type="http://schemas.openxmlformats.org/officeDocument/2006/relationships/hyperlink" Target="https://pmt.physicsandmathstutor.com/download/Maths/A-level/Pure/Differentiation-1/Edexcel-Set-C/MA/Differentiation%20from%20First%20Principles%20MA.pdf" TargetMode="External" Id="rId621" /><Relationship Type="http://schemas.openxmlformats.org/officeDocument/2006/relationships/hyperlink" Target="https://mathsgenie.co.uk/a-level/maths/edexcel/a-level-pure-mathematics-9-1-differentiating-sin-x-and-cos-x" TargetMode="External" Id="rId622" /><Relationship Type="http://schemas.openxmlformats.org/officeDocument/2006/relationships/hyperlink" Target="https://assets.mathsgenie.co.uk/content/worksheets/a_level_maths/year-2-differentiation-5cb3a7d8.pdf" TargetMode="External" Id="rId623" /><Relationship Type="http://schemas.openxmlformats.org/officeDocument/2006/relationships/hyperlink" Target="https://assets.mathsgenie.co.uk/content/worksheets/a_level_maths/year-2-differentiation-ans-fe9163b5.pdf" TargetMode="External" Id="rId624" /><Relationship Type="http://schemas.openxmlformats.org/officeDocument/2006/relationships/hyperlink" Target="https://pmt.physicsandmathstutor.com/download/Maths/A-level/Pure/Differentiation-1/Edexcel-Set-C/QP/Differentiation%20from%20First%20Principles%20QP.pdf" TargetMode="External" Id="rId625" /><Relationship Type="http://schemas.openxmlformats.org/officeDocument/2006/relationships/hyperlink" Target="https://pmt.physicsandmathstutor.com/download/Maths/A-level/Pure/Differentiation-1/Edexcel-Set-C/MS/Differentiation%20from%20First%20Principles%20MS.pdf" TargetMode="External" Id="rId626" /><Relationship Type="http://schemas.openxmlformats.org/officeDocument/2006/relationships/hyperlink" Target="https://pmt.physicsandmathstutor.com/download/Maths/A-level/Pure/Differentiation-1/Edexcel-Set-C/MA/Differentiation%20from%20First%20Principles%20MA.pdf" TargetMode="External" Id="rId627" /><Relationship Type="http://schemas.openxmlformats.org/officeDocument/2006/relationships/hyperlink" Target="https://mathsgenie.co.uk/a-level/maths/edexcel/as-pure-mathematics-12-10-sketching-gradient-functions" TargetMode="External" Id="rId628" /><Relationship Type="http://schemas.openxmlformats.org/officeDocument/2006/relationships/hyperlink" Target="https://assets.mathsgenie.co.uk/content/worksheets/as_level_maths/as-pure-differentiation-a2014652.pdf" TargetMode="External" Id="rId629" /><Relationship Type="http://schemas.openxmlformats.org/officeDocument/2006/relationships/hyperlink" Target="https://assets.mathsgenie.co.uk/content/worksheets/as_level_maths/as-pure-differentiation-ans-ed22b85d.pdf" TargetMode="External" Id="rId630" /><Relationship Type="http://schemas.openxmlformats.org/officeDocument/2006/relationships/hyperlink" Target="https://mathsgenie.co.uk/a-level/maths/edexcel/as-pure-mathematics-12-8-second-order-derivatives" TargetMode="External" Id="rId631" /><Relationship Type="http://schemas.openxmlformats.org/officeDocument/2006/relationships/hyperlink" Target="https://assets.mathsgenie.co.uk/content/worksheets/as_level_maths/as-pure-differentiation-a2014652.pdf" TargetMode="External" Id="rId632" /><Relationship Type="http://schemas.openxmlformats.org/officeDocument/2006/relationships/hyperlink" Target="https://assets.mathsgenie.co.uk/content/worksheets/as_level_maths/as-pure-differentiation-ans-ed22b85d.pdf" TargetMode="External" Id="rId633" /><Relationship Type="http://schemas.openxmlformats.org/officeDocument/2006/relationships/hyperlink" Target="https://pmt.physicsandmathstutor.com/download/Maths/A-level/Pure/Differentiation-1/Edexcel-Set-C/QP/Stationary%20Points%20QP.pdf" TargetMode="External" Id="rId634" /><Relationship Type="http://schemas.openxmlformats.org/officeDocument/2006/relationships/hyperlink" Target="https://pmt.physicsandmathstutor.com/download/Maths/A-level/Pure/Differentiation-1/Edexcel-Set-C/MS/Stationary%20Points%20MS.pdf" TargetMode="External" Id="rId635" /><Relationship Type="http://schemas.openxmlformats.org/officeDocument/2006/relationships/hyperlink" Target="https://pmt.physicsandmathstutor.com/download/Maths/A-level/Pure/Differentiation-1/Edexcel-Set-C/MA/Stationary%20Points%20MA.pdf" TargetMode="External" Id="rId636" /><Relationship Type="http://schemas.openxmlformats.org/officeDocument/2006/relationships/hyperlink" Target="https://mathsgenie.co.uk/a-level/maths/edexcel/a-level-pure-mathematics-9-9-using-second-derivatives" TargetMode="External" Id="rId637" /><Relationship Type="http://schemas.openxmlformats.org/officeDocument/2006/relationships/hyperlink" Target="https://assets.mathsgenie.co.uk/content/worksheets/a_level_maths/year-2-differentiation-5cb3a7d8.pdf" TargetMode="External" Id="rId638" /><Relationship Type="http://schemas.openxmlformats.org/officeDocument/2006/relationships/hyperlink" Target="https://assets.mathsgenie.co.uk/content/worksheets/a_level_maths/year-2-differentiation-ans-fe9163b5.pdf" TargetMode="External" Id="rId639" /><Relationship Type="http://schemas.openxmlformats.org/officeDocument/2006/relationships/hyperlink" Target="https://pmt.physicsandmathstutor.com/download/Maths/A-level/Pure/Differentiation-1/Edexcel-Set-C/QP/Stationary%20Points%20QP.pdf" TargetMode="External" Id="rId640" /><Relationship Type="http://schemas.openxmlformats.org/officeDocument/2006/relationships/hyperlink" Target="https://pmt.physicsandmathstutor.com/download/Maths/A-level/Pure/Differentiation-1/Edexcel-Set-C/MS/Stationary%20Points%20MS.pdf" TargetMode="External" Id="rId641" /><Relationship Type="http://schemas.openxmlformats.org/officeDocument/2006/relationships/hyperlink" Target="https://pmt.physicsandmathstutor.com/download/Maths/A-level/Pure/Differentiation-1/Edexcel-Set-C/MA/Stationary%20Points%20MA.pdf" TargetMode="External" Id="rId642" /><Relationship Type="http://schemas.openxmlformats.org/officeDocument/2006/relationships/hyperlink" Target="https://mathsgenie.co.uk/a-level/maths/edexcel/as-pure-mathematics-12-5-differentiating-functions-with-two-or-more-terms" TargetMode="External" Id="rId643" /><Relationship Type="http://schemas.openxmlformats.org/officeDocument/2006/relationships/hyperlink" Target="https://assets.mathsgenie.co.uk/content/worksheets/as_level_maths/as-pure-differentiation-a2014652.pdf" TargetMode="External" Id="rId644" /><Relationship Type="http://schemas.openxmlformats.org/officeDocument/2006/relationships/hyperlink" Target="https://assets.mathsgenie.co.uk/content/worksheets/as_level_maths/as-pure-differentiation-ans-ed22b85d.pdf" TargetMode="External" Id="rId645" /><Relationship Type="http://schemas.openxmlformats.org/officeDocument/2006/relationships/hyperlink" Target="https://pmt.physicsandmathstutor.com/download/Maths/A-level/Pure/Differentiation-1/Edexcel-Set-C/QP/Basic%20Differentiation%20QP.pdf" TargetMode="External" Id="rId646" /><Relationship Type="http://schemas.openxmlformats.org/officeDocument/2006/relationships/hyperlink" Target="https://pmt.physicsandmathstutor.com/download/Maths/A-level/Pure/Differentiation-1/Edexcel-Set-C/MS/Basic%20Differentiation%20MS.pdf" TargetMode="External" Id="rId647" /><Relationship Type="http://schemas.openxmlformats.org/officeDocument/2006/relationships/hyperlink" Target="https://pmt.physicsandmathstutor.com/download/Maths/A-level/Pure/Differentiation-1/Edexcel-Set-C/MA/Basic%20Differentiation%20MA.pdf" TargetMode="External" Id="rId648" /><Relationship Type="http://schemas.openxmlformats.org/officeDocument/2006/relationships/hyperlink" Target="https://mathsgenie.co.uk/a-level/maths/edexcel/a-level-pure-mathematics-9-6-differentiating-trigonometric-functions" TargetMode="External" Id="rId649" /><Relationship Type="http://schemas.openxmlformats.org/officeDocument/2006/relationships/hyperlink" Target="https://assets.mathsgenie.co.uk/content/worksheets/a_level_maths/year-2-differentiation-5cb3a7d8.pdf" TargetMode="External" Id="rId650" /><Relationship Type="http://schemas.openxmlformats.org/officeDocument/2006/relationships/hyperlink" Target="https://assets.mathsgenie.co.uk/content/worksheets/a_level_maths/year-2-differentiation-ans-fe9163b5.pdf" TargetMode="External" Id="rId651" /><Relationship Type="http://schemas.openxmlformats.org/officeDocument/2006/relationships/hyperlink" Target="https://pmt.physicsandmathstutor.com/download/Maths/A-level/Pure/Differentiation-2/Edexcel-Set-C/QP/Chain%20Rule%20QP.pdf" TargetMode="External" Id="rId652" /><Relationship Type="http://schemas.openxmlformats.org/officeDocument/2006/relationships/hyperlink" Target="https://pmt.physicsandmathstutor.com/download/Maths/A-level/Pure/Differentiation-2/Edexcel-Set-C/MS/Chain%20Rule%20MS.pdf" TargetMode="External" Id="rId653" /><Relationship Type="http://schemas.openxmlformats.org/officeDocument/2006/relationships/hyperlink" Target="https://pmt.physicsandmathstutor.com/download/Maths/A-level/Pure/Differentiation-2/Edexcel-Set-C/MA/Chain%20Rule%20MA.pdf" TargetMode="External" Id="rId654" /><Relationship Type="http://schemas.openxmlformats.org/officeDocument/2006/relationships/hyperlink" Target="https://mathsgenie.co.uk/a-level/maths/edexcel/a-level-pure-mathematics-9-2-differentiating-exponentials-and-logarithms" TargetMode="External" Id="rId655" /><Relationship Type="http://schemas.openxmlformats.org/officeDocument/2006/relationships/hyperlink" Target="https://assets.mathsgenie.co.uk/content/worksheets/a_level_maths/year-2-differentiation-5cb3a7d8.pdf" TargetMode="External" Id="rId656" /><Relationship Type="http://schemas.openxmlformats.org/officeDocument/2006/relationships/hyperlink" Target="https://assets.mathsgenie.co.uk/content/worksheets/a_level_maths/year-2-differentiation-ans-fe9163b5.pdf" TargetMode="External" Id="rId657" /><Relationship Type="http://schemas.openxmlformats.org/officeDocument/2006/relationships/hyperlink" Target="https://pmt.physicsandmathstutor.com/download/Maths/A-level/Pure/Differentiation-2/Edexcel-Set-C/QP/Chain%20Rule%20QP.pdf" TargetMode="External" Id="rId658" /><Relationship Type="http://schemas.openxmlformats.org/officeDocument/2006/relationships/hyperlink" Target="https://pmt.physicsandmathstutor.com/download/Maths/A-level/Pure/Differentiation-2/Edexcel-Set-C/MS/Chain%20Rule%20MS.pdf" TargetMode="External" Id="rId659" /><Relationship Type="http://schemas.openxmlformats.org/officeDocument/2006/relationships/hyperlink" Target="https://pmt.physicsandmathstutor.com/download/Maths/A-level/Pure/Differentiation-2/Edexcel-Set-C/MA/Chain%20Rule%20MA.pdf" TargetMode="External" Id="rId660" /><Relationship Type="http://schemas.openxmlformats.org/officeDocument/2006/relationships/hyperlink" Target="https://mathsgenie.co.uk/a-level/maths/edexcel/as-pure-mathematics-12-6-gradients-tangents-and-normals" TargetMode="External" Id="rId661" /><Relationship Type="http://schemas.openxmlformats.org/officeDocument/2006/relationships/hyperlink" Target="https://assets.mathsgenie.co.uk/content/worksheets/as_level_maths/as-pure-differentiation-a2014652.pdf" TargetMode="External" Id="rId662" /><Relationship Type="http://schemas.openxmlformats.org/officeDocument/2006/relationships/hyperlink" Target="https://assets.mathsgenie.co.uk/content/worksheets/as_level_maths/as-pure-differentiation-ans-ed22b85d.pdf" TargetMode="External" Id="rId663" /><Relationship Type="http://schemas.openxmlformats.org/officeDocument/2006/relationships/hyperlink" Target="https://pmt.physicsandmathstutor.com/download/Maths/A-level/Pure/Differentiation-1/Edexcel-Set-C/QP/Tangents%20and%20Normals%20QP.pdf" TargetMode="External" Id="rId664" /><Relationship Type="http://schemas.openxmlformats.org/officeDocument/2006/relationships/hyperlink" Target="https://pmt.physicsandmathstutor.com/download/Maths/A-level/Pure/Differentiation-1/Edexcel-Set-C/MS/Tangents%20and%20Normals%20MS.pdf" TargetMode="External" Id="rId665" /><Relationship Type="http://schemas.openxmlformats.org/officeDocument/2006/relationships/hyperlink" Target="https://pmt.physicsandmathstutor.com/download/Maths/A-level/Pure/Differentiation-1/Edexcel-Set-C/MA/Tangents%20and%20Normals%20MA.pdf" TargetMode="External" Id="rId666" /><Relationship Type="http://schemas.openxmlformats.org/officeDocument/2006/relationships/hyperlink" Target="https://mathsgenie.co.uk/a-level/maths/edexcel/as-pure-mathematics-12-7-increasing-and-decreasing-functions" TargetMode="External" Id="rId667" /><Relationship Type="http://schemas.openxmlformats.org/officeDocument/2006/relationships/hyperlink" Target="https://assets.mathsgenie.co.uk/content/worksheets/as_level_maths/as-pure-differentiation-a2014652.pdf" TargetMode="External" Id="rId668" /><Relationship Type="http://schemas.openxmlformats.org/officeDocument/2006/relationships/hyperlink" Target="https://assets.mathsgenie.co.uk/content/worksheets/as_level_maths/as-pure-differentiation-ans-ed22b85d.pdf" TargetMode="External" Id="rId669" /><Relationship Type="http://schemas.openxmlformats.org/officeDocument/2006/relationships/hyperlink" Target="https://pmt.physicsandmathstutor.com/download/Maths/A-level/Pure/Differentiation-1/Edexcel-Set-C/QP/Stationary%20Points%20QP.pdf" TargetMode="External" Id="rId670" /><Relationship Type="http://schemas.openxmlformats.org/officeDocument/2006/relationships/hyperlink" Target="https://pmt.physicsandmathstutor.com/download/Maths/A-level/Pure/Differentiation-1/Edexcel-Set-C/MS/Stationary%20Points%20MS.pdf" TargetMode="External" Id="rId671" /><Relationship Type="http://schemas.openxmlformats.org/officeDocument/2006/relationships/hyperlink" Target="https://pmt.physicsandmathstutor.com/download/Maths/A-level/Pure/Differentiation-1/Edexcel-Set-C/MA/Stationary%20Points%20MA.pdf" TargetMode="External" Id="rId672" /><Relationship Type="http://schemas.openxmlformats.org/officeDocument/2006/relationships/hyperlink" Target="https://mathsgenie.co.uk/a-level/maths/edexcel/as-pure-mathematics-12-9-stationary-points" TargetMode="External" Id="rId673" /><Relationship Type="http://schemas.openxmlformats.org/officeDocument/2006/relationships/hyperlink" Target="https://assets.mathsgenie.co.uk/content/worksheets/as_level_maths/as-pure-differentiation-a2014652.pdf" TargetMode="External" Id="rId674" /><Relationship Type="http://schemas.openxmlformats.org/officeDocument/2006/relationships/hyperlink" Target="https://assets.mathsgenie.co.uk/content/worksheets/as_level_maths/as-pure-differentiation-ans-ed22b85d.pdf" TargetMode="External" Id="rId675" /><Relationship Type="http://schemas.openxmlformats.org/officeDocument/2006/relationships/hyperlink" Target="https://pmt.physicsandmathstutor.com/download/Maths/A-level/Pure/Differentiation-1/Edexcel-Set-C/QP/Stationary%20Points%20QP.pdf" TargetMode="External" Id="rId676" /><Relationship Type="http://schemas.openxmlformats.org/officeDocument/2006/relationships/hyperlink" Target="https://pmt.physicsandmathstutor.com/download/Maths/A-level/Pure/Differentiation-1/Edexcel-Set-C/MS/Stationary%20Points%20MS.pdf" TargetMode="External" Id="rId677" /><Relationship Type="http://schemas.openxmlformats.org/officeDocument/2006/relationships/hyperlink" Target="https://pmt.physicsandmathstutor.com/download/Maths/A-level/Pure/Differentiation-1/Edexcel-Set-C/MA/Stationary%20Points%20MA.pdf" TargetMode="External" Id="rId678" /><Relationship Type="http://schemas.openxmlformats.org/officeDocument/2006/relationships/hyperlink" Target="https://mathsgenie.co.uk/a-level/maths/edexcel/as-pure-mathematics-12-11-modelling-with-differentiation" TargetMode="External" Id="rId679" /><Relationship Type="http://schemas.openxmlformats.org/officeDocument/2006/relationships/hyperlink" Target="https://assets.mathsgenie.co.uk/content/worksheets/as_level_maths/as-pure-differentiation-a2014652.pdf" TargetMode="External" Id="rId680" /><Relationship Type="http://schemas.openxmlformats.org/officeDocument/2006/relationships/hyperlink" Target="https://assets.mathsgenie.co.uk/content/worksheets/as_level_maths/as-pure-differentiation-ans-ed22b85d.pdf" TargetMode="External" Id="rId681" /><Relationship Type="http://schemas.openxmlformats.org/officeDocument/2006/relationships/hyperlink" Target="https://pmt.physicsandmathstutor.com/download/Maths/A-level/Pure/Differentiation-1/Edexcel-Set-C/QP/Stationary%20Points%20QP.pdf" TargetMode="External" Id="rId682" /><Relationship Type="http://schemas.openxmlformats.org/officeDocument/2006/relationships/hyperlink" Target="https://pmt.physicsandmathstutor.com/download/Maths/A-level/Pure/Differentiation-1/Edexcel-Set-C/MS/Stationary%20Points%20MS.pdf" TargetMode="External" Id="rId683" /><Relationship Type="http://schemas.openxmlformats.org/officeDocument/2006/relationships/hyperlink" Target="https://pmt.physicsandmathstutor.com/download/Maths/A-level/Pure/Differentiation-1/Edexcel-Set-C/MA/Stationary%20Points%20MA.pdf" TargetMode="External" Id="rId684" /><Relationship Type="http://schemas.openxmlformats.org/officeDocument/2006/relationships/hyperlink" Target="https://mathsgenie.co.uk/a-level/maths/edexcel/a-level-pure-mathematics-9-3-the-chain-rule" TargetMode="External" Id="rId685" /><Relationship Type="http://schemas.openxmlformats.org/officeDocument/2006/relationships/hyperlink" Target="https://assets.mathsgenie.co.uk/content/worksheets/a_level_maths/year-2-differentiation-5cb3a7d8.pdf" TargetMode="External" Id="rId686" /><Relationship Type="http://schemas.openxmlformats.org/officeDocument/2006/relationships/hyperlink" Target="https://assets.mathsgenie.co.uk/content/worksheets/a_level_maths/year-2-differentiation-ans-fe9163b5.pdf" TargetMode="External" Id="rId687" /><Relationship Type="http://schemas.openxmlformats.org/officeDocument/2006/relationships/hyperlink" Target="https://pmt.physicsandmathstutor.com/download/Maths/A-level/Pure/Differentiation-2/Edexcel-Set-C/QP/Chain%20Rule%20QP.pdf" TargetMode="External" Id="rId688" /><Relationship Type="http://schemas.openxmlformats.org/officeDocument/2006/relationships/hyperlink" Target="https://pmt.physicsandmathstutor.com/download/Maths/A-level/Pure/Differentiation-2/Edexcel-Set-C/MS/Chain%20Rule%20MS.pdf" TargetMode="External" Id="rId689" /><Relationship Type="http://schemas.openxmlformats.org/officeDocument/2006/relationships/hyperlink" Target="https://pmt.physicsandmathstutor.com/download/Maths/A-level/Pure/Differentiation-2/Edexcel-Set-C/MA/Chain%20Rule%20MA.pdf" TargetMode="External" Id="rId690" /><Relationship Type="http://schemas.openxmlformats.org/officeDocument/2006/relationships/hyperlink" Target="https://mathsgenie.co.uk/a-level/maths/edexcel/a-level-pure-mathematics-9-4-the-product-rule" TargetMode="External" Id="rId691" /><Relationship Type="http://schemas.openxmlformats.org/officeDocument/2006/relationships/hyperlink" Target="https://assets.mathsgenie.co.uk/content/worksheets/a_level_maths/year-2-differentiation-5cb3a7d8.pdf" TargetMode="External" Id="rId692" /><Relationship Type="http://schemas.openxmlformats.org/officeDocument/2006/relationships/hyperlink" Target="https://assets.mathsgenie.co.uk/content/worksheets/a_level_maths/year-2-differentiation-ans-fe9163b5.pdf" TargetMode="External" Id="rId693" /><Relationship Type="http://schemas.openxmlformats.org/officeDocument/2006/relationships/hyperlink" Target="https://pmt.physicsandmathstutor.com/download/Maths/A-level/Pure/Differentiation-2/Edexcel-Set-C/QP/Products%20and%20Quotients%20QP.pdf" TargetMode="External" Id="rId694" /><Relationship Type="http://schemas.openxmlformats.org/officeDocument/2006/relationships/hyperlink" Target="https://pmt.physicsandmathstutor.com/download/Maths/A-level/Pure/Differentiation-2/Edexcel-Set-C/MS/Products%20and%20Quotients%20MS.pdf" TargetMode="External" Id="rId695" /><Relationship Type="http://schemas.openxmlformats.org/officeDocument/2006/relationships/hyperlink" Target="https://pmt.physicsandmathstutor.com/download/Maths/A-level/Pure/Differentiation-2/Edexcel-Set-C/MA/Products%20and%20Quotients%20MA.pdf" TargetMode="External" Id="rId696" /><Relationship Type="http://schemas.openxmlformats.org/officeDocument/2006/relationships/hyperlink" Target="https://mathsgenie.co.uk/a-level/maths/edexcel/a-level-pure-mathematics-9-5-the-quotient-rule" TargetMode="External" Id="rId697" /><Relationship Type="http://schemas.openxmlformats.org/officeDocument/2006/relationships/hyperlink" Target="https://assets.mathsgenie.co.uk/content/worksheets/a_level_maths/year-2-differentiation-5cb3a7d8.pdf" TargetMode="External" Id="rId698" /><Relationship Type="http://schemas.openxmlformats.org/officeDocument/2006/relationships/hyperlink" Target="https://assets.mathsgenie.co.uk/content/worksheets/a_level_maths/year-2-differentiation-ans-fe9163b5.pdf" TargetMode="External" Id="rId699" /><Relationship Type="http://schemas.openxmlformats.org/officeDocument/2006/relationships/hyperlink" Target="https://pmt.physicsandmathstutor.com/download/Maths/A-level/Pure/Differentiation-2/Edexcel-Set-C/QP/Products%20and%20Quotients%20QP.pdf" TargetMode="External" Id="rId700" /><Relationship Type="http://schemas.openxmlformats.org/officeDocument/2006/relationships/hyperlink" Target="https://pmt.physicsandmathstutor.com/download/Maths/A-level/Pure/Differentiation-2/Edexcel-Set-C/MS/Products%20and%20Quotients%20MS.pdf" TargetMode="External" Id="rId701" /><Relationship Type="http://schemas.openxmlformats.org/officeDocument/2006/relationships/hyperlink" Target="https://pmt.physicsandmathstutor.com/download/Maths/A-level/Pure/Differentiation-2/Edexcel-Set-C/MA/Products%20and%20Quotients%20MA.pdf" TargetMode="External" Id="rId702" /><Relationship Type="http://schemas.openxmlformats.org/officeDocument/2006/relationships/hyperlink" Target="https://mathsgenie.co.uk/a-level/maths/edexcel/a-level-pure-mathematics-9-6-differentiating-trigonometric-functions" TargetMode="External" Id="rId703" /><Relationship Type="http://schemas.openxmlformats.org/officeDocument/2006/relationships/hyperlink" Target="https://assets.mathsgenie.co.uk/content/worksheets/a_level_maths/year-2-differentiation-5cb3a7d8.pdf" TargetMode="External" Id="rId704" /><Relationship Type="http://schemas.openxmlformats.org/officeDocument/2006/relationships/hyperlink" Target="https://assets.mathsgenie.co.uk/content/worksheets/a_level_maths/year-2-differentiation-ans-fe9163b5.pdf" TargetMode="External" Id="rId705" /><Relationship Type="http://schemas.openxmlformats.org/officeDocument/2006/relationships/hyperlink" Target="https://pmt.physicsandmathstutor.com/download/Maths/A-level/Pure/Differentiation-2/Edexcel-Set-C/QP/Products%20and%20Quotients%20QP.pdf" TargetMode="External" Id="rId706" /><Relationship Type="http://schemas.openxmlformats.org/officeDocument/2006/relationships/hyperlink" Target="https://pmt.physicsandmathstutor.com/download/Maths/A-level/Pure/Differentiation-2/Edexcel-Set-C/MS/Products%20and%20Quotients%20MS.pdf" TargetMode="External" Id="rId707" /><Relationship Type="http://schemas.openxmlformats.org/officeDocument/2006/relationships/hyperlink" Target="https://pmt.physicsandmathstutor.com/download/Maths/A-level/Pure/Differentiation-2/Edexcel-Set-C/MA/Products%20and%20Quotients%20MA.pdf" TargetMode="External" Id="rId708" /><Relationship Type="http://schemas.openxmlformats.org/officeDocument/2006/relationships/hyperlink" Target="https://mathsgenie.co.uk/a-level/maths/edexcel/a-level-pure-mathematics-9-10-rates-of-change" TargetMode="External" Id="rId709" /><Relationship Type="http://schemas.openxmlformats.org/officeDocument/2006/relationships/hyperlink" Target="https://assets.mathsgenie.co.uk/content/worksheets/a_level_maths/year-2-differentiation-5cb3a7d8.pdf" TargetMode="External" Id="rId710" /><Relationship Type="http://schemas.openxmlformats.org/officeDocument/2006/relationships/hyperlink" Target="https://assets.mathsgenie.co.uk/content/worksheets/a_level_maths/year-2-differentiation-ans-fe9163b5.pdf" TargetMode="External" Id="rId711" /><Relationship Type="http://schemas.openxmlformats.org/officeDocument/2006/relationships/hyperlink" Target="https://pmt.physicsandmathstutor.com/download/Maths/A-level/Pure/Differentiation-2/Edexcel-Set-C/QP/Rates%20of%20Change%20QP.pdf" TargetMode="External" Id="rId712" /><Relationship Type="http://schemas.openxmlformats.org/officeDocument/2006/relationships/hyperlink" Target="https://pmt.physicsandmathstutor.com/download/Maths/A-level/Pure/Differentiation-2/Edexcel-Set-C/MS/Rates%20of%20Change%20MS.pdf" TargetMode="External" Id="rId713" /><Relationship Type="http://schemas.openxmlformats.org/officeDocument/2006/relationships/hyperlink" Target="https://pmt.physicsandmathstutor.com/download/Maths/A-level/Pure/Differentiation-2/Edexcel-Set-C/MA/Rates%20of%20Change%20MA.pdf" TargetMode="External" Id="rId714" /><Relationship Type="http://schemas.openxmlformats.org/officeDocument/2006/relationships/hyperlink" Target="https://mathsgenie.co.uk/a-level/maths/edexcel/a-level-pure-mathematics-9-7-parametric-differentiation" TargetMode="External" Id="rId715" /><Relationship Type="http://schemas.openxmlformats.org/officeDocument/2006/relationships/hyperlink" Target="https://assets.mathsgenie.co.uk/content/worksheets/a_level_maths/year-2-differentiation-5cb3a7d8.pdf" TargetMode="External" Id="rId716" /><Relationship Type="http://schemas.openxmlformats.org/officeDocument/2006/relationships/hyperlink" Target="https://assets.mathsgenie.co.uk/content/worksheets/a_level_maths/year-2-differentiation-ans-fe9163b5.pdf" TargetMode="External" Id="rId717" /><Relationship Type="http://schemas.openxmlformats.org/officeDocument/2006/relationships/hyperlink" Target="https://pmt.physicsandmathstutor.com/download/Maths/A-level/Pure/Differentiation-2/Edexcel-Set-C/QP/Parametric%20Differentiation%20QP.pdf" TargetMode="External" Id="rId718" /><Relationship Type="http://schemas.openxmlformats.org/officeDocument/2006/relationships/hyperlink" Target="https://pmt.physicsandmathstutor.com/download/Maths/A-level/Pure/Differentiation-2/Edexcel-Set-C/MS/Parametric%20Differentiation%20MS.pdf" TargetMode="External" Id="rId719" /><Relationship Type="http://schemas.openxmlformats.org/officeDocument/2006/relationships/hyperlink" Target="https://pmt.physicsandmathstutor.com/download/Maths/A-level/Pure/Differentiation-2/Edexcel-Set-C/MA/Parametric%20Differentiation%20MA.pdf" TargetMode="External" Id="rId720" /><Relationship Type="http://schemas.openxmlformats.org/officeDocument/2006/relationships/hyperlink" Target="https://mathsgenie.co.uk/a-level/maths/edexcel/a-level-pure-mathematics-9-8-implicit-differentiation" TargetMode="External" Id="rId721" /><Relationship Type="http://schemas.openxmlformats.org/officeDocument/2006/relationships/hyperlink" Target="https://assets.mathsgenie.co.uk/content/worksheets/a_level_maths/year-2-differentiation-5cb3a7d8.pdf" TargetMode="External" Id="rId722" /><Relationship Type="http://schemas.openxmlformats.org/officeDocument/2006/relationships/hyperlink" Target="https://assets.mathsgenie.co.uk/content/worksheets/a_level_maths/year-2-differentiation-ans-fe9163b5.pdf" TargetMode="External" Id="rId723" /><Relationship Type="http://schemas.openxmlformats.org/officeDocument/2006/relationships/hyperlink" Target="https://pmt.physicsandmathstutor.com/download/Maths/A-level/Pure/Differentiation-2/Edexcel-Set-C/QP/Implicit%20Differentiation%20QP.pdf" TargetMode="External" Id="rId724" /><Relationship Type="http://schemas.openxmlformats.org/officeDocument/2006/relationships/hyperlink" Target="https://pmt.physicsandmathstutor.com/download/Maths/A-level/Pure/Differentiation-2/Edexcel-Set-C/MS/Implicit%20Differentiation%20MS.pdf" TargetMode="External" Id="rId725" /><Relationship Type="http://schemas.openxmlformats.org/officeDocument/2006/relationships/hyperlink" Target="https://pmt.physicsandmathstutor.com/download/Maths/A-level/Pure/Differentiation-2/Edexcel-Set-C/MA/Implicit%20Differentiation%20MA.pdf" TargetMode="External" Id="rId726" /><Relationship Type="http://schemas.openxmlformats.org/officeDocument/2006/relationships/hyperlink" Target="https://mathsgenie.co.uk/a-level/maths/edexcel/a-level-pure-mathematics-11-11-modelling-with-differential-equations" TargetMode="External" Id="rId727" /><Relationship Type="http://schemas.openxmlformats.org/officeDocument/2006/relationships/hyperlink" Target="https://assets.mathsgenie.co.uk/content/worksheets/a_level_maths/year-2-integration-5dfd3517.pdf" TargetMode="External" Id="rId728" /><Relationship Type="http://schemas.openxmlformats.org/officeDocument/2006/relationships/hyperlink" Target="https://assets.mathsgenie.co.uk/content/worksheets/a_level_maths/year-2-integration-ans-13355b71.pdf" TargetMode="External" Id="rId729" /><Relationship Type="http://schemas.openxmlformats.org/officeDocument/2006/relationships/hyperlink" Target="https://pmt.physicsandmathstutor.com/download/Maths/A-level/Pure/Differentiation-2/Edexcel-Set-C/QP/Rates%20of%20Change%20QP.pdf" TargetMode="External" Id="rId730" /><Relationship Type="http://schemas.openxmlformats.org/officeDocument/2006/relationships/hyperlink" Target="https://pmt.physicsandmathstutor.com/download/Maths/A-level/Pure/Differentiation-2/Edexcel-Set-C/MS/Rates%20of%20Change%20MS.pdf" TargetMode="External" Id="rId731" /><Relationship Type="http://schemas.openxmlformats.org/officeDocument/2006/relationships/hyperlink" Target="https://pmt.physicsandmathstutor.com/download/Maths/A-level/Pure/Differentiation-2/Edexcel-Set-C/MA/Rates%20of%20Change%20MA.pdf" TargetMode="External" Id="rId732" /><Relationship Type="http://schemas.openxmlformats.org/officeDocument/2006/relationships/hyperlink" Target="https://mathsgenie.co.uk/a-level/maths/edexcel/as-pure-mathematics-13-2-indefinite-integrals" TargetMode="External" Id="rId733" /><Relationship Type="http://schemas.openxmlformats.org/officeDocument/2006/relationships/hyperlink" Target="https://assets.mathsgenie.co.uk/content/worksheets/as_level_maths/as-pure-integration-9beab4ec.pdf" TargetMode="External" Id="rId734" /><Relationship Type="http://schemas.openxmlformats.org/officeDocument/2006/relationships/hyperlink" Target="https://assets.mathsgenie.co.uk/content/worksheets/as_level_maths/integration-ans-3bf900ed.pdf" TargetMode="External" Id="rId735" /><Relationship Type="http://schemas.openxmlformats.org/officeDocument/2006/relationships/hyperlink" Target="https://pmt.physicsandmathstutor.com/download/Maths/A-level/Pure/Integration-1/Edexcel-Set-C/QP/Basic%20Integration%20QP.pdf" TargetMode="External" Id="rId736" /><Relationship Type="http://schemas.openxmlformats.org/officeDocument/2006/relationships/hyperlink" Target="https://pmt.physicsandmathstutor.com/download/Maths/A-level/Pure/Integration-1/Edexcel-Set-C/MS/Basic%20Integration%20MS.pdf" TargetMode="External" Id="rId737" /><Relationship Type="http://schemas.openxmlformats.org/officeDocument/2006/relationships/hyperlink" Target="https://pmt.physicsandmathstutor.com/download/Maths/A-level/Pure/Integration-1/Edexcel-Set-C/MA/Basic%20Integration%20MA.pdf" TargetMode="External" Id="rId738" /><Relationship Type="http://schemas.openxmlformats.org/officeDocument/2006/relationships/hyperlink" Target="https://mathsgenie.co.uk/a-level/maths/edexcel/as-pure-mathematics-13-1-integrating-x-n" TargetMode="External" Id="rId739" /><Relationship Type="http://schemas.openxmlformats.org/officeDocument/2006/relationships/hyperlink" Target="https://assets.mathsgenie.co.uk/content/worksheets/as_level_maths/as-pure-integration-9beab4ec.pdf" TargetMode="External" Id="rId740" /><Relationship Type="http://schemas.openxmlformats.org/officeDocument/2006/relationships/hyperlink" Target="https://assets.mathsgenie.co.uk/content/worksheets/as_level_maths/integration-ans-3bf900ed.pdf" TargetMode="External" Id="rId741" /><Relationship Type="http://schemas.openxmlformats.org/officeDocument/2006/relationships/hyperlink" Target="https://pmt.physicsandmathstutor.com/download/Maths/A-level/Pure/Integration-1/Edexcel-Set-C/QP/Basic%20Integration%20QP.pdf" TargetMode="External" Id="rId742" /><Relationship Type="http://schemas.openxmlformats.org/officeDocument/2006/relationships/hyperlink" Target="https://pmt.physicsandmathstutor.com/download/Maths/A-level/Pure/Integration-1/Edexcel-Set-C/MS/Basic%20Integration%20MS.pdf" TargetMode="External" Id="rId743" /><Relationship Type="http://schemas.openxmlformats.org/officeDocument/2006/relationships/hyperlink" Target="https://pmt.physicsandmathstutor.com/download/Maths/A-level/Pure/Integration-1/Edexcel-Set-C/MA/Basic%20Integration%20MA.pdf" TargetMode="External" Id="rId744" /><Relationship Type="http://schemas.openxmlformats.org/officeDocument/2006/relationships/hyperlink" Target="https://mathsgenie.co.uk/a-level/maths/edexcel/as-pure-mathematics-13-3-finding-functions" TargetMode="External" Id="rId745" /><Relationship Type="http://schemas.openxmlformats.org/officeDocument/2006/relationships/hyperlink" Target="https://assets.mathsgenie.co.uk/content/worksheets/as_level_maths/as-pure-integration-9beab4ec.pdf" TargetMode="External" Id="rId746" /><Relationship Type="http://schemas.openxmlformats.org/officeDocument/2006/relationships/hyperlink" Target="https://assets.mathsgenie.co.uk/content/worksheets/as_level_maths/integration-ans-3bf900ed.pdf" TargetMode="External" Id="rId747" /><Relationship Type="http://schemas.openxmlformats.org/officeDocument/2006/relationships/hyperlink" Target="https://pmt.physicsandmathstutor.com/download/Maths/A-level/Pure/Integration-1/Edexcel-Set-C/QP/Basic%20Integration%20QP.pdf" TargetMode="External" Id="rId748" /><Relationship Type="http://schemas.openxmlformats.org/officeDocument/2006/relationships/hyperlink" Target="https://pmt.physicsandmathstutor.com/download/Maths/A-level/Pure/Integration-1/Edexcel-Set-C/MS/Basic%20Integration%20MS.pdf" TargetMode="External" Id="rId749" /><Relationship Type="http://schemas.openxmlformats.org/officeDocument/2006/relationships/hyperlink" Target="https://pmt.physicsandmathstutor.com/download/Maths/A-level/Pure/Integration-1/Edexcel-Set-C/MA/Basic%20Integration%20MA.pdf" TargetMode="External" Id="rId750" /><Relationship Type="http://schemas.openxmlformats.org/officeDocument/2006/relationships/hyperlink" Target="https://mathsgenie.co.uk/a-level/maths/edexcel/as-pure-mathematics-13-4-definite-integrals" TargetMode="External" Id="rId751" /><Relationship Type="http://schemas.openxmlformats.org/officeDocument/2006/relationships/hyperlink" Target="https://assets.mathsgenie.co.uk/content/worksheets/as_level_maths/as-pure-integration-9beab4ec.pdf" TargetMode="External" Id="rId752" /><Relationship Type="http://schemas.openxmlformats.org/officeDocument/2006/relationships/hyperlink" Target="https://assets.mathsgenie.co.uk/content/worksheets/as_level_maths/integration-ans-3bf900ed.pdf" TargetMode="External" Id="rId753" /><Relationship Type="http://schemas.openxmlformats.org/officeDocument/2006/relationships/hyperlink" Target="https://pmt.physicsandmathstutor.com/download/Maths/A-level/Pure/Integration-1/Edexcel-Set-C/QP/Definite%20Integration%20QP.pdf" TargetMode="External" Id="rId754" /><Relationship Type="http://schemas.openxmlformats.org/officeDocument/2006/relationships/hyperlink" Target="https://pmt.physicsandmathstutor.com/download/Maths/A-level/Pure/Integration-1/Edexcel-Set-C/MS/Definite%20Integration%20MS.pdf" TargetMode="External" Id="rId755" /><Relationship Type="http://schemas.openxmlformats.org/officeDocument/2006/relationships/hyperlink" Target="https://pmt.physicsandmathstutor.com/download/Maths/A-level/Pure/Integration-1/Edexcel-Set-C/MA/Definite%20Integration%20MA.pdf" TargetMode="External" Id="rId756" /><Relationship Type="http://schemas.openxmlformats.org/officeDocument/2006/relationships/hyperlink" Target="https://mathsgenie.co.uk/a-level/maths/edexcel/as-pure-mathematics-13-5-areas-under-curves" TargetMode="External" Id="rId757" /><Relationship Type="http://schemas.openxmlformats.org/officeDocument/2006/relationships/hyperlink" Target="https://assets.mathsgenie.co.uk/content/worksheets/as_level_maths/as-pure-integration-9beab4ec.pdf" TargetMode="External" Id="rId758" /><Relationship Type="http://schemas.openxmlformats.org/officeDocument/2006/relationships/hyperlink" Target="https://assets.mathsgenie.co.uk/content/worksheets/as_level_maths/integration-ans-3bf900ed.pdf" TargetMode="External" Id="rId759" /><Relationship Type="http://schemas.openxmlformats.org/officeDocument/2006/relationships/hyperlink" Target="https://pmt.physicsandmathstutor.com/download/Maths/A-level/Pure/Integration-1/Edexcel-Set-C/QP/Finding%20Area%20using%20Integration%20QP.pdf" TargetMode="External" Id="rId760" /><Relationship Type="http://schemas.openxmlformats.org/officeDocument/2006/relationships/hyperlink" Target="https://pmt.physicsandmathstutor.com/download/Maths/A-level/Pure/Integration-1/Edexcel-Set-C/MS/Finding%20Area%20using%20Integration%20MS.pdf" TargetMode="External" Id="rId761" /><Relationship Type="http://schemas.openxmlformats.org/officeDocument/2006/relationships/hyperlink" Target="https://pmt.physicsandmathstutor.com/download/Maths/A-level/Pure/Integration-1/Edexcel-Set-C/MA/Finding%20Area%20using%20Integration%20MA.pdf" TargetMode="External" Id="rId762" /><Relationship Type="http://schemas.openxmlformats.org/officeDocument/2006/relationships/hyperlink" Target="https://mathsgenie.co.uk/a-level/maths/edexcel/as-pure-mathematics-13-7-areas-between-curves-and-lines" TargetMode="External" Id="rId763" /><Relationship Type="http://schemas.openxmlformats.org/officeDocument/2006/relationships/hyperlink" Target="https://assets.mathsgenie.co.uk/content/worksheets/as_level_maths/as-pure-integration-9beab4ec.pdf" TargetMode="External" Id="rId764" /><Relationship Type="http://schemas.openxmlformats.org/officeDocument/2006/relationships/hyperlink" Target="https://assets.mathsgenie.co.uk/content/worksheets/as_level_maths/integration-ans-3bf900ed.pdf" TargetMode="External" Id="rId765" /><Relationship Type="http://schemas.openxmlformats.org/officeDocument/2006/relationships/hyperlink" Target="https://pmt.physicsandmathstutor.com/download/Maths/A-level/Pure/Integration-1/Edexcel-Set-C/QP/Finding%20Area%20using%20Integration%20QP.pdf" TargetMode="External" Id="rId766" /><Relationship Type="http://schemas.openxmlformats.org/officeDocument/2006/relationships/hyperlink" Target="https://pmt.physicsandmathstutor.com/download/Maths/A-level/Pure/Integration-1/Edexcel-Set-C/MS/Finding%20Area%20using%20Integration%20MS.pdf" TargetMode="External" Id="rId767" /><Relationship Type="http://schemas.openxmlformats.org/officeDocument/2006/relationships/hyperlink" Target="https://pmt.physicsandmathstutor.com/download/Maths/A-level/Pure/Integration-1/Edexcel-Set-C/MA/Finding%20Area%20using%20Integration%20MA.pdf" TargetMode="External" Id="rId768" /><Relationship Type="http://schemas.openxmlformats.org/officeDocument/2006/relationships/hyperlink" Target="https://mathsgenie.co.uk/a-level/maths/edexcel/a-level-pure-mathematics-11-1-integrating-standard-functions" TargetMode="External" Id="rId769" /><Relationship Type="http://schemas.openxmlformats.org/officeDocument/2006/relationships/hyperlink" Target="https://assets.mathsgenie.co.uk/content/worksheets/a_level_maths/year-2-integration-5dfd3517.pdf" TargetMode="External" Id="rId770" /><Relationship Type="http://schemas.openxmlformats.org/officeDocument/2006/relationships/hyperlink" Target="https://assets.mathsgenie.co.uk/content/worksheets/a_level_maths/year-2-integration-ans-13355b71.pdf" TargetMode="External" Id="rId771" /><Relationship Type="http://schemas.openxmlformats.org/officeDocument/2006/relationships/hyperlink" Target="https://pmt.physicsandmathstutor.com/download/Maths/A-level/Pure/Integration-2/Edexcel-Set-C/QP/Definite%20Integration%20QP.pdf" TargetMode="External" Id="rId772" /><Relationship Type="http://schemas.openxmlformats.org/officeDocument/2006/relationships/hyperlink" Target="https://pmt.physicsandmathstutor.com/download/Maths/A-level/Pure/Integration-2/Edexcel-Set-C/MS/Definite%20Integration%20MS.pdf" TargetMode="External" Id="rId773" /><Relationship Type="http://schemas.openxmlformats.org/officeDocument/2006/relationships/hyperlink" Target="https://pmt.physicsandmathstutor.com/download/Maths/A-level/Pure/Integration-2/Edexcel-Set-C/MA/Definite%20Integration%20MA.pdf" TargetMode="External" Id="rId774" /><Relationship Type="http://schemas.openxmlformats.org/officeDocument/2006/relationships/hyperlink" Target="https://mathsgenie.co.uk/a-level/maths/edexcel/a-level-pure-mathematics-11-2-integrating-f-ax-b" TargetMode="External" Id="rId775" /><Relationship Type="http://schemas.openxmlformats.org/officeDocument/2006/relationships/hyperlink" Target="https://assets.mathsgenie.co.uk/content/worksheets/a_level_maths/year-2-integration-5dfd3517.pdf" TargetMode="External" Id="rId776" /><Relationship Type="http://schemas.openxmlformats.org/officeDocument/2006/relationships/hyperlink" Target="https://assets.mathsgenie.co.uk/content/worksheets/a_level_maths/year-2-integration-ans-13355b71.pdf" TargetMode="External" Id="rId777" /><Relationship Type="http://schemas.openxmlformats.org/officeDocument/2006/relationships/hyperlink" Target="https://pmt.physicsandmathstutor.com/download/Maths/A-level/Pure/Integration-2/Edexcel-Set-C/QP/Definite%20Integration%20QP.pdf" TargetMode="External" Id="rId778" /><Relationship Type="http://schemas.openxmlformats.org/officeDocument/2006/relationships/hyperlink" Target="https://pmt.physicsandmathstutor.com/download/Maths/A-level/Pure/Integration-2/Edexcel-Set-C/MS/Definite%20Integration%20MS.pdf" TargetMode="External" Id="rId779" /><Relationship Type="http://schemas.openxmlformats.org/officeDocument/2006/relationships/hyperlink" Target="https://pmt.physicsandmathstutor.com/download/Maths/A-level/Pure/Integration-2/Edexcel-Set-C/MA/Definite%20Integration%20MA.pdf" TargetMode="External" Id="rId780" /><Relationship Type="http://schemas.openxmlformats.org/officeDocument/2006/relationships/hyperlink" Target="https://mathsgenie.co.uk/a-level/maths/edexcel/a-level-pure-mathematics-11-3-using-trigonometric-identities" TargetMode="External" Id="rId781" /><Relationship Type="http://schemas.openxmlformats.org/officeDocument/2006/relationships/hyperlink" Target="https://assets.mathsgenie.co.uk/content/worksheets/a_level_maths/year-2-integration-5dfd3517.pdf" TargetMode="External" Id="rId782" /><Relationship Type="http://schemas.openxmlformats.org/officeDocument/2006/relationships/hyperlink" Target="https://assets.mathsgenie.co.uk/content/worksheets/a_level_maths/year-2-integration-ans-13355b71.pdf" TargetMode="External" Id="rId783" /><Relationship Type="http://schemas.openxmlformats.org/officeDocument/2006/relationships/hyperlink" Target="https://pmt.physicsandmathstutor.com/download/Maths/A-level/Pure/Integration-2/Edexcel-Set-C/QP/Definite%20Integration%20QP.pdf" TargetMode="External" Id="rId784" /><Relationship Type="http://schemas.openxmlformats.org/officeDocument/2006/relationships/hyperlink" Target="https://pmt.physicsandmathstutor.com/download/Maths/A-level/Pure/Integration-2/Edexcel-Set-C/MS/Definite%20Integration%20MS.pdf" TargetMode="External" Id="rId785" /><Relationship Type="http://schemas.openxmlformats.org/officeDocument/2006/relationships/hyperlink" Target="https://pmt.physicsandmathstutor.com/download/Maths/A-level/Pure/Integration-2/Edexcel-Set-C/MA/Definite%20Integration%20MA.pdf" TargetMode="External" Id="rId786" /><Relationship Type="http://schemas.openxmlformats.org/officeDocument/2006/relationships/hyperlink" Target="https://mathsgenie.co.uk/a-level/maths/edexcel/a-level-pure-mathematics-11-4-reverse-chain-rule" TargetMode="External" Id="rId787" /><Relationship Type="http://schemas.openxmlformats.org/officeDocument/2006/relationships/hyperlink" Target="https://assets.mathsgenie.co.uk/content/worksheets/a_level_maths/year-2-integration-5dfd3517.pdf" TargetMode="External" Id="rId788" /><Relationship Type="http://schemas.openxmlformats.org/officeDocument/2006/relationships/hyperlink" Target="https://assets.mathsgenie.co.uk/content/worksheets/a_level_maths/year-2-integration-ans-13355b71.pdf" TargetMode="External" Id="rId789" /><Relationship Type="http://schemas.openxmlformats.org/officeDocument/2006/relationships/hyperlink" Target="https://pmt.physicsandmathstutor.com/download/Maths/A-level/Pure/Integration-2/Edexcel-Set-C/QP/Integration%20by%20Substitution%20QP.pdf" TargetMode="External" Id="rId790" /><Relationship Type="http://schemas.openxmlformats.org/officeDocument/2006/relationships/hyperlink" Target="https://pmt.physicsandmathstutor.com/download/Maths/A-level/Pure/Integration-2/Edexcel-Set-C/MS/Integration%20by%20Substitution%20MS.pdf" TargetMode="External" Id="rId791" /><Relationship Type="http://schemas.openxmlformats.org/officeDocument/2006/relationships/hyperlink" Target="https://pmt.physicsandmathstutor.com/download/Maths/A-level/Pure/Integration-2/Edexcel-Set-C/MA/Integration%20by%20Substitution%20MA.pdf" TargetMode="External" Id="rId792" /><Relationship Type="http://schemas.openxmlformats.org/officeDocument/2006/relationships/hyperlink" Target="https://mathsgenie.co.uk/a-level/maths/edexcel/a-level-pure-mathematics-11-5-integration-by-substitution" TargetMode="External" Id="rId793" /><Relationship Type="http://schemas.openxmlformats.org/officeDocument/2006/relationships/hyperlink" Target="https://assets.mathsgenie.co.uk/content/worksheets/a_level_maths/year-2-integration-5dfd3517.pdf" TargetMode="External" Id="rId794" /><Relationship Type="http://schemas.openxmlformats.org/officeDocument/2006/relationships/hyperlink" Target="https://assets.mathsgenie.co.uk/content/worksheets/a_level_maths/year-2-integration-ans-13355b71.pdf" TargetMode="External" Id="rId795" /><Relationship Type="http://schemas.openxmlformats.org/officeDocument/2006/relationships/hyperlink" Target="https://pmt.physicsandmathstutor.com/download/Maths/A-level/Pure/Integration-2/Edexcel-Set-C/QP/Integration%20by%20Substitution%20QP.pdf" TargetMode="External" Id="rId796" /><Relationship Type="http://schemas.openxmlformats.org/officeDocument/2006/relationships/hyperlink" Target="https://pmt.physicsandmathstutor.com/download/Maths/A-level/Pure/Integration-2/Edexcel-Set-C/MS/Integration%20by%20Substitution%20MS.pdf" TargetMode="External" Id="rId797" /><Relationship Type="http://schemas.openxmlformats.org/officeDocument/2006/relationships/hyperlink" Target="https://pmt.physicsandmathstutor.com/download/Maths/A-level/Pure/Integration-2/Edexcel-Set-C/MA/Integration%20by%20Substitution%20MA.pdf" TargetMode="External" Id="rId798" /><Relationship Type="http://schemas.openxmlformats.org/officeDocument/2006/relationships/hyperlink" Target="https://mathsgenie.co.uk/a-level/maths/edexcel/a-level-pure-mathematics-11-6-integration-by-parts" TargetMode="External" Id="rId799" /><Relationship Type="http://schemas.openxmlformats.org/officeDocument/2006/relationships/hyperlink" Target="https://assets.mathsgenie.co.uk/content/worksheets/a_level_maths/year-2-integration-5dfd3517.pdf" TargetMode="External" Id="rId800" /><Relationship Type="http://schemas.openxmlformats.org/officeDocument/2006/relationships/hyperlink" Target="https://assets.mathsgenie.co.uk/content/worksheets/a_level_maths/year-2-integration-ans-13355b71.pdf" TargetMode="External" Id="rId801" /><Relationship Type="http://schemas.openxmlformats.org/officeDocument/2006/relationships/hyperlink" Target="https://pmt.physicsandmathstutor.com/download/Maths/A-level/Pure/Integration-2/Edexcel-Set-C/QP/Integration%20by%20Parts%20QP.pdf" TargetMode="External" Id="rId802" /><Relationship Type="http://schemas.openxmlformats.org/officeDocument/2006/relationships/hyperlink" Target="https://pmt.physicsandmathstutor.com/download/Maths/A-level/Pure/Integration-2/Edexcel-Set-C/MS/Integration%20by%20Parts%20MS.pdf" TargetMode="External" Id="rId803" /><Relationship Type="http://schemas.openxmlformats.org/officeDocument/2006/relationships/hyperlink" Target="https://pmt.physicsandmathstutor.com/download/Maths/A-level/Pure/Integration-2/Edexcel-Set-C/MA/Integration%20by%20Parts%20MA.pdf" TargetMode="External" Id="rId804" /><Relationship Type="http://schemas.openxmlformats.org/officeDocument/2006/relationships/hyperlink" Target="https://mathsgenie.co.uk/a-level/maths/edexcel/a-level-pure-mathematics-11-7-partial-fractions" TargetMode="External" Id="rId805" /><Relationship Type="http://schemas.openxmlformats.org/officeDocument/2006/relationships/hyperlink" Target="https://assets.mathsgenie.co.uk/content/worksheets/a_level_maths/year-2-integration-5dfd3517.pdf" TargetMode="External" Id="rId806" /><Relationship Type="http://schemas.openxmlformats.org/officeDocument/2006/relationships/hyperlink" Target="https://assets.mathsgenie.co.uk/content/worksheets/a_level_maths/year-2-integration-ans-13355b71.pdf" TargetMode="External" Id="rId807" /><Relationship Type="http://schemas.openxmlformats.org/officeDocument/2006/relationships/hyperlink" Target="https://pmt.physicsandmathstutor.com/download/Maths/A-level/Pure/Integration-2/Edexcel-Set-C/QP/Definite%20Integration%20QP.pdf" TargetMode="External" Id="rId808" /><Relationship Type="http://schemas.openxmlformats.org/officeDocument/2006/relationships/hyperlink" Target="https://pmt.physicsandmathstutor.com/download/Maths/A-level/Pure/Integration-2/Edexcel-Set-C/MS/Definite%20Integration%20MS.pdf" TargetMode="External" Id="rId809" /><Relationship Type="http://schemas.openxmlformats.org/officeDocument/2006/relationships/hyperlink" Target="https://pmt.physicsandmathstutor.com/download/Maths/A-level/Pure/Integration-2/Edexcel-Set-C/MA/Definite%20Integration%20MA.pdf" TargetMode="External" Id="rId810" /><Relationship Type="http://schemas.openxmlformats.org/officeDocument/2006/relationships/hyperlink" Target="https://mathsgenie.co.uk/a-level/maths/edexcel/a-level-pure-mathematics-11-8-finding-areas" TargetMode="External" Id="rId811" /><Relationship Type="http://schemas.openxmlformats.org/officeDocument/2006/relationships/hyperlink" Target="https://assets.mathsgenie.co.uk/content/worksheets/a_level_maths/year-2-integration-5dfd3517.pdf" TargetMode="External" Id="rId812" /><Relationship Type="http://schemas.openxmlformats.org/officeDocument/2006/relationships/hyperlink" Target="https://assets.mathsgenie.co.uk/content/worksheets/a_level_maths/year-2-integration-ans-13355b71.pdf" TargetMode="External" Id="rId813" /><Relationship Type="http://schemas.openxmlformats.org/officeDocument/2006/relationships/hyperlink" Target="https://pmt.physicsandmathstutor.com/download/Maths/A-level/Pure/Integration-2/Edexcel-Set-C/QP/Finding%20Area%20using%20Integration%20QP.pdf" TargetMode="External" Id="rId814" /><Relationship Type="http://schemas.openxmlformats.org/officeDocument/2006/relationships/hyperlink" Target="https://pmt.physicsandmathstutor.com/download/Maths/A-level/Pure/Integration-2/Edexcel-Set-C/MS/Finding%20Area%20using%20Integration%20MS.pdf" TargetMode="External" Id="rId815" /><Relationship Type="http://schemas.openxmlformats.org/officeDocument/2006/relationships/hyperlink" Target="https://pmt.physicsandmathstutor.com/download/Maths/A-level/Pure/Integration-2/Edexcel-Set-C/MA/Finding%20Area%20using%20Integration%20MA.pdf" TargetMode="External" Id="rId816" /><Relationship Type="http://schemas.openxmlformats.org/officeDocument/2006/relationships/hyperlink" Target="https://mathsgenie.co.uk/a-level/maths/edexcel/a-level-pure-mathematics-11-8-finding-areas" TargetMode="External" Id="rId817" /><Relationship Type="http://schemas.openxmlformats.org/officeDocument/2006/relationships/hyperlink" Target="https://assets.mathsgenie.co.uk/content/worksheets/a_level_maths/year-2-integration-5dfd3517.pdf" TargetMode="External" Id="rId818" /><Relationship Type="http://schemas.openxmlformats.org/officeDocument/2006/relationships/hyperlink" Target="https://assets.mathsgenie.co.uk/content/worksheets/a_level_maths/year-2-integration-ans-13355b71.pdf" TargetMode="External" Id="rId819" /><Relationship Type="http://schemas.openxmlformats.org/officeDocument/2006/relationships/hyperlink" Target="https://pmt.physicsandmathstutor.com/download/Maths/A-level/Pure/Integration-2/Edexcel-Set-C/QP/Parametric%20Integration%20QP.pdf" TargetMode="External" Id="rId820" /><Relationship Type="http://schemas.openxmlformats.org/officeDocument/2006/relationships/hyperlink" Target="https://pmt.physicsandmathstutor.com/download/Maths/A-level/Pure/Integration-2/Edexcel-Set-C/MS/Parametric%20Integration%20MS.pdf" TargetMode="External" Id="rId821" /><Relationship Type="http://schemas.openxmlformats.org/officeDocument/2006/relationships/hyperlink" Target="https://pmt.physicsandmathstutor.com/download/Maths/A-level/Pure/Integration-2/Edexcel-Set-C/MA/Parametric%20Integration%20MA.pdf" TargetMode="External" Id="rId822" /><Relationship Type="http://schemas.openxmlformats.org/officeDocument/2006/relationships/hyperlink" Target="https://mathsgenie.co.uk/a-level/maths/edexcel/a-level-pure-mathematics-11-10-solving-differential-equations" TargetMode="External" Id="rId823" /><Relationship Type="http://schemas.openxmlformats.org/officeDocument/2006/relationships/hyperlink" Target="https://assets.mathsgenie.co.uk/content/worksheets/a_level_maths/year-2-integration-5dfd3517.pdf" TargetMode="External" Id="rId824" /><Relationship Type="http://schemas.openxmlformats.org/officeDocument/2006/relationships/hyperlink" Target="https://assets.mathsgenie.co.uk/content/worksheets/a_level_maths/year-2-integration-ans-13355b71.pdf" TargetMode="External" Id="rId825" /><Relationship Type="http://schemas.openxmlformats.org/officeDocument/2006/relationships/hyperlink" Target="https://pmt.physicsandmathstutor.com/download/Maths/A-level/Pure/Integration-2/Edexcel-Set-C/QP/Solving%20Differential%20Equations%20QP.pdf" TargetMode="External" Id="rId826" /><Relationship Type="http://schemas.openxmlformats.org/officeDocument/2006/relationships/hyperlink" Target="https://pmt.physicsandmathstutor.com/download/Maths/A-level/Pure/Integration-2/Edexcel-Set-C/MS/Solving%20Differential%20Equations%20MS.pdf" TargetMode="External" Id="rId827" /><Relationship Type="http://schemas.openxmlformats.org/officeDocument/2006/relationships/hyperlink" Target="https://pmt.physicsandmathstutor.com/download/Maths/A-level/Pure/Integration-2/Edexcel-Set-C/MA/Solving%20Differential%20Equations%20MA.pdf" TargetMode="External" Id="rId828" /><Relationship Type="http://schemas.openxmlformats.org/officeDocument/2006/relationships/hyperlink" Target="https://mathsgenie.co.uk/a-level/maths/edexcel/a-level-pure-mathematics-11-11-modelling-with-differential-equations" TargetMode="External" Id="rId829" /><Relationship Type="http://schemas.openxmlformats.org/officeDocument/2006/relationships/hyperlink" Target="https://assets.mathsgenie.co.uk/content/worksheets/a_level_maths/year-2-integration-5dfd3517.pdf" TargetMode="External" Id="rId830" /><Relationship Type="http://schemas.openxmlformats.org/officeDocument/2006/relationships/hyperlink" Target="https://assets.mathsgenie.co.uk/content/worksheets/a_level_maths/year-2-integration-ans-13355b71.pdf" TargetMode="External" Id="rId831" /><Relationship Type="http://schemas.openxmlformats.org/officeDocument/2006/relationships/hyperlink" Target="https://pmt.physicsandmathstutor.com/download/Maths/A-level/Pure/Integration-2/Edexcel-Set-C/QP/Solving%20Differential%20Equations%20QP.pdf" TargetMode="External" Id="rId832" /><Relationship Type="http://schemas.openxmlformats.org/officeDocument/2006/relationships/hyperlink" Target="https://pmt.physicsandmathstutor.com/download/Maths/A-level/Pure/Integration-2/Edexcel-Set-C/MS/Solving%20Differential%20Equations%20MS.pdf" TargetMode="External" Id="rId833" /><Relationship Type="http://schemas.openxmlformats.org/officeDocument/2006/relationships/hyperlink" Target="https://pmt.physicsandmathstutor.com/download/Maths/A-level/Pure/Integration-2/Edexcel-Set-C/MA/Solving%20Differential%20Equations%20MA.pdf" TargetMode="External" Id="rId834" /><Relationship Type="http://schemas.openxmlformats.org/officeDocument/2006/relationships/hyperlink" Target="https://mathsgenie.co.uk/a-level/maths/edexcel/a-level-pure-mathematics-10-1-locating-roots" TargetMode="External" Id="rId835" /><Relationship Type="http://schemas.openxmlformats.org/officeDocument/2006/relationships/hyperlink" Target="https://assets.mathsgenie.co.uk/content/worksheets/a_level_maths/numerical-methods-0f2c788a.pdf" TargetMode="External" Id="rId836" /><Relationship Type="http://schemas.openxmlformats.org/officeDocument/2006/relationships/hyperlink" Target="https://assets.mathsgenie.co.uk/content/worksheets/a_level_maths/numerical-methods-ans-795c2317.pdf" TargetMode="External" Id="rId837" /><Relationship Type="http://schemas.openxmlformats.org/officeDocument/2006/relationships/hyperlink" Target="https://pmt.physicsandmathstutor.com/download/Maths/A-level/Pure/Numerical-Methods-2/Edexcel-Set-C/QP/Location%20of%20Roots%20QP.pdf" TargetMode="External" Id="rId838" /><Relationship Type="http://schemas.openxmlformats.org/officeDocument/2006/relationships/hyperlink" Target="https://pmt.physicsandmathstutor.com/download/Maths/A-level/Pure/Numerical-Methods-2/Edexcel-Set-C/MS/Location%20of%20Roots%20MS.pdf" TargetMode="External" Id="rId839" /><Relationship Type="http://schemas.openxmlformats.org/officeDocument/2006/relationships/hyperlink" Target="https://pmt.physicsandmathstutor.com/download/Maths/A-level/Pure/Numerical-Methods-2/Edexcel-Set-C/MA/Location%20of%20Roots%20MA.pdf" TargetMode="External" Id="rId840" /><Relationship Type="http://schemas.openxmlformats.org/officeDocument/2006/relationships/hyperlink" Target="https://mathsgenie.co.uk/a-level/maths/edexcel/a-level-pure-mathematics-10-2-iteration" TargetMode="External" Id="rId841" /><Relationship Type="http://schemas.openxmlformats.org/officeDocument/2006/relationships/hyperlink" Target="https://assets.mathsgenie.co.uk/content/worksheets/a_level_maths/numerical-methods-0f2c788a.pdf" TargetMode="External" Id="rId842" /><Relationship Type="http://schemas.openxmlformats.org/officeDocument/2006/relationships/hyperlink" Target="https://assets.mathsgenie.co.uk/content/worksheets/a_level_maths/numerical-methods-ans-795c2317.pdf" TargetMode="External" Id="rId843" /><Relationship Type="http://schemas.openxmlformats.org/officeDocument/2006/relationships/hyperlink" Target="https://pmt.physicsandmathstutor.com/download/Maths/A-level/Pure/Numerical-Methods-2/Edexcel-Set-C/QP/Iterative%20Equations%20QP.pdf" TargetMode="External" Id="rId844" /><Relationship Type="http://schemas.openxmlformats.org/officeDocument/2006/relationships/hyperlink" Target="https://pmt.physicsandmathstutor.com/download/Maths/A-level/Pure/Numerical-Methods-2/Edexcel-Set-C/MS/Iterative%20Equations%20MS.pdf" TargetMode="External" Id="rId845" /><Relationship Type="http://schemas.openxmlformats.org/officeDocument/2006/relationships/hyperlink" Target="https://pmt.physicsandmathstutor.com/download/Maths/A-level/Pure/Numerical-Methods-2/Edexcel-Set-C/MA/Iterative%20Equations%20MA.pdf" TargetMode="External" Id="rId846" /><Relationship Type="http://schemas.openxmlformats.org/officeDocument/2006/relationships/hyperlink" Target="https://mathsgenie.co.uk/a-level/maths/edexcel/a-level-pure-mathematics-10-3-the-newton-raphson-method" TargetMode="External" Id="rId847" /><Relationship Type="http://schemas.openxmlformats.org/officeDocument/2006/relationships/hyperlink" Target="https://assets.mathsgenie.co.uk/content/worksheets/a_level_maths/numerical-methods-0f2c788a.pdf" TargetMode="External" Id="rId848" /><Relationship Type="http://schemas.openxmlformats.org/officeDocument/2006/relationships/hyperlink" Target="https://assets.mathsgenie.co.uk/content/worksheets/a_level_maths/numerical-methods-ans-795c2317.pdf" TargetMode="External" Id="rId849" /><Relationship Type="http://schemas.openxmlformats.org/officeDocument/2006/relationships/hyperlink" Target="https://pmt.physicsandmathstutor.com/download/Maths/A-level/Pure/Numerical-Methods-2/Edexcel-Set-C/QP/Newton%20Raphson%20QP.pdf" TargetMode="External" Id="rId850" /><Relationship Type="http://schemas.openxmlformats.org/officeDocument/2006/relationships/hyperlink" Target="https://pmt.physicsandmathstutor.com/download/Maths/A-level/Pure/Numerical-Methods-2/Edexcel-Set-C/MS/Newton%20Raphson%20MS.pdf" TargetMode="External" Id="rId851" /><Relationship Type="http://schemas.openxmlformats.org/officeDocument/2006/relationships/hyperlink" Target="https://pmt.physicsandmathstutor.com/download/Maths/A-level/Pure/Numerical-Methods-2/Edexcel-Set-C/MA/Newton%20Raphson%20MA.pdf" TargetMode="External" Id="rId852" /><Relationship Type="http://schemas.openxmlformats.org/officeDocument/2006/relationships/hyperlink" Target="https://mathsgenie.co.uk/a-level/maths/edexcel/a-level-pure-mathematics-11-9-the-trapezium-rule" TargetMode="External" Id="rId853" /><Relationship Type="http://schemas.openxmlformats.org/officeDocument/2006/relationships/hyperlink" Target="https://assets.mathsgenie.co.uk/content/worksheets/a_level_maths/year-2-integration-5dfd3517.pdf" TargetMode="External" Id="rId854" /><Relationship Type="http://schemas.openxmlformats.org/officeDocument/2006/relationships/hyperlink" Target="https://assets.mathsgenie.co.uk/content/worksheets/a_level_maths/year-2-integration-ans-13355b71.pdf" TargetMode="External" Id="rId855" /><Relationship Type="http://schemas.openxmlformats.org/officeDocument/2006/relationships/hyperlink" Target="https://pmt.physicsandmathstutor.com/download/Maths/A-level/Pure/Integration-2/Edexcel-Set-C/QP/Trapezium%20Rule%20QP.pdf" TargetMode="External" Id="rId856" /><Relationship Type="http://schemas.openxmlformats.org/officeDocument/2006/relationships/hyperlink" Target="https://pmt.physicsandmathstutor.com/download/Maths/A-level/Pure/Integration-2/Edexcel-Set-C/MS/Trapezium%20Rule%20MS.pdf" TargetMode="External" Id="rId857" /><Relationship Type="http://schemas.openxmlformats.org/officeDocument/2006/relationships/hyperlink" Target="https://pmt.physicsandmathstutor.com/download/Maths/A-level/Pure/Integration-2/Edexcel-Set-C/MA/Trapezium%20Rule%20MA.pdf" TargetMode="External" Id="rId858" /><Relationship Type="http://schemas.openxmlformats.org/officeDocument/2006/relationships/hyperlink" Target="https://mathsgenie.co.uk/a-level/maths/edexcel/a-level-pure-mathematics-10-4-applications-to-modelling" TargetMode="External" Id="rId859" /><Relationship Type="http://schemas.openxmlformats.org/officeDocument/2006/relationships/hyperlink" Target="https://assets.mathsgenie.co.uk/content/worksheets/a_level_maths/numerical-methods-0f2c788a.pdf" TargetMode="External" Id="rId860" /><Relationship Type="http://schemas.openxmlformats.org/officeDocument/2006/relationships/hyperlink" Target="https://assets.mathsgenie.co.uk/content/worksheets/a_level_maths/numerical-methods-ans-795c2317.pdf" TargetMode="External" Id="rId861" /><Relationship Type="http://schemas.openxmlformats.org/officeDocument/2006/relationships/hyperlink" Target="https://pmt.physicsandmathstutor.com/download/Maths/A-level/Pure/Numerical-Methods-2/Edexcel-Set-C/QP/Location%20of%20Roots%20QP.pdf" TargetMode="External" Id="rId862" /><Relationship Type="http://schemas.openxmlformats.org/officeDocument/2006/relationships/hyperlink" Target="https://pmt.physicsandmathstutor.com/download/Maths/A-level/Pure/Numerical-Methods-2/Edexcel-Set-C/MS/Location%20of%20Roots%20MS.pdf" TargetMode="External" Id="rId863" /><Relationship Type="http://schemas.openxmlformats.org/officeDocument/2006/relationships/hyperlink" Target="https://pmt.physicsandmathstutor.com/download/Maths/A-level/Pure/Numerical-Methods-2/Edexcel-Set-C/MA/Location%20of%20Roots%20MA.pdf" TargetMode="External" Id="rId864" /><Relationship Type="http://schemas.openxmlformats.org/officeDocument/2006/relationships/hyperlink" Target="https://mathsgenie.co.uk/a-level/maths/edexcel/as-pure-mathematics-11-2-representing-vectors" TargetMode="External" Id="rId865" /><Relationship Type="http://schemas.openxmlformats.org/officeDocument/2006/relationships/hyperlink" Target="https://assets.mathsgenie.co.uk/content/worksheets/as_level_maths/as-pure-vectors-89a0206f.pdf" TargetMode="External" Id="rId866" /><Relationship Type="http://schemas.openxmlformats.org/officeDocument/2006/relationships/hyperlink" Target="https://assets.mathsgenie.co.uk/content/worksheets/as_level_maths/as-pure-vectors-ans-1461a0bf.pdf" TargetMode="External" Id="rId867" /><Relationship Type="http://schemas.openxmlformats.org/officeDocument/2006/relationships/hyperlink" Target="https://pmt.physicsandmathstutor.com/download/Maths/A-level/Pure/Vectors-1/Edexcel-Set-C/QP/Vectors%20QP.pdf" TargetMode="External" Id="rId868" /><Relationship Type="http://schemas.openxmlformats.org/officeDocument/2006/relationships/hyperlink" Target="https://pmt.physicsandmathstutor.com/download/Maths/A-level/Pure/Vectors-1/Edexcel-Set-C/MS/Vectors%20MS.pdf" TargetMode="External" Id="rId869" /><Relationship Type="http://schemas.openxmlformats.org/officeDocument/2006/relationships/hyperlink" Target="https://pmt.physicsandmathstutor.com/download/Maths/A-level/Pure/Vectors-1/Edexcel-Set-C/MA/Vectors%20MA.pdf" TargetMode="External" Id="rId870" /><Relationship Type="http://schemas.openxmlformats.org/officeDocument/2006/relationships/hyperlink" Target="https://mathsgenie.co.uk/a-level/maths/edexcel/as-pure-mathematics-11-3-magnitude-and-direction" TargetMode="External" Id="rId871" /><Relationship Type="http://schemas.openxmlformats.org/officeDocument/2006/relationships/hyperlink" Target="https://assets.mathsgenie.co.uk/content/worksheets/as_level_maths/as-pure-vectors-89a0206f.pdf" TargetMode="External" Id="rId872" /><Relationship Type="http://schemas.openxmlformats.org/officeDocument/2006/relationships/hyperlink" Target="https://assets.mathsgenie.co.uk/content/worksheets/as_level_maths/as-pure-vectors-ans-1461a0bf.pdf" TargetMode="External" Id="rId873" /><Relationship Type="http://schemas.openxmlformats.org/officeDocument/2006/relationships/hyperlink" Target="https://pmt.physicsandmathstutor.com/download/Maths/A-level/Pure/Vectors-1/Edexcel-Set-C/QP/Vectors%20QP.pdf" TargetMode="External" Id="rId874" /><Relationship Type="http://schemas.openxmlformats.org/officeDocument/2006/relationships/hyperlink" Target="https://pmt.physicsandmathstutor.com/download/Maths/A-level/Pure/Vectors-1/Edexcel-Set-C/MS/Vectors%20MS.pdf" TargetMode="External" Id="rId875" /><Relationship Type="http://schemas.openxmlformats.org/officeDocument/2006/relationships/hyperlink" Target="https://pmt.physicsandmathstutor.com/download/Maths/A-level/Pure/Vectors-1/Edexcel-Set-C/MA/Vectors%20MA.pdf" TargetMode="External" Id="rId876" /><Relationship Type="http://schemas.openxmlformats.org/officeDocument/2006/relationships/hyperlink" Target="https://mathsgenie.co.uk/a-level/maths/edexcel/as-pure-mathematics-11-4-position-vectors" TargetMode="External" Id="rId877" /><Relationship Type="http://schemas.openxmlformats.org/officeDocument/2006/relationships/hyperlink" Target="https://assets.mathsgenie.co.uk/content/worksheets/as_level_maths/as-pure-vectors-89a0206f.pdf" TargetMode="External" Id="rId878" /><Relationship Type="http://schemas.openxmlformats.org/officeDocument/2006/relationships/hyperlink" Target="https://assets.mathsgenie.co.uk/content/worksheets/as_level_maths/as-pure-vectors-ans-1461a0bf.pdf" TargetMode="External" Id="rId879" /><Relationship Type="http://schemas.openxmlformats.org/officeDocument/2006/relationships/hyperlink" Target="https://pmt.physicsandmathstutor.com/download/Maths/A-level/Pure/Vectors-1/Edexcel-Set-C/QP/Vectors%20QP.pdf" TargetMode="External" Id="rId880" /><Relationship Type="http://schemas.openxmlformats.org/officeDocument/2006/relationships/hyperlink" Target="https://pmt.physicsandmathstutor.com/download/Maths/A-level/Pure/Vectors-1/Edexcel-Set-C/MS/Vectors%20MS.pdf" TargetMode="External" Id="rId881" /><Relationship Type="http://schemas.openxmlformats.org/officeDocument/2006/relationships/hyperlink" Target="https://pmt.physicsandmathstutor.com/download/Maths/A-level/Pure/Vectors-1/Edexcel-Set-C/MA/Vectors%20MA.pdf" TargetMode="External" Id="rId882" /><Relationship Type="http://schemas.openxmlformats.org/officeDocument/2006/relationships/hyperlink" Target="https://mathsgenie.co.uk/a-level/maths/edexcel/as-pure-mathematics-11-5-solving-geometric-problems" TargetMode="External" Id="rId883" /><Relationship Type="http://schemas.openxmlformats.org/officeDocument/2006/relationships/hyperlink" Target="https://assets.mathsgenie.co.uk/content/worksheets/as_level_maths/as-pure-vectors-89a0206f.pdf" TargetMode="External" Id="rId884" /><Relationship Type="http://schemas.openxmlformats.org/officeDocument/2006/relationships/hyperlink" Target="https://assets.mathsgenie.co.uk/content/worksheets/as_level_maths/as-pure-vectors-ans-1461a0bf.pdf" TargetMode="External" Id="rId885" /><Relationship Type="http://schemas.openxmlformats.org/officeDocument/2006/relationships/hyperlink" Target="https://pmt.physicsandmathstutor.com/download/Maths/A-level/Pure/Vectors-1/Edexcel-Set-C/QP/Vectors%20QP.pdf" TargetMode="External" Id="rId886" /><Relationship Type="http://schemas.openxmlformats.org/officeDocument/2006/relationships/hyperlink" Target="https://pmt.physicsandmathstutor.com/download/Maths/A-level/Pure/Vectors-1/Edexcel-Set-C/MS/Vectors%20MS.pdf" TargetMode="External" Id="rId887" /><Relationship Type="http://schemas.openxmlformats.org/officeDocument/2006/relationships/hyperlink" Target="https://pmt.physicsandmathstutor.com/download/Maths/A-level/Pure/Vectors-1/Edexcel-Set-C/MA/Vectors%20MA.pdf" TargetMode="External" Id="rId888" /><Relationship Type="http://schemas.openxmlformats.org/officeDocument/2006/relationships/hyperlink" Target="https://mathsgenie.co.uk/a-level/maths/edexcel/as-pure-mathematics-11-6-modelling-with-vectors" TargetMode="External" Id="rId889" /><Relationship Type="http://schemas.openxmlformats.org/officeDocument/2006/relationships/hyperlink" Target="https://assets.mathsgenie.co.uk/content/worksheets/as_level_maths/as-pure-vectors-89a0206f.pdf" TargetMode="External" Id="rId890" /><Relationship Type="http://schemas.openxmlformats.org/officeDocument/2006/relationships/hyperlink" Target="https://assets.mathsgenie.co.uk/content/worksheets/as_level_maths/as-pure-vectors-ans-1461a0bf.pdf" TargetMode="External" Id="rId891" /><Relationship Type="http://schemas.openxmlformats.org/officeDocument/2006/relationships/hyperlink" Target="https://pmt.physicsandmathstutor.com/download/Maths/A-level/Pure/Vectors-1/Edexcel-Set-C/QP/Vectors%20QP.pdf" TargetMode="External" Id="rId892" /><Relationship Type="http://schemas.openxmlformats.org/officeDocument/2006/relationships/hyperlink" Target="https://pmt.physicsandmathstutor.com/download/Maths/A-level/Pure/Vectors-1/Edexcel-Set-C/MS/Vectors%20MS.pdf" TargetMode="External" Id="rId893" /><Relationship Type="http://schemas.openxmlformats.org/officeDocument/2006/relationships/hyperlink" Target="https://pmt.physicsandmathstutor.com/download/Maths/A-level/Pure/Vectors-1/Edexcel-Set-C/MA/Vectors%20MA.pdf" TargetMode="External" Id="rId894" /><Relationship Type="http://schemas.openxmlformats.org/officeDocument/2006/relationships/hyperlink" Target="https://mathsgenie.co.uk/a-level/maths/edexcel/a-level-pure-mathematics-12-2-vectors-in-3d" TargetMode="External" Id="rId895" /><Relationship Type="http://schemas.openxmlformats.org/officeDocument/2006/relationships/hyperlink" Target="https://assets.mathsgenie.co.uk/content/worksheets/a_level_maths/3d-vectors-159ab14f.pdf" TargetMode="External" Id="rId896" /><Relationship Type="http://schemas.openxmlformats.org/officeDocument/2006/relationships/hyperlink" Target="https://assets.mathsgenie.co.uk/content/worksheets/a_level_maths/3d-vectors-ans-1b4dfe6b.pdf" TargetMode="External" Id="rId897" /><Relationship Type="http://schemas.openxmlformats.org/officeDocument/2006/relationships/hyperlink" Target="https://pmt.physicsandmathstutor.com/download/Maths/A-level/Pure/Vectors-2/Edexcel-Set-C/QP/Vectors%20QP.pdf" TargetMode="External" Id="rId898" /><Relationship Type="http://schemas.openxmlformats.org/officeDocument/2006/relationships/hyperlink" Target="https://pmt.physicsandmathstutor.com/download/Maths/A-level/Pure/Vectors-2/Edexcel-Set-C/MS/Vectors%20MS.pdf" TargetMode="External" Id="rId899" /><Relationship Type="http://schemas.openxmlformats.org/officeDocument/2006/relationships/hyperlink" Target="https://pmt.physicsandmathstutor.com/download/Maths/A-level/Pure/Vectors-2/Edexcel-Set-C/MA/Vectors%20MA.pdf" TargetMode="External" Id="rId900" /><Relationship Type="http://schemas.openxmlformats.org/officeDocument/2006/relationships/hyperlink" Target="https://mathsgenie.co.uk/a-level/maths/edexcel/a-level-pure-mathematics-12-3-solving-geometric-problems" TargetMode="External" Id="rId901" /><Relationship Type="http://schemas.openxmlformats.org/officeDocument/2006/relationships/hyperlink" Target="https://assets.mathsgenie.co.uk/content/worksheets/a_level_maths/3d-vectors-159ab14f.pdf" TargetMode="External" Id="rId902" /><Relationship Type="http://schemas.openxmlformats.org/officeDocument/2006/relationships/hyperlink" Target="https://assets.mathsgenie.co.uk/content/worksheets/a_level_maths/3d-vectors-ans-1b4dfe6b.pdf" TargetMode="External" Id="rId903" /><Relationship Type="http://schemas.openxmlformats.org/officeDocument/2006/relationships/hyperlink" Target="https://pmt.physicsandmathstutor.com/download/Maths/A-level/Pure/Vectors-2/Edexcel-Set-C/QP/Vectors%20QP.pdf" TargetMode="External" Id="rId904" /><Relationship Type="http://schemas.openxmlformats.org/officeDocument/2006/relationships/hyperlink" Target="https://pmt.physicsandmathstutor.com/download/Maths/A-level/Pure/Vectors-2/Edexcel-Set-C/MS/Vectors%20MS.pdf" TargetMode="External" Id="rId905" /><Relationship Type="http://schemas.openxmlformats.org/officeDocument/2006/relationships/hyperlink" Target="https://pmt.physicsandmathstutor.com/download/Maths/A-level/Pure/Vectors-2/Edexcel-Set-C/MA/Vectors%20MA.pdf" TargetMode="External" Id="rId906" /><Relationship Type="http://schemas.openxmlformats.org/officeDocument/2006/relationships/hyperlink" Target="https://mathsgenie.co.uk/a-level/maths/edexcel/a-level-pure-mathematics-12-4-application-to-mechanics" TargetMode="External" Id="rId907" /><Relationship Type="http://schemas.openxmlformats.org/officeDocument/2006/relationships/hyperlink" Target="https://assets.mathsgenie.co.uk/content/worksheets/a_level_maths/3d-vectors-159ab14f.pdf" TargetMode="External" Id="rId908" /><Relationship Type="http://schemas.openxmlformats.org/officeDocument/2006/relationships/hyperlink" Target="https://assets.mathsgenie.co.uk/content/worksheets/a_level_maths/3d-vectors-ans-1b4dfe6b.pdf" TargetMode="External" Id="rId909" /><Relationship Type="http://schemas.openxmlformats.org/officeDocument/2006/relationships/hyperlink" Target="https://pmt.physicsandmathstutor.com/download/Maths/A-level/Pure/Vectors-2/Edexcel-Set-C/QP/Vectors%20QP.pdf" TargetMode="External" Id="rId910" /><Relationship Type="http://schemas.openxmlformats.org/officeDocument/2006/relationships/hyperlink" Target="https://pmt.physicsandmathstutor.com/download/Maths/A-level/Pure/Vectors-2/Edexcel-Set-C/MS/Vectors%20MS.pdf" TargetMode="External" Id="rId911" /><Relationship Type="http://schemas.openxmlformats.org/officeDocument/2006/relationships/hyperlink" Target="https://pmt.physicsandmathstutor.com/download/Maths/A-level/Pure/Vectors-2/Edexcel-Set-C/MA/Vectors%20MA.pdf" TargetMode="External" Id="rId912" /><Relationship Type="http://schemas.openxmlformats.org/officeDocument/2006/relationships/hyperlink" Target="https://mathsgenie.co.uk/a-level/maths/edexcel/as-statistics-populations-and-samples" TargetMode="External" Id="rId913" /><Relationship Type="http://schemas.openxmlformats.org/officeDocument/2006/relationships/hyperlink" Target="https://assets.mathsgenie.co.uk/content/worksheets/as_level_maths/data-collection-6dc9d8e3.pdf" TargetMode="External" Id="rId914" /><Relationship Type="http://schemas.openxmlformats.org/officeDocument/2006/relationships/hyperlink" Target="https://assets.mathsgenie.co.uk/content/worksheets/as_level_maths/data-collection-ans-6283f14d.pdf" TargetMode="External" Id="rId915" /><Relationship Type="http://schemas.openxmlformats.org/officeDocument/2006/relationships/hyperlink" Target="https://pmt.physicsandmathstutor.com/download/Maths/A-level/Statistics/Statistical-Sampling-1/Edexcel-Set-C/QP/Sampling%20QP.pdf" TargetMode="External" Id="rId916" /><Relationship Type="http://schemas.openxmlformats.org/officeDocument/2006/relationships/hyperlink" Target="https://pmt.physicsandmathstutor.com/download/Maths/A-level/Statistics/Statistical-Sampling-1/Edexcel-Set-C/MS/Sampling%20MS.pdf" TargetMode="External" Id="rId917" /><Relationship Type="http://schemas.openxmlformats.org/officeDocument/2006/relationships/hyperlink" Target="https://pmt.physicsandmathstutor.com/download/Maths/A-level/Statistics/Statistical-Sampling-1/Edexcel-Set-C/MA/Sampling%20MA.pdf" TargetMode="External" Id="rId918" /><Relationship Type="http://schemas.openxmlformats.org/officeDocument/2006/relationships/hyperlink" Target="https://mathsgenie.co.uk/a-level/maths/edexcel/as-statistics-sampling" TargetMode="External" Id="rId919" /><Relationship Type="http://schemas.openxmlformats.org/officeDocument/2006/relationships/hyperlink" Target="https://assets.mathsgenie.co.uk/content/worksheets/a_level_maths/as-stats-sampling-ac589b09.pdf" TargetMode="External" Id="rId920" /><Relationship Type="http://schemas.openxmlformats.org/officeDocument/2006/relationships/hyperlink" Target="https://assets.mathsgenie.co.uk/content/worksheets/a_level_maths/as-stats-sampling-ans-43791cab.pdf" TargetMode="External" Id="rId921" /><Relationship Type="http://schemas.openxmlformats.org/officeDocument/2006/relationships/hyperlink" Target="https://pmt.physicsandmathstutor.com/download/Maths/A-level/Statistics/Statistical-Sampling-1/Edexcel-Set-C/QP/Sampling%20QP.pdf" TargetMode="External" Id="rId922" /><Relationship Type="http://schemas.openxmlformats.org/officeDocument/2006/relationships/hyperlink" Target="https://pmt.physicsandmathstutor.com/download/Maths/A-level/Statistics/Statistical-Sampling-1/Edexcel-Set-C/MS/Sampling%20MS.pdf" TargetMode="External" Id="rId923" /><Relationship Type="http://schemas.openxmlformats.org/officeDocument/2006/relationships/hyperlink" Target="https://pmt.physicsandmathstutor.com/download/Maths/A-level/Statistics/Statistical-Sampling-1/Edexcel-Set-C/MA/Sampling%20MA.pdf" TargetMode="External" Id="rId924" /><Relationship Type="http://schemas.openxmlformats.org/officeDocument/2006/relationships/hyperlink" Target="https://mathsgenie.co.uk/a-level/maths/edexcel/as-statistics-non-random-sampling" TargetMode="External" Id="rId925" /><Relationship Type="http://schemas.openxmlformats.org/officeDocument/2006/relationships/hyperlink" Target="https://assets.mathsgenie.co.uk/content/worksheets/as_level_maths/data-collection-6dc9d8e3.pdf" TargetMode="External" Id="rId926" /><Relationship Type="http://schemas.openxmlformats.org/officeDocument/2006/relationships/hyperlink" Target="https://assets.mathsgenie.co.uk/content/worksheets/as_level_maths/data-collection-ans-6283f14d.pdf" TargetMode="External" Id="rId927" /><Relationship Type="http://schemas.openxmlformats.org/officeDocument/2006/relationships/hyperlink" Target="https://pmt.physicsandmathstutor.com/download/Maths/A-level/Statistics/Statistical-Sampling-1/Edexcel-Set-C/QP/Sampling%20QP.pdf" TargetMode="External" Id="rId928" /><Relationship Type="http://schemas.openxmlformats.org/officeDocument/2006/relationships/hyperlink" Target="https://pmt.physicsandmathstutor.com/download/Maths/A-level/Statistics/Statistical-Sampling-1/Edexcel-Set-C/MS/Sampling%20MS.pdf" TargetMode="External" Id="rId929" /><Relationship Type="http://schemas.openxmlformats.org/officeDocument/2006/relationships/hyperlink" Target="https://pmt.physicsandmathstutor.com/download/Maths/A-level/Statistics/Statistical-Sampling-1/Edexcel-Set-C/MA/Sampling%20MA.pdf" TargetMode="External" Id="rId930" /><Relationship Type="http://schemas.openxmlformats.org/officeDocument/2006/relationships/hyperlink" Target="https://mathsgenie.co.uk/a-level/maths/edexcel/as-statistics-types-of-data" TargetMode="External" Id="rId931" /><Relationship Type="http://schemas.openxmlformats.org/officeDocument/2006/relationships/hyperlink" Target="https://assets.mathsgenie.co.uk/content/worksheets/as_level_maths/data-collection-6dc9d8e3.pdf" TargetMode="External" Id="rId932" /><Relationship Type="http://schemas.openxmlformats.org/officeDocument/2006/relationships/hyperlink" Target="https://assets.mathsgenie.co.uk/content/worksheets/as_level_maths/data-collection-ans-6283f14d.pdf" TargetMode="External" Id="rId933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34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35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36" /><Relationship Type="http://schemas.openxmlformats.org/officeDocument/2006/relationships/hyperlink" Target="https://mathsgenie.co.uk/a-level/maths/edexcel/as-statistics-measures-of-central-tendency" TargetMode="External" Id="rId937" /><Relationship Type="http://schemas.openxmlformats.org/officeDocument/2006/relationships/hyperlink" Target="https://assets.mathsgenie.co.uk/content/worksheets/as_level_maths/measures-of-location-and-spread-0f1d8677.pdf" TargetMode="External" Id="rId938" /><Relationship Type="http://schemas.openxmlformats.org/officeDocument/2006/relationships/hyperlink" Target="https://assets.mathsgenie.co.uk/content/worksheets/as_level_maths/measures-of-location-and-spread-ans-ce4aaea3.pdf" TargetMode="External" Id="rId939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40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41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42" /><Relationship Type="http://schemas.openxmlformats.org/officeDocument/2006/relationships/hyperlink" Target="https://mathsgenie.co.uk/a-level/maths/edexcel/as-statistics-other-measures-of-location" TargetMode="External" Id="rId943" /><Relationship Type="http://schemas.openxmlformats.org/officeDocument/2006/relationships/hyperlink" Target="https://assets.mathsgenie.co.uk/content/worksheets/as_level_maths/measures-of-location-and-spread-0f1d8677.pdf" TargetMode="External" Id="rId944" /><Relationship Type="http://schemas.openxmlformats.org/officeDocument/2006/relationships/hyperlink" Target="https://assets.mathsgenie.co.uk/content/worksheets/as_level_maths/measures-of-location-and-spread-ans-ce4aaea3.pdf" TargetMode="External" Id="rId945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46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47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48" /><Relationship Type="http://schemas.openxmlformats.org/officeDocument/2006/relationships/hyperlink" Target="https://mathsgenie.co.uk/a-level/maths/edexcel/as-statistics-variance-and-standard-deviation" TargetMode="External" Id="rId949" /><Relationship Type="http://schemas.openxmlformats.org/officeDocument/2006/relationships/hyperlink" Target="https://assets.mathsgenie.co.uk/content/worksheets/a_level_maths/as-stats-interpolation-and-standard-deviation-4b9a2461.pdf" TargetMode="External" Id="rId950" /><Relationship Type="http://schemas.openxmlformats.org/officeDocument/2006/relationships/hyperlink" Target="https://assets.mathsgenie.co.uk/content/worksheets/a_level_maths/as-stats-interpolation-and-standard-deviation-ans-e62ef8f9.pdf" TargetMode="External" Id="rId951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52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53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54" /><Relationship Type="http://schemas.openxmlformats.org/officeDocument/2006/relationships/hyperlink" Target="https://mathsgenie.co.uk/a-level/maths/edexcel/as-statistics-coding" TargetMode="External" Id="rId955" /><Relationship Type="http://schemas.openxmlformats.org/officeDocument/2006/relationships/hyperlink" Target="https://assets.mathsgenie.co.uk/content/worksheets/as_level_maths/measures-of-location-and-spread-0f1d8677.pdf" TargetMode="External" Id="rId956" /><Relationship Type="http://schemas.openxmlformats.org/officeDocument/2006/relationships/hyperlink" Target="https://assets.mathsgenie.co.uk/content/worksheets/as_level_maths/measures-of-location-and-spread-ans-ce4aaea3.pdf" TargetMode="External" Id="rId957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58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59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60" /><Relationship Type="http://schemas.openxmlformats.org/officeDocument/2006/relationships/hyperlink" Target="https://mathsgenie.co.uk/a-level/maths/edexcel/as-statistics-box-plots" TargetMode="External" Id="rId961" /><Relationship Type="http://schemas.openxmlformats.org/officeDocument/2006/relationships/hyperlink" Target="https://assets.mathsgenie.co.uk/content/worksheets/a_level_maths/as-stats-box-plots-b37b11dd.pdf" TargetMode="External" Id="rId962" /><Relationship Type="http://schemas.openxmlformats.org/officeDocument/2006/relationships/hyperlink" Target="https://assets.mathsgenie.co.uk/content/worksheets/a_level_maths/as-stats-box-plots-ans-152da300.pdf" TargetMode="External" Id="rId963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64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65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66" /><Relationship Type="http://schemas.openxmlformats.org/officeDocument/2006/relationships/hyperlink" Target="https://mathsgenie.co.uk/a-level/maths/edexcel/as-statistics-cumulative-frequency" TargetMode="External" Id="rId967" /><Relationship Type="http://schemas.openxmlformats.org/officeDocument/2006/relationships/hyperlink" Target="https://assets.mathsgenie.co.uk/content/worksheets/a_level_maths/representations-of-data-de158680.pdf" TargetMode="External" Id="rId968" /><Relationship Type="http://schemas.openxmlformats.org/officeDocument/2006/relationships/hyperlink" Target="https://assets.mathsgenie.co.uk/content/worksheets/a_level_maths/representations-of-data-ans-e73bd35e.pdf" TargetMode="External" Id="rId969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70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71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72" /><Relationship Type="http://schemas.openxmlformats.org/officeDocument/2006/relationships/hyperlink" Target="https://mathsgenie.co.uk/a-level/maths/edexcel/as-statistics-histograms" TargetMode="External" Id="rId973" /><Relationship Type="http://schemas.openxmlformats.org/officeDocument/2006/relationships/hyperlink" Target="https://assets.mathsgenie.co.uk/content/worksheets/a_level_maths/as-stats-histograms-085815b3.pdf" TargetMode="External" Id="rId974" /><Relationship Type="http://schemas.openxmlformats.org/officeDocument/2006/relationships/hyperlink" Target="https://assets.mathsgenie.co.uk/content/worksheets/a_level_maths/as-stats-histograms-ans-1f46ab15.pdf" TargetMode="External" Id="rId975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76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77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78" /><Relationship Type="http://schemas.openxmlformats.org/officeDocument/2006/relationships/hyperlink" Target="https://mathsgenie.co.uk/a-level/maths/edexcel/as-statistics-outliers" TargetMode="External" Id="rId979" /><Relationship Type="http://schemas.openxmlformats.org/officeDocument/2006/relationships/hyperlink" Target="https://assets.mathsgenie.co.uk/content/worksheets/a_level_maths/representations-of-data-de158680.pdf" TargetMode="External" Id="rId980" /><Relationship Type="http://schemas.openxmlformats.org/officeDocument/2006/relationships/hyperlink" Target="https://assets.mathsgenie.co.uk/content/worksheets/a_level_maths/representations-of-data-ans-e73bd35e.pdf" TargetMode="External" Id="rId981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82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83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84" /><Relationship Type="http://schemas.openxmlformats.org/officeDocument/2006/relationships/hyperlink" Target="https://mathsgenie.co.uk/a-level/maths/edexcel/as-statistics-comparing-data" TargetMode="External" Id="rId985" /><Relationship Type="http://schemas.openxmlformats.org/officeDocument/2006/relationships/hyperlink" Target="https://assets.mathsgenie.co.uk/content/worksheets/a_level_maths/representations-of-data-de158680.pdf" TargetMode="External" Id="rId986" /><Relationship Type="http://schemas.openxmlformats.org/officeDocument/2006/relationships/hyperlink" Target="https://assets.mathsgenie.co.uk/content/worksheets/a_level_maths/representations-of-data-ans-e73bd35e.pdf" TargetMode="External" Id="rId987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988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989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990" /><Relationship Type="http://schemas.openxmlformats.org/officeDocument/2006/relationships/hyperlink" Target="https://mathsgenie.co.uk/a-level/maths/edexcel/as-statistics-correlation" TargetMode="External" Id="rId991" /><Relationship Type="http://schemas.openxmlformats.org/officeDocument/2006/relationships/hyperlink" Target="https://assets.mathsgenie.co.uk/content/worksheets/as_level_maths/as-stats-correlation-and-regression-090bdf26.pdf" TargetMode="External" Id="rId992" /><Relationship Type="http://schemas.openxmlformats.org/officeDocument/2006/relationships/hyperlink" Target="https://assets.mathsgenie.co.uk/content/worksheets/as_level_maths/as-stats-correlation-and-regression-ans-0737e55d.pdf" TargetMode="External" Id="rId993" /><Relationship Type="http://schemas.openxmlformats.org/officeDocument/2006/relationships/hyperlink" Target="https://pmt.physicsandmathstutor.com/download/Maths/A-level/Statistics/Data-Presentation-and-Interpretation-1/Edexcel-Set-C/QP/Regression%20and%20Correlation%20QP.pdf" TargetMode="External" Id="rId994" /><Relationship Type="http://schemas.openxmlformats.org/officeDocument/2006/relationships/hyperlink" Target="https://pmt.physicsandmathstutor.com/download/Maths/A-level/Statistics/Data-Presentation-and-Interpretation-1/Edexcel-Set-C/MS/Regression%20and%20Correlation%20MS.pdf" TargetMode="External" Id="rId995" /><Relationship Type="http://schemas.openxmlformats.org/officeDocument/2006/relationships/hyperlink" Target="https://pmt.physicsandmathstutor.com/download/Maths/A-level/Statistics/Data-Presentation-and-Interpretation-1/Edexcel-Set-C/MA/Regression%20and%20Correlation%20MA.pdf" TargetMode="External" Id="rId996" /><Relationship Type="http://schemas.openxmlformats.org/officeDocument/2006/relationships/hyperlink" Target="https://mathsgenie.co.uk/a-level/maths/edexcel/as-statistics-linear-regression" TargetMode="External" Id="rId997" /><Relationship Type="http://schemas.openxmlformats.org/officeDocument/2006/relationships/hyperlink" Target="https://assets.mathsgenie.co.uk/content/worksheets/as_level_maths/as-stats-correlation-and-regression-090bdf26.pdf" TargetMode="External" Id="rId998" /><Relationship Type="http://schemas.openxmlformats.org/officeDocument/2006/relationships/hyperlink" Target="https://assets.mathsgenie.co.uk/content/worksheets/as_level_maths/as-stats-correlation-and-regression-ans-0737e55d.pdf" TargetMode="External" Id="rId999" /><Relationship Type="http://schemas.openxmlformats.org/officeDocument/2006/relationships/hyperlink" Target="https://pmt.physicsandmathstutor.com/download/Maths/A-level/Statistics/Data-Presentation-and-Interpretation-1/Edexcel-Set-C/QP/Regression%20and%20Correlation%20QP.pdf" TargetMode="External" Id="rId1000" /><Relationship Type="http://schemas.openxmlformats.org/officeDocument/2006/relationships/hyperlink" Target="https://pmt.physicsandmathstutor.com/download/Maths/A-level/Statistics/Data-Presentation-and-Interpretation-1/Edexcel-Set-C/MS/Regression%20and%20Correlation%20MS.pdf" TargetMode="External" Id="rId1001" /><Relationship Type="http://schemas.openxmlformats.org/officeDocument/2006/relationships/hyperlink" Target="https://pmt.physicsandmathstutor.com/download/Maths/A-level/Statistics/Data-Presentation-and-Interpretation-1/Edexcel-Set-C/MA/Regression%20and%20Correlation%20MA.pdf" TargetMode="External" Id="rId1002" /><Relationship Type="http://schemas.openxmlformats.org/officeDocument/2006/relationships/hyperlink" Target="https://mathsgenie.co.uk/a-level/maths/edexcel/a-level-statistics-exponential-models" TargetMode="External" Id="rId1003" /><Relationship Type="http://schemas.openxmlformats.org/officeDocument/2006/relationships/hyperlink" Target="https://assets.mathsgenie.co.uk/content/worksheets/a_level_maths/regression-correlation-and-hypothesis-testing-955d4f0c.pdf" TargetMode="External" Id="rId1004" /><Relationship Type="http://schemas.openxmlformats.org/officeDocument/2006/relationships/hyperlink" Target="https://assets.mathsgenie.co.uk/content/worksheets/a_level_maths/regression-correlation-and-hypothesis-testing-ans-c55c04e4.pdf" TargetMode="External" Id="rId1005" /><Relationship Type="http://schemas.openxmlformats.org/officeDocument/2006/relationships/hyperlink" Target="https://pmt.physicsandmathstutor.com/download/Maths/A-level/Statistics/Data-Presentation-and-Interpretation-2/Edexcel-Set-C/QP/Regression%20and%20Correlation%20QP.pdf" TargetMode="External" Id="rId1006" /><Relationship Type="http://schemas.openxmlformats.org/officeDocument/2006/relationships/hyperlink" Target="https://pmt.physicsandmathstutor.com/download/Maths/A-level/Statistics/Data-Presentation-and-Interpretation-2/Edexcel-Set-C/MS/Regression%20and%20Correlation%20MS.pdf" TargetMode="External" Id="rId1007" /><Relationship Type="http://schemas.openxmlformats.org/officeDocument/2006/relationships/hyperlink" Target="https://pmt.physicsandmathstutor.com/download/Maths/A-level/Statistics/Data-Presentation-and-Interpretation-2/Edexcel-Set-C/MA/Regression%20and%20Correlation%20MA.pdf" TargetMode="External" Id="rId1008" /><Relationship Type="http://schemas.openxmlformats.org/officeDocument/2006/relationships/hyperlink" Target="https://mathsgenie.co.uk/a-level/maths/edexcel/a-level-statistics-measuring-correlation" TargetMode="External" Id="rId1009" /><Relationship Type="http://schemas.openxmlformats.org/officeDocument/2006/relationships/hyperlink" Target="https://assets.mathsgenie.co.uk/content/worksheets/a_level_maths/regression-correlation-and-hypothesis-testing-955d4f0c.pdf" TargetMode="External" Id="rId1010" /><Relationship Type="http://schemas.openxmlformats.org/officeDocument/2006/relationships/hyperlink" Target="https://assets.mathsgenie.co.uk/content/worksheets/a_level_maths/regression-correlation-and-hypothesis-testing-ans-c55c04e4.pdf" TargetMode="External" Id="rId1011" /><Relationship Type="http://schemas.openxmlformats.org/officeDocument/2006/relationships/hyperlink" Target="https://pmt.physicsandmathstutor.com/download/Maths/A-level/Statistics/Data-Presentation-and-Interpretation-2/Edexcel-Set-C/QP/Regression%20and%20Correlation%20QP.pdf" TargetMode="External" Id="rId1012" /><Relationship Type="http://schemas.openxmlformats.org/officeDocument/2006/relationships/hyperlink" Target="https://pmt.physicsandmathstutor.com/download/Maths/A-level/Statistics/Data-Presentation-and-Interpretation-2/Edexcel-Set-C/MS/Regression%20and%20Correlation%20MS.pdf" TargetMode="External" Id="rId1013" /><Relationship Type="http://schemas.openxmlformats.org/officeDocument/2006/relationships/hyperlink" Target="https://pmt.physicsandmathstutor.com/download/Maths/A-level/Statistics/Data-Presentation-and-Interpretation-2/Edexcel-Set-C/MA/Regression%20and%20Correlation%20MA.pdf" TargetMode="External" Id="rId1014" /><Relationship Type="http://schemas.openxmlformats.org/officeDocument/2006/relationships/hyperlink" Target="https://mathsgenie.co.uk/a-level/maths/edexcel/as-statistics-the-large-data-set" TargetMode="External" Id="rId1015" /><Relationship Type="http://schemas.openxmlformats.org/officeDocument/2006/relationships/hyperlink" Target="https://assets.mathsgenie.co.uk/content/worksheets/as_level_maths/data-collection-6dc9d8e3.pdf" TargetMode="External" Id="rId1016" /><Relationship Type="http://schemas.openxmlformats.org/officeDocument/2006/relationships/hyperlink" Target="https://assets.mathsgenie.co.uk/content/worksheets/as_level_maths/data-collection-ans-6283f14d.pdf" TargetMode="External" Id="rId1017" /><Relationship Type="http://schemas.openxmlformats.org/officeDocument/2006/relationships/hyperlink" Target="https://pmt.physicsandmathstutor.com/download/Maths/A-level/Statistics/Data-Presentation-and-Interpretation-1/Edexcel-Set-C/QP/Large%20data%20sets%20QP.pdf" TargetMode="External" Id="rId1018" /><Relationship Type="http://schemas.openxmlformats.org/officeDocument/2006/relationships/hyperlink" Target="https://pmt.physicsandmathstutor.com/download/Maths/A-level/Statistics/Data-Presentation-and-Interpretation-1/Edexcel-Set-C/MS/Large%20data%20sets%20MS.pdf" TargetMode="External" Id="rId1019" /><Relationship Type="http://schemas.openxmlformats.org/officeDocument/2006/relationships/hyperlink" Target="https://pmt.physicsandmathstutor.com/download/Maths/A-level/Statistics/Data-Presentation-and-Interpretation-1/Edexcel-Set-C/MA/Large%20data%20sets%20MA.pdf" TargetMode="External" Id="rId1020" /><Relationship Type="http://schemas.openxmlformats.org/officeDocument/2006/relationships/hyperlink" Target="https://mathsgenie.co.uk/a-level/maths/edexcel/as-statistics-calculating-probabilities" TargetMode="External" Id="rId1021" /><Relationship Type="http://schemas.openxmlformats.org/officeDocument/2006/relationships/hyperlink" Target="https://assets.mathsgenie.co.uk/content/worksheets/as_level_maths/as-stats-probability-fd510241.pdf" TargetMode="External" Id="rId1022" /><Relationship Type="http://schemas.openxmlformats.org/officeDocument/2006/relationships/hyperlink" Target="https://assets.mathsgenie.co.uk/content/worksheets/as_level_maths/as-stats-probability-ans-3c1dbd4d.pdf" TargetMode="External" Id="rId1023" /><Relationship Type="http://schemas.openxmlformats.org/officeDocument/2006/relationships/hyperlink" Target="https://pmt.physicsandmathstutor.com/download/Maths/A-level/Statistics/Probability-1/Edexcel-Set-C/QP/Probability%20QP.pdf" TargetMode="External" Id="rId1024" /><Relationship Type="http://schemas.openxmlformats.org/officeDocument/2006/relationships/hyperlink" Target="https://pmt.physicsandmathstutor.com/download/Maths/A-level/Statistics/Probability-1/Edexcel-Set-C/MS/Probability%20MS.pdf" TargetMode="External" Id="rId1025" /><Relationship Type="http://schemas.openxmlformats.org/officeDocument/2006/relationships/hyperlink" Target="https://pmt.physicsandmathstutor.com/download/Maths/A-level/Statistics/Probability-1/Edexcel-Set-C/MA/Probability%20MA.pdf" TargetMode="External" Id="rId1026" /><Relationship Type="http://schemas.openxmlformats.org/officeDocument/2006/relationships/hyperlink" Target="https://mathsgenie.co.uk/a-level/maths/edexcel/as-statistics-venn-diagrams" TargetMode="External" Id="rId1027" /><Relationship Type="http://schemas.openxmlformats.org/officeDocument/2006/relationships/hyperlink" Target="https://assets.mathsgenie.co.uk/content/worksheets/as_level_maths/as-stats-probability-fd510241.pdf" TargetMode="External" Id="rId1028" /><Relationship Type="http://schemas.openxmlformats.org/officeDocument/2006/relationships/hyperlink" Target="https://assets.mathsgenie.co.uk/content/worksheets/as_level_maths/as-stats-probability-ans-3c1dbd4d.pdf" TargetMode="External" Id="rId1029" /><Relationship Type="http://schemas.openxmlformats.org/officeDocument/2006/relationships/hyperlink" Target="https://pmt.physicsandmathstutor.com/download/Maths/A-level/Statistics/Probability-1/Edexcel-Set-C/QP/Probability%20QP.pdf" TargetMode="External" Id="rId1030" /><Relationship Type="http://schemas.openxmlformats.org/officeDocument/2006/relationships/hyperlink" Target="https://pmt.physicsandmathstutor.com/download/Maths/A-level/Statistics/Probability-1/Edexcel-Set-C/MS/Probability%20MS.pdf" TargetMode="External" Id="rId1031" /><Relationship Type="http://schemas.openxmlformats.org/officeDocument/2006/relationships/hyperlink" Target="https://pmt.physicsandmathstutor.com/download/Maths/A-level/Statistics/Probability-1/Edexcel-Set-C/MA/Probability%20MA.pdf" TargetMode="External" Id="rId1032" /><Relationship Type="http://schemas.openxmlformats.org/officeDocument/2006/relationships/hyperlink" Target="https://mathsgenie.co.uk/a-level/maths/edexcel/as-statistics-mutually-exclusive-and-independent-events" TargetMode="External" Id="rId1033" /><Relationship Type="http://schemas.openxmlformats.org/officeDocument/2006/relationships/hyperlink" Target="https://assets.mathsgenie.co.uk/content/worksheets/as_level_maths/as-stats-probability-fd510241.pdf" TargetMode="External" Id="rId1034" /><Relationship Type="http://schemas.openxmlformats.org/officeDocument/2006/relationships/hyperlink" Target="https://assets.mathsgenie.co.uk/content/worksheets/as_level_maths/as-stats-probability-ans-3c1dbd4d.pdf" TargetMode="External" Id="rId1035" /><Relationship Type="http://schemas.openxmlformats.org/officeDocument/2006/relationships/hyperlink" Target="https://pmt.physicsandmathstutor.com/download/Maths/A-level/Statistics/Probability-1/Edexcel-Set-C/QP/Probability%20QP.pdf" TargetMode="External" Id="rId1036" /><Relationship Type="http://schemas.openxmlformats.org/officeDocument/2006/relationships/hyperlink" Target="https://pmt.physicsandmathstutor.com/download/Maths/A-level/Statistics/Probability-1/Edexcel-Set-C/MS/Probability%20MS.pdf" TargetMode="External" Id="rId1037" /><Relationship Type="http://schemas.openxmlformats.org/officeDocument/2006/relationships/hyperlink" Target="https://pmt.physicsandmathstutor.com/download/Maths/A-level/Statistics/Probability-1/Edexcel-Set-C/MA/Probability%20MA.pdf" TargetMode="External" Id="rId1038" /><Relationship Type="http://schemas.openxmlformats.org/officeDocument/2006/relationships/hyperlink" Target="https://mathsgenie.co.uk/a-level/maths/edexcel/as-statistics-tree-diagrams" TargetMode="External" Id="rId1039" /><Relationship Type="http://schemas.openxmlformats.org/officeDocument/2006/relationships/hyperlink" Target="https://assets.mathsgenie.co.uk/content/worksheets/as_level_maths/as-stats-probability-fd510241.pdf" TargetMode="External" Id="rId1040" /><Relationship Type="http://schemas.openxmlformats.org/officeDocument/2006/relationships/hyperlink" Target="https://assets.mathsgenie.co.uk/content/worksheets/as_level_maths/as-stats-probability-ans-3c1dbd4d.pdf" TargetMode="External" Id="rId1041" /><Relationship Type="http://schemas.openxmlformats.org/officeDocument/2006/relationships/hyperlink" Target="https://pmt.physicsandmathstutor.com/download/Maths/A-level/Statistics/Probability-1/Edexcel-Set-C/QP/Probability%20QP.pdf" TargetMode="External" Id="rId1042" /><Relationship Type="http://schemas.openxmlformats.org/officeDocument/2006/relationships/hyperlink" Target="https://pmt.physicsandmathstutor.com/download/Maths/A-level/Statistics/Probability-1/Edexcel-Set-C/MS/Probability%20MS.pdf" TargetMode="External" Id="rId1043" /><Relationship Type="http://schemas.openxmlformats.org/officeDocument/2006/relationships/hyperlink" Target="https://pmt.physicsandmathstutor.com/download/Maths/A-level/Statistics/Probability-1/Edexcel-Set-C/MA/Probability%20MA.pdf" TargetMode="External" Id="rId1044" /><Relationship Type="http://schemas.openxmlformats.org/officeDocument/2006/relationships/hyperlink" Target="https://mathsgenie.co.uk/a-level/maths/edexcel/a-level-statistics-set-notation" TargetMode="External" Id="rId1045" /><Relationship Type="http://schemas.openxmlformats.org/officeDocument/2006/relationships/hyperlink" Target="https://assets.mathsgenie.co.uk/content/worksheets/a_level_maths/conditional-probability-71f81d84.pdf" TargetMode="External" Id="rId1046" /><Relationship Type="http://schemas.openxmlformats.org/officeDocument/2006/relationships/hyperlink" Target="https://assets.mathsgenie.co.uk/content/worksheets/a_level_maths/conditional-probability-ans-0af1c10c.pdf" TargetMode="External" Id="rId1047" /><Relationship Type="http://schemas.openxmlformats.org/officeDocument/2006/relationships/hyperlink" Target="https://pmt.physicsandmathstutor.com/download/Maths/A-level/Statistics/Probability-2/Edexcel-Set-C/QP/Probability%20QP.pdf" TargetMode="External" Id="rId1048" /><Relationship Type="http://schemas.openxmlformats.org/officeDocument/2006/relationships/hyperlink" Target="https://pmt.physicsandmathstutor.com/download/Maths/A-level/Statistics/Probability-2/Edexcel-Set-C/MS/Probability%20MS.pdf" TargetMode="External" Id="rId1049" /><Relationship Type="http://schemas.openxmlformats.org/officeDocument/2006/relationships/hyperlink" Target="https://pmt.physicsandmathstutor.com/download/Maths/A-level/Statistics/Probability-2/Edexcel-Set-C/MA/Probability%20MA.pdf" TargetMode="External" Id="rId1050" /><Relationship Type="http://schemas.openxmlformats.org/officeDocument/2006/relationships/hyperlink" Target="https://mathsgenie.co.uk/a-level/maths/edexcel/a-level-statistics-conditional-probability" TargetMode="External" Id="rId1051" /><Relationship Type="http://schemas.openxmlformats.org/officeDocument/2006/relationships/hyperlink" Target="https://assets.mathsgenie.co.uk/content/worksheets/a_level_maths/conditional-probability-71f81d84.pdf" TargetMode="External" Id="rId1052" /><Relationship Type="http://schemas.openxmlformats.org/officeDocument/2006/relationships/hyperlink" Target="https://assets.mathsgenie.co.uk/content/worksheets/a_level_maths/conditional-probability-ans-0af1c10c.pdf" TargetMode="External" Id="rId1053" /><Relationship Type="http://schemas.openxmlformats.org/officeDocument/2006/relationships/hyperlink" Target="https://pmt.physicsandmathstutor.com/download/Maths/A-level/Statistics/Probability-2/Edexcel-Set-C/QP/Conditional%20Probability%20QP.pdf" TargetMode="External" Id="rId1054" /><Relationship Type="http://schemas.openxmlformats.org/officeDocument/2006/relationships/hyperlink" Target="https://pmt.physicsandmathstutor.com/download/Maths/A-level/Statistics/Probability-2/Edexcel-Set-C/MS/Conditional%20Probability%20MS.pdf" TargetMode="External" Id="rId1055" /><Relationship Type="http://schemas.openxmlformats.org/officeDocument/2006/relationships/hyperlink" Target="https://pmt.physicsandmathstutor.com/download/Maths/A-level/Statistics/Probability-2/Edexcel-Set-C/MA/Conditional%20Probability%20MA.pdf" TargetMode="External" Id="rId1056" /><Relationship Type="http://schemas.openxmlformats.org/officeDocument/2006/relationships/hyperlink" Target="https://mathsgenie.co.uk/a-level/maths/edexcel/a-level-statistics-conditional-probabilities-in-venn-diagrams" TargetMode="External" Id="rId1057" /><Relationship Type="http://schemas.openxmlformats.org/officeDocument/2006/relationships/hyperlink" Target="https://assets.mathsgenie.co.uk/content/worksheets/a_level_maths/conditional-probability-71f81d84.pdf" TargetMode="External" Id="rId1058" /><Relationship Type="http://schemas.openxmlformats.org/officeDocument/2006/relationships/hyperlink" Target="https://assets.mathsgenie.co.uk/content/worksheets/a_level_maths/conditional-probability-ans-0af1c10c.pdf" TargetMode="External" Id="rId1059" /><Relationship Type="http://schemas.openxmlformats.org/officeDocument/2006/relationships/hyperlink" Target="https://pmt.physicsandmathstutor.com/download/Maths/A-level/Statistics/Probability-2/Edexcel-Set-C/QP/Conditional%20Probability%20QP.pdf" TargetMode="External" Id="rId1060" /><Relationship Type="http://schemas.openxmlformats.org/officeDocument/2006/relationships/hyperlink" Target="https://pmt.physicsandmathstutor.com/download/Maths/A-level/Statistics/Probability-2/Edexcel-Set-C/MS/Conditional%20Probability%20MS.pdf" TargetMode="External" Id="rId1061" /><Relationship Type="http://schemas.openxmlformats.org/officeDocument/2006/relationships/hyperlink" Target="https://pmt.physicsandmathstutor.com/download/Maths/A-level/Statistics/Probability-2/Edexcel-Set-C/MA/Conditional%20Probability%20MA.pdf" TargetMode="External" Id="rId1062" /><Relationship Type="http://schemas.openxmlformats.org/officeDocument/2006/relationships/hyperlink" Target="https://mathsgenie.co.uk/a-level/maths/edexcel/a-level-statistics-probability-formulae" TargetMode="External" Id="rId1063" /><Relationship Type="http://schemas.openxmlformats.org/officeDocument/2006/relationships/hyperlink" Target="https://assets.mathsgenie.co.uk/content/worksheets/a_level_maths/conditional-probability-71f81d84.pdf" TargetMode="External" Id="rId1064" /><Relationship Type="http://schemas.openxmlformats.org/officeDocument/2006/relationships/hyperlink" Target="https://assets.mathsgenie.co.uk/content/worksheets/a_level_maths/conditional-probability-ans-0af1c10c.pdf" TargetMode="External" Id="rId1065" /><Relationship Type="http://schemas.openxmlformats.org/officeDocument/2006/relationships/hyperlink" Target="https://pmt.physicsandmathstutor.com/download/Maths/A-level/Statistics/Probability-2/Edexcel-Set-C/QP/Conditional%20Probability%20QP.pdf" TargetMode="External" Id="rId1066" /><Relationship Type="http://schemas.openxmlformats.org/officeDocument/2006/relationships/hyperlink" Target="https://pmt.physicsandmathstutor.com/download/Maths/A-level/Statistics/Probability-2/Edexcel-Set-C/MS/Conditional%20Probability%20MS.pdf" TargetMode="External" Id="rId1067" /><Relationship Type="http://schemas.openxmlformats.org/officeDocument/2006/relationships/hyperlink" Target="https://pmt.physicsandmathstutor.com/download/Maths/A-level/Statistics/Probability-2/Edexcel-Set-C/MA/Conditional%20Probability%20MA.pdf" TargetMode="External" Id="rId1068" /><Relationship Type="http://schemas.openxmlformats.org/officeDocument/2006/relationships/hyperlink" Target="https://mathsgenie.co.uk/a-level/maths/edexcel/a-level-statistics-tree-diagrams" TargetMode="External" Id="rId1069" /><Relationship Type="http://schemas.openxmlformats.org/officeDocument/2006/relationships/hyperlink" Target="https://assets.mathsgenie.co.uk/content/worksheets/a_level_maths/conditional-probability-71f81d84.pdf" TargetMode="External" Id="rId1070" /><Relationship Type="http://schemas.openxmlformats.org/officeDocument/2006/relationships/hyperlink" Target="https://assets.mathsgenie.co.uk/content/worksheets/a_level_maths/conditional-probability-ans-0af1c10c.pdf" TargetMode="External" Id="rId1071" /><Relationship Type="http://schemas.openxmlformats.org/officeDocument/2006/relationships/hyperlink" Target="https://pmt.physicsandmathstutor.com/download/Maths/A-level/Statistics/Probability-2/Edexcel-Set-C/QP/Conditional%20Probability%20QP.pdf" TargetMode="External" Id="rId1072" /><Relationship Type="http://schemas.openxmlformats.org/officeDocument/2006/relationships/hyperlink" Target="https://pmt.physicsandmathstutor.com/download/Maths/A-level/Statistics/Probability-2/Edexcel-Set-C/MS/Conditional%20Probability%20MS.pdf" TargetMode="External" Id="rId1073" /><Relationship Type="http://schemas.openxmlformats.org/officeDocument/2006/relationships/hyperlink" Target="https://pmt.physicsandmathstutor.com/download/Maths/A-level/Statistics/Probability-2/Edexcel-Set-C/MA/Conditional%20Probability%20MA.pdf" TargetMode="External" Id="rId1074" /><Relationship Type="http://schemas.openxmlformats.org/officeDocument/2006/relationships/hyperlink" Target="https://mathsgenie.co.uk/a-level/maths/edexcel/as-statistics-probability-distributions" TargetMode="External" Id="rId1075" /><Relationship Type="http://schemas.openxmlformats.org/officeDocument/2006/relationships/hyperlink" Target="https://assets.mathsgenie.co.uk/content/worksheets/as_level_maths/statistical-distributions-d05f8936.pdf" TargetMode="External" Id="rId1076" /><Relationship Type="http://schemas.openxmlformats.org/officeDocument/2006/relationships/hyperlink" Target="https://assets.mathsgenie.co.uk/content/worksheets/as_level_maths/statistical-distributions-ans-7d8d4cbf.pdf" TargetMode="External" Id="rId1077" /><Relationship Type="http://schemas.openxmlformats.org/officeDocument/2006/relationships/hyperlink" Target="https://pmt.physicsandmathstutor.com/download/Maths/A-level/Statistics/Statistical-Distributions-1/Edexcel-Set-C/QP/Discrete%20Distributions%20-%20Binomial%20QP.pdf" TargetMode="External" Id="rId1078" /><Relationship Type="http://schemas.openxmlformats.org/officeDocument/2006/relationships/hyperlink" Target="https://pmt.physicsandmathstutor.com/download/Maths/A-level/Statistics/Statistical-Distributions-1/Edexcel-Set-C/MS/Discrete%20Distributions%20-%20Binomial%20MS.pdf" TargetMode="External" Id="rId1079" /><Relationship Type="http://schemas.openxmlformats.org/officeDocument/2006/relationships/hyperlink" Target="https://pmt.physicsandmathstutor.com/download/Maths/A-level/Statistics/Statistical-Distributions-1/Edexcel-Set-C/MA/Discrete%20Distributions%20-%20Binomial%20MA.pdf" TargetMode="External" Id="rId1080" /><Relationship Type="http://schemas.openxmlformats.org/officeDocument/2006/relationships/hyperlink" Target="https://mathsgenie.co.uk/a-level/maths/edexcel/as-statistics-the-binomial-distribution" TargetMode="External" Id="rId1081" /><Relationship Type="http://schemas.openxmlformats.org/officeDocument/2006/relationships/hyperlink" Target="https://assets.mathsgenie.co.uk/content/worksheets/as_level_maths/statistical-distributions-d05f8936.pdf" TargetMode="External" Id="rId1082" /><Relationship Type="http://schemas.openxmlformats.org/officeDocument/2006/relationships/hyperlink" Target="https://assets.mathsgenie.co.uk/content/worksheets/as_level_maths/statistical-distributions-ans-7d8d4cbf.pdf" TargetMode="External" Id="rId1083" /><Relationship Type="http://schemas.openxmlformats.org/officeDocument/2006/relationships/hyperlink" Target="https://pmt.physicsandmathstutor.com/download/Maths/A-level/Statistics/Statistical-Distributions-1/Edexcel-Set-C/QP/Discrete%20Distributions%20-%20Binomial%20QP.pdf" TargetMode="External" Id="rId1084" /><Relationship Type="http://schemas.openxmlformats.org/officeDocument/2006/relationships/hyperlink" Target="https://pmt.physicsandmathstutor.com/download/Maths/A-level/Statistics/Statistical-Distributions-1/Edexcel-Set-C/MS/Discrete%20Distributions%20-%20Binomial%20MS.pdf" TargetMode="External" Id="rId1085" /><Relationship Type="http://schemas.openxmlformats.org/officeDocument/2006/relationships/hyperlink" Target="https://pmt.physicsandmathstutor.com/download/Maths/A-level/Statistics/Statistical-Distributions-1/Edexcel-Set-C/MA/Discrete%20Distributions%20-%20Binomial%20MA.pdf" TargetMode="External" Id="rId1086" /><Relationship Type="http://schemas.openxmlformats.org/officeDocument/2006/relationships/hyperlink" Target="https://mathsgenie.co.uk/a-level/maths/edexcel/as-statistics-cumulative-probabilities" TargetMode="External" Id="rId1087" /><Relationship Type="http://schemas.openxmlformats.org/officeDocument/2006/relationships/hyperlink" Target="https://assets.mathsgenie.co.uk/content/worksheets/as_level_maths/statistical-distributions-d05f8936.pdf" TargetMode="External" Id="rId1088" /><Relationship Type="http://schemas.openxmlformats.org/officeDocument/2006/relationships/hyperlink" Target="https://assets.mathsgenie.co.uk/content/worksheets/as_level_maths/statistical-distributions-ans-7d8d4cbf.pdf" TargetMode="External" Id="rId1089" /><Relationship Type="http://schemas.openxmlformats.org/officeDocument/2006/relationships/hyperlink" Target="https://pmt.physicsandmathstutor.com/download/Maths/A-level/Statistics/Statistical-Distributions-1/Edexcel-Set-C/QP/Discrete%20Distributions%20-%20Binomial%20QP.pdf" TargetMode="External" Id="rId1090" /><Relationship Type="http://schemas.openxmlformats.org/officeDocument/2006/relationships/hyperlink" Target="https://pmt.physicsandmathstutor.com/download/Maths/A-level/Statistics/Statistical-Distributions-1/Edexcel-Set-C/MS/Discrete%20Distributions%20-%20Binomial%20MS.pdf" TargetMode="External" Id="rId1091" /><Relationship Type="http://schemas.openxmlformats.org/officeDocument/2006/relationships/hyperlink" Target="https://pmt.physicsandmathstutor.com/download/Maths/A-level/Statistics/Statistical-Distributions-1/Edexcel-Set-C/MA/Discrete%20Distributions%20-%20Binomial%20MA.pdf" TargetMode="External" Id="rId1092" /><Relationship Type="http://schemas.openxmlformats.org/officeDocument/2006/relationships/hyperlink" Target="https://mathsgenie.co.uk/a-level/maths/edexcel/a-level-statistics-finding-probabilities-for-normal-distributions" TargetMode="External" Id="rId1093" /><Relationship Type="http://schemas.openxmlformats.org/officeDocument/2006/relationships/hyperlink" Target="https://assets.mathsgenie.co.uk/content/worksheets/a_level_maths/the-normal-distribution-7b1fc0c3.pdf" TargetMode="External" Id="rId1094" /><Relationship Type="http://schemas.openxmlformats.org/officeDocument/2006/relationships/hyperlink" Target="https://assets.mathsgenie.co.uk/content/worksheets/a_level_maths/the-normal-distribution-ans-02388df7.pdf" TargetMode="External" Id="rId1095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1096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1097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1098" /><Relationship Type="http://schemas.openxmlformats.org/officeDocument/2006/relationships/hyperlink" Target="https://mathsgenie.co.uk/a-level/maths/edexcel/a-level-statistics-the-inverse-normal-distribution-function" TargetMode="External" Id="rId1099" /><Relationship Type="http://schemas.openxmlformats.org/officeDocument/2006/relationships/hyperlink" Target="https://assets.mathsgenie.co.uk/content/worksheets/a_level_maths/the-normal-distribution-7b1fc0c3.pdf" TargetMode="External" Id="rId1100" /><Relationship Type="http://schemas.openxmlformats.org/officeDocument/2006/relationships/hyperlink" Target="https://assets.mathsgenie.co.uk/content/worksheets/a_level_maths/the-normal-distribution-ans-02388df7.pdf" TargetMode="External" Id="rId1101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1102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1103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1104" /><Relationship Type="http://schemas.openxmlformats.org/officeDocument/2006/relationships/hyperlink" Target="https://mathsgenie.co.uk/a-level/maths/edexcel/a-level-statistics-finding-the-mean-and-standard-deviation" TargetMode="External" Id="rId1105" /><Relationship Type="http://schemas.openxmlformats.org/officeDocument/2006/relationships/hyperlink" Target="https://assets.mathsgenie.co.uk/content/worksheets/a_level_maths/the-normal-distribution-7b1fc0c3.pdf" TargetMode="External" Id="rId1106" /><Relationship Type="http://schemas.openxmlformats.org/officeDocument/2006/relationships/hyperlink" Target="https://assets.mathsgenie.co.uk/content/worksheets/a_level_maths/the-normal-distribution-ans-02388df7.pdf" TargetMode="External" Id="rId1107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1108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1109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1110" /><Relationship Type="http://schemas.openxmlformats.org/officeDocument/2006/relationships/hyperlink" Target="https://mathsgenie.co.uk/a-level/maths/edexcel/a-level-statistics-approximating-a-binomial-distribution" TargetMode="External" Id="rId1111" /><Relationship Type="http://schemas.openxmlformats.org/officeDocument/2006/relationships/hyperlink" Target="https://assets.mathsgenie.co.uk/content/worksheets/a_level_maths/the-normal-distribution-7b1fc0c3.pdf" TargetMode="External" Id="rId1112" /><Relationship Type="http://schemas.openxmlformats.org/officeDocument/2006/relationships/hyperlink" Target="https://assets.mathsgenie.co.uk/content/worksheets/a_level_maths/the-normal-distribution-ans-02388df7.pdf" TargetMode="External" Id="rId1113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1114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1115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1116" /><Relationship Type="http://schemas.openxmlformats.org/officeDocument/2006/relationships/hyperlink" Target="https://mathsgenie.co.uk/a-level/maths/edexcel/as-statistics-hypothesis-testing" TargetMode="External" Id="rId1117" /><Relationship Type="http://schemas.openxmlformats.org/officeDocument/2006/relationships/hyperlink" Target="https://assets.mathsgenie.co.uk/content/worksheets/as_level_maths/as-stats-binomial-hypothesis-testing-193c0b37.pdf" TargetMode="External" Id="rId1118" /><Relationship Type="http://schemas.openxmlformats.org/officeDocument/2006/relationships/hyperlink" Target="https://assets.mathsgenie.co.uk/content/worksheets/as_level_maths/hypothesis-testing-ans-40e50518.pdf" TargetMode="External" Id="rId1119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1120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1121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1122" /><Relationship Type="http://schemas.openxmlformats.org/officeDocument/2006/relationships/hyperlink" Target="https://mathsgenie.co.uk/a-level/maths/edexcel/as-statistics-finding-critical-values" TargetMode="External" Id="rId1123" /><Relationship Type="http://schemas.openxmlformats.org/officeDocument/2006/relationships/hyperlink" Target="https://assets.mathsgenie.co.uk/content/worksheets/as_level_maths/as-stats-binomial-hypothesis-testing-193c0b37.pdf" TargetMode="External" Id="rId1124" /><Relationship Type="http://schemas.openxmlformats.org/officeDocument/2006/relationships/hyperlink" Target="https://assets.mathsgenie.co.uk/content/worksheets/as_level_maths/hypothesis-testing-ans-40e50518.pdf" TargetMode="External" Id="rId1125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1126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1127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1128" /><Relationship Type="http://schemas.openxmlformats.org/officeDocument/2006/relationships/hyperlink" Target="https://mathsgenie.co.uk/a-level/maths/edexcel/as-statistics-one-tailed-tests" TargetMode="External" Id="rId1129" /><Relationship Type="http://schemas.openxmlformats.org/officeDocument/2006/relationships/hyperlink" Target="https://assets.mathsgenie.co.uk/content/worksheets/as_level_maths/as-stats-binomial-hypothesis-testing-193c0b37.pdf" TargetMode="External" Id="rId1130" /><Relationship Type="http://schemas.openxmlformats.org/officeDocument/2006/relationships/hyperlink" Target="https://assets.mathsgenie.co.uk/content/worksheets/as_level_maths/hypothesis-testing-ans-40e50518.pdf" TargetMode="External" Id="rId1131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1132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1133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1134" /><Relationship Type="http://schemas.openxmlformats.org/officeDocument/2006/relationships/hyperlink" Target="https://mathsgenie.co.uk/a-level/maths/edexcel/as-statistics-two-tailed-tests" TargetMode="External" Id="rId1135" /><Relationship Type="http://schemas.openxmlformats.org/officeDocument/2006/relationships/hyperlink" Target="https://assets.mathsgenie.co.uk/content/worksheets/as_level_maths/as-stats-binomial-hypothesis-testing-193c0b37.pdf" TargetMode="External" Id="rId1136" /><Relationship Type="http://schemas.openxmlformats.org/officeDocument/2006/relationships/hyperlink" Target="https://assets.mathsgenie.co.uk/content/worksheets/as_level_maths/hypothesis-testing-ans-40e50518.pdf" TargetMode="External" Id="rId1137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1138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1139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1140" /><Relationship Type="http://schemas.openxmlformats.org/officeDocument/2006/relationships/hyperlink" Target="https://mathsgenie.co.uk/a-level/maths/edexcel/a-level-statistics-hypothesis-testing-for-zero-correlation" TargetMode="External" Id="rId1141" /><Relationship Type="http://schemas.openxmlformats.org/officeDocument/2006/relationships/hyperlink" Target="https://assets.mathsgenie.co.uk/content/worksheets/a_level_maths/regression-correlation-and-hypothesis-testing-955d4f0c.pdf" TargetMode="External" Id="rId1142" /><Relationship Type="http://schemas.openxmlformats.org/officeDocument/2006/relationships/hyperlink" Target="https://assets.mathsgenie.co.uk/content/worksheets/a_level_maths/regression-correlation-and-hypothesis-testing-ans-c55c04e4.pdf" TargetMode="External" Id="rId1143" /><Relationship Type="http://schemas.openxmlformats.org/officeDocument/2006/relationships/hyperlink" Target="https://pmt.physicsandmathstutor.com/download/Maths/A-level/Statistics/Hypothesis-Testing-2/Edexcel-Set-C/QP/Hypothesis%20Testing%20-%20Regression%20QP.pdf" TargetMode="External" Id="rId1144" /><Relationship Type="http://schemas.openxmlformats.org/officeDocument/2006/relationships/hyperlink" Target="https://pmt.physicsandmathstutor.com/download/Maths/A-level/Statistics/Hypothesis-Testing-2/Edexcel-Set-C/MS/Hypothesis%20Testing%20-%20Regression%20MS.pdf" TargetMode="External" Id="rId1145" /><Relationship Type="http://schemas.openxmlformats.org/officeDocument/2006/relationships/hyperlink" Target="https://pmt.physicsandmathstutor.com/download/Maths/A-level/Statistics/Hypothesis-Testing-2/Edexcel-Set-C/MA/Hypothesis%20Testing%20-%20Regression%20MA.pdf" TargetMode="External" Id="rId1146" /><Relationship Type="http://schemas.openxmlformats.org/officeDocument/2006/relationships/hyperlink" Target="https://mathsgenie.co.uk/a-level/maths/edexcel/a-level-statistics-hypothesis-testing-with-the-normal-distribution" TargetMode="External" Id="rId1147" /><Relationship Type="http://schemas.openxmlformats.org/officeDocument/2006/relationships/hyperlink" Target="https://assets.mathsgenie.co.uk/content/worksheets/a_level_maths/the-normal-distribution-7b1fc0c3.pdf" TargetMode="External" Id="rId1148" /><Relationship Type="http://schemas.openxmlformats.org/officeDocument/2006/relationships/hyperlink" Target="https://assets.mathsgenie.co.uk/content/worksheets/a_level_maths/the-normal-distribution-ans-02388df7.pdf" TargetMode="External" Id="rId1149" /><Relationship Type="http://schemas.openxmlformats.org/officeDocument/2006/relationships/hyperlink" Target="https://pmt.physicsandmathstutor.com/download/Maths/A-level/Statistics/Hypothesis-Testing-2/Edexcel-Set-C/QP/Hypothesis%20Testing%20-%20Tests%20on%20Normal%20QP.pdf" TargetMode="External" Id="rId1150" /><Relationship Type="http://schemas.openxmlformats.org/officeDocument/2006/relationships/hyperlink" Target="https://pmt.physicsandmathstutor.com/download/Maths/A-level/Statistics/Hypothesis-Testing-2/Edexcel-Set-C/MS/Hypothesis%20Testing%20-%20Tests%20on%20Normal%20MS.pdf" TargetMode="External" Id="rId1151" /><Relationship Type="http://schemas.openxmlformats.org/officeDocument/2006/relationships/hyperlink" Target="https://pmt.physicsandmathstutor.com/download/Maths/A-level/Statistics/Hypothesis-Testing-2/Edexcel-Set-C/MA/Hypothesis%20Testing%20-%20Tests%20on%20Normal%20MA.pdf" TargetMode="External" Id="rId1152" /><Relationship Type="http://schemas.openxmlformats.org/officeDocument/2006/relationships/hyperlink" Target="https://mathsgenie.co.uk/a-level/maths/edexcel/as-mechanics-quantities-and-units" TargetMode="External" Id="rId1153" /><Relationship Type="http://schemas.openxmlformats.org/officeDocument/2006/relationships/hyperlink" Target="https://assets.mathsgenie.co.uk/sources/mathsgenie/content/alevel/quantities-and-units.pdf" TargetMode="External" Id="rId1154" /><Relationship Type="http://schemas.openxmlformats.org/officeDocument/2006/relationships/hyperlink" Target="https://assets.mathsgenie.co.uk/content/worksheets/a_level_maths/constant-acceleration-ans-ed4f0764.pdf" TargetMode="External" Id="rId1155" /><Relationship Type="http://schemas.openxmlformats.org/officeDocument/2006/relationships/hyperlink" Target="https://mathsgenie.co.uk/a-level/maths/edexcel/as-mechanics-modelling-assumptions" TargetMode="External" Id="rId1156" /><Relationship Type="http://schemas.openxmlformats.org/officeDocument/2006/relationships/hyperlink" Target="https://assets.mathsgenie.co.uk/sources/mathsgenie/content/alevel/modelling-assumptions.pdf" TargetMode="External" Id="rId1157" /><Relationship Type="http://schemas.openxmlformats.org/officeDocument/2006/relationships/hyperlink" Target="https://assets.mathsgenie.co.uk/content/worksheets/a_level_maths/constant-acceleration-ans-ed4f0764.pdf" TargetMode="External" Id="rId1158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159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160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161" /><Relationship Type="http://schemas.openxmlformats.org/officeDocument/2006/relationships/hyperlink" Target="https://mathsgenie.co.uk/a-level/maths/edexcel/as-mechanics-displacement-time-graphs" TargetMode="External" Id="rId1162" /><Relationship Type="http://schemas.openxmlformats.org/officeDocument/2006/relationships/hyperlink" Target="https://assets.mathsgenie.co.uk/content/worksheets/a_level_maths/constant-acceleration-e79b95b1.pdf" TargetMode="External" Id="rId1163" /><Relationship Type="http://schemas.openxmlformats.org/officeDocument/2006/relationships/hyperlink" Target="https://assets.mathsgenie.co.uk/content/worksheets/a_level_maths/constant-acceleration-ans-ed4f0764.pdf" TargetMode="External" Id="rId1164" /><Relationship Type="http://schemas.openxmlformats.org/officeDocument/2006/relationships/hyperlink" Target="https://pmt.physicsandmathstutor.com/download/Maths/A-level/Mechanics/Kinematics-1/Edexcel-Set-C/QP/Kinematics%20-%20by%20Graphical%20Methods%20QP.pdf" TargetMode="External" Id="rId1165" /><Relationship Type="http://schemas.openxmlformats.org/officeDocument/2006/relationships/hyperlink" Target="https://pmt.physicsandmathstutor.com/download/Maths/A-level/Mechanics/Kinematics-1/Edexcel-Set-C/MS/Kinematics%20-%20by%20Graphical%20Methods%20MS.pdf" TargetMode="External" Id="rId1166" /><Relationship Type="http://schemas.openxmlformats.org/officeDocument/2006/relationships/hyperlink" Target="https://pmt.physicsandmathstutor.com/download/Maths/A-level/Mechanics/Kinematics-1/Edexcel-Set-C/MA/Kinematics%20-%20by%20Graphical%20Methods%20MA.pdf" TargetMode="External" Id="rId1167" /><Relationship Type="http://schemas.openxmlformats.org/officeDocument/2006/relationships/hyperlink" Target="https://mathsgenie.co.uk/a-level/maths/edexcel/as-mechanics-velocity-time-graphs" TargetMode="External" Id="rId1168" /><Relationship Type="http://schemas.openxmlformats.org/officeDocument/2006/relationships/hyperlink" Target="https://assets.mathsgenie.co.uk/content/worksheets/a_level_maths/as-mechanics-velocity-time-graphs-d54c1f70.pdf" TargetMode="External" Id="rId1169" /><Relationship Type="http://schemas.openxmlformats.org/officeDocument/2006/relationships/hyperlink" Target="https://assets.mathsgenie.co.uk/content/worksheets/a_level_maths/as-mechanics-velocity-time-graphs-ans-086aa1f1.pdf" TargetMode="External" Id="rId1170" /><Relationship Type="http://schemas.openxmlformats.org/officeDocument/2006/relationships/hyperlink" Target="https://pmt.physicsandmathstutor.com/download/Maths/A-level/Mechanics/Kinematics-1/Edexcel-Set-C/QP/Kinematics%20-%20by%20Graphical%20Methods%20QP.pdf" TargetMode="External" Id="rId1171" /><Relationship Type="http://schemas.openxmlformats.org/officeDocument/2006/relationships/hyperlink" Target="https://pmt.physicsandmathstutor.com/download/Maths/A-level/Mechanics/Kinematics-1/Edexcel-Set-C/MS/Kinematics%20-%20by%20Graphical%20Methods%20MS.pdf" TargetMode="External" Id="rId1172" /><Relationship Type="http://schemas.openxmlformats.org/officeDocument/2006/relationships/hyperlink" Target="https://pmt.physicsandmathstutor.com/download/Maths/A-level/Mechanics/Kinematics-1/Edexcel-Set-C/MA/Kinematics%20-%20by%20Graphical%20Methods%20MA.pdf" TargetMode="External" Id="rId1173" /><Relationship Type="http://schemas.openxmlformats.org/officeDocument/2006/relationships/hyperlink" Target="https://mathsgenie.co.uk/a-level/maths/edexcel/as-mechanics-constant-acceleration-formulae-1" TargetMode="External" Id="rId1174" /><Relationship Type="http://schemas.openxmlformats.org/officeDocument/2006/relationships/hyperlink" Target="https://assets.mathsgenie.co.uk/content/worksheets/a_level_maths/constant-acceleration-e79b95b1.pdf" TargetMode="External" Id="rId1175" /><Relationship Type="http://schemas.openxmlformats.org/officeDocument/2006/relationships/hyperlink" Target="https://assets.mathsgenie.co.uk/content/worksheets/a_level_maths/constant-acceleration-ans-ed4f0764.pdf" TargetMode="External" Id="rId1176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177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178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179" /><Relationship Type="http://schemas.openxmlformats.org/officeDocument/2006/relationships/hyperlink" Target="https://mathsgenie.co.uk/a-level/maths/edexcel/as-mechanics-constant-acceleration-formulae-2" TargetMode="External" Id="rId1180" /><Relationship Type="http://schemas.openxmlformats.org/officeDocument/2006/relationships/hyperlink" Target="https://assets.mathsgenie.co.uk/content/worksheets/a_level_maths/constant-acceleration-e79b95b1.pdf" TargetMode="External" Id="rId1181" /><Relationship Type="http://schemas.openxmlformats.org/officeDocument/2006/relationships/hyperlink" Target="https://assets.mathsgenie.co.uk/content/worksheets/a_level_maths/constant-acceleration-ans-ed4f0764.pdf" TargetMode="External" Id="rId1182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183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184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185" /><Relationship Type="http://schemas.openxmlformats.org/officeDocument/2006/relationships/hyperlink" Target="https://mathsgenie.co.uk/a-level/maths/edexcel/as-mechanics-vertical-motion-under-gravity" TargetMode="External" Id="rId1186" /><Relationship Type="http://schemas.openxmlformats.org/officeDocument/2006/relationships/hyperlink" Target="https://assets.mathsgenie.co.uk/content/worksheets/a_level_maths/constant-acceleration-e79b95b1.pdf" TargetMode="External" Id="rId1187" /><Relationship Type="http://schemas.openxmlformats.org/officeDocument/2006/relationships/hyperlink" Target="https://assets.mathsgenie.co.uk/content/worksheets/a_level_maths/constant-acceleration-ans-ed4f0764.pdf" TargetMode="External" Id="rId1188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189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190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191" /><Relationship Type="http://schemas.openxmlformats.org/officeDocument/2006/relationships/hyperlink" Target="https://mathsgenie.co.uk/a-level/maths/edexcel/as-mechanics-using-differentiation" TargetMode="External" Id="rId1192" /><Relationship Type="http://schemas.openxmlformats.org/officeDocument/2006/relationships/hyperlink" Target="https://assets.mathsgenie.co.uk/content/worksheets/as_level_maths/as-mechanics-variable-acceleration-229d3a0e.pdf" TargetMode="External" Id="rId1193" /><Relationship Type="http://schemas.openxmlformats.org/officeDocument/2006/relationships/hyperlink" Target="https://assets.mathsgenie.co.uk/content/worksheets/as_level_maths/variable-acceleration-ans-23257282.pdf" TargetMode="External" Id="rId1194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1195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1196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1197" /><Relationship Type="http://schemas.openxmlformats.org/officeDocument/2006/relationships/hyperlink" Target="https://mathsgenie.co.uk/a-level/maths/edexcel/as-mechanics-maxima-and-minima-problems" TargetMode="External" Id="rId1198" /><Relationship Type="http://schemas.openxmlformats.org/officeDocument/2006/relationships/hyperlink" Target="https://assets.mathsgenie.co.uk/content/worksheets/as_level_maths/as-mechanics-variable-acceleration-229d3a0e.pdf" TargetMode="External" Id="rId1199" /><Relationship Type="http://schemas.openxmlformats.org/officeDocument/2006/relationships/hyperlink" Target="https://assets.mathsgenie.co.uk/content/worksheets/as_level_maths/variable-acceleration-ans-23257282.pdf" TargetMode="External" Id="rId1200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1201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1202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1203" /><Relationship Type="http://schemas.openxmlformats.org/officeDocument/2006/relationships/hyperlink" Target="https://mathsgenie.co.uk/a-level/maths/edexcel/as-mechanics-using-integration" TargetMode="External" Id="rId1204" /><Relationship Type="http://schemas.openxmlformats.org/officeDocument/2006/relationships/hyperlink" Target="https://assets.mathsgenie.co.uk/content/worksheets/as_level_maths/as-mechanics-variable-acceleration-229d3a0e.pdf" TargetMode="External" Id="rId1205" /><Relationship Type="http://schemas.openxmlformats.org/officeDocument/2006/relationships/hyperlink" Target="https://assets.mathsgenie.co.uk/content/worksheets/as_level_maths/variable-acceleration-ans-23257282.pdf" TargetMode="External" Id="rId1206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1207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1208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1209" /><Relationship Type="http://schemas.openxmlformats.org/officeDocument/2006/relationships/hyperlink" Target="https://mathsgenie.co.uk/a-level/maths/edexcel/as-mechanics-constant-acceleration-formulae" TargetMode="External" Id="rId1210" /><Relationship Type="http://schemas.openxmlformats.org/officeDocument/2006/relationships/hyperlink" Target="https://assets.mathsgenie.co.uk/content/worksheets/as_level_maths/as-mechanics-variable-acceleration-229d3a0e.pdf" TargetMode="External" Id="rId1211" /><Relationship Type="http://schemas.openxmlformats.org/officeDocument/2006/relationships/hyperlink" Target="https://assets.mathsgenie.co.uk/content/worksheets/as_level_maths/variable-acceleration-ans-23257282.pdf" TargetMode="External" Id="rId1212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1213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1214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1215" /><Relationship Type="http://schemas.openxmlformats.org/officeDocument/2006/relationships/hyperlink" Target="https://mathsgenie.co.uk/a-level/maths/edexcel/a-level-mechanics-vectors-in-kinematics" TargetMode="External" Id="rId1216" /><Relationship Type="http://schemas.openxmlformats.org/officeDocument/2006/relationships/hyperlink" Target="https://assets.mathsgenie.co.uk/content/worksheets/a_level_maths/further-kinematics-0e6d3c8b.pdf" TargetMode="External" Id="rId1217" /><Relationship Type="http://schemas.openxmlformats.org/officeDocument/2006/relationships/hyperlink" Target="https://assets.mathsgenie.co.uk/content/worksheets/a_level_maths/further-kinematics-ans-18f15cf2.pdf" TargetMode="External" Id="rId1218" /><Relationship Type="http://schemas.openxmlformats.org/officeDocument/2006/relationships/hyperlink" Target="https://pmt.physicsandmathstutor.com/download/Maths/A-level/Mechanics/Kinematics-2/Edexcel-Set-C/QP/Kinematics%20-%20Uniform%20Acceleration%20Formulae%20QP.pdf" TargetMode="External" Id="rId1219" /><Relationship Type="http://schemas.openxmlformats.org/officeDocument/2006/relationships/hyperlink" Target="https://pmt.physicsandmathstutor.com/download/Maths/A-level/Mechanics/Kinematics-2/Edexcel-Set-C/MS/Kinematics%20-%20Uniform%20Acceleration%20Formulae%20MS.pdf" TargetMode="External" Id="rId1220" /><Relationship Type="http://schemas.openxmlformats.org/officeDocument/2006/relationships/hyperlink" Target="https://pmt.physicsandmathstutor.com/download/Maths/A-level/Mechanics/Kinematics-2/Edexcel-Set-C/MA/Kinematics%20-%20Uniform%20Acceleration%20Formulae%20MA.pdf" TargetMode="External" Id="rId1221" /><Relationship Type="http://schemas.openxmlformats.org/officeDocument/2006/relationships/hyperlink" Target="https://mathsgenie.co.uk/a-level/maths/edexcel/a-level-mechanics-differentiating-vectors" TargetMode="External" Id="rId1222" /><Relationship Type="http://schemas.openxmlformats.org/officeDocument/2006/relationships/hyperlink" Target="https://assets.mathsgenie.co.uk/content/worksheets/a_level_maths/further-kinematics-0e6d3c8b.pdf" TargetMode="External" Id="rId1223" /><Relationship Type="http://schemas.openxmlformats.org/officeDocument/2006/relationships/hyperlink" Target="https://assets.mathsgenie.co.uk/content/worksheets/a_level_maths/further-kinematics-ans-18f15cf2.pdf" TargetMode="External" Id="rId1224" /><Relationship Type="http://schemas.openxmlformats.org/officeDocument/2006/relationships/hyperlink" Target="https://pmt.physicsandmathstutor.com/download/Maths/A-level/Mechanics/Kinematics-2/Edexcel-Set-C/QP/Kinematics%20-%20Problems%20in%20Calculus%20QP.pdf" TargetMode="External" Id="rId1225" /><Relationship Type="http://schemas.openxmlformats.org/officeDocument/2006/relationships/hyperlink" Target="https://pmt.physicsandmathstutor.com/download/Maths/A-level/Mechanics/Kinematics-2/Edexcel-Set-C/MS/Kinematics%20-%20Problems%20in%20Calculus%20MS.pdf" TargetMode="External" Id="rId1226" /><Relationship Type="http://schemas.openxmlformats.org/officeDocument/2006/relationships/hyperlink" Target="https://pmt.physicsandmathstutor.com/download/Maths/A-level/Mechanics/Kinematics-2/Edexcel-Set-C/MA/Kinematics%20-%20Problems%20in%20Calculus%20MA.pdf" TargetMode="External" Id="rId1227" /><Relationship Type="http://schemas.openxmlformats.org/officeDocument/2006/relationships/hyperlink" Target="https://mathsgenie.co.uk/a-level/maths/edexcel/a-level-mechanics-horizontal-projection" TargetMode="External" Id="rId1228" /><Relationship Type="http://schemas.openxmlformats.org/officeDocument/2006/relationships/hyperlink" Target="https://assets.mathsgenie.co.uk/content/worksheets/a_level_maths/projectiles-892f2e50.pdf" TargetMode="External" Id="rId1229" /><Relationship Type="http://schemas.openxmlformats.org/officeDocument/2006/relationships/hyperlink" Target="https://assets.mathsgenie.co.uk/content/worksheets/a_level_maths/projectiles-ans-97e24b40.pdf" TargetMode="External" Id="rId1230" /><Relationship Type="http://schemas.openxmlformats.org/officeDocument/2006/relationships/hyperlink" Target="https://pmt.physicsandmathstutor.com/download/Maths/A-level/Mechanics/Kinematics-2/Edexcel-Set-C/QP/Kinematics%20-%20Projectiles%20QP.pdf" TargetMode="External" Id="rId1231" /><Relationship Type="http://schemas.openxmlformats.org/officeDocument/2006/relationships/hyperlink" Target="https://pmt.physicsandmathstutor.com/download/Maths/A-level/Mechanics/Kinematics-2/Edexcel-Set-C/MS/Kinematics%20-%20Projectiles%20MS.pdf" TargetMode="External" Id="rId1232" /><Relationship Type="http://schemas.openxmlformats.org/officeDocument/2006/relationships/hyperlink" Target="https://pmt.physicsandmathstutor.com/download/Maths/A-level/Mechanics/Kinematics-2/Edexcel-Set-C/MA/Kinematics%20-%20Projectiles%20MA.pdf" TargetMode="External" Id="rId1233" /><Relationship Type="http://schemas.openxmlformats.org/officeDocument/2006/relationships/hyperlink" Target="https://mathsgenie.co.uk/a-level/maths/edexcel/a-level-mechanics-projection-at-any-angle" TargetMode="External" Id="rId1234" /><Relationship Type="http://schemas.openxmlformats.org/officeDocument/2006/relationships/hyperlink" Target="https://assets.mathsgenie.co.uk/content/worksheets/a_level_maths/projectiles-892f2e50.pdf" TargetMode="External" Id="rId1235" /><Relationship Type="http://schemas.openxmlformats.org/officeDocument/2006/relationships/hyperlink" Target="https://assets.mathsgenie.co.uk/content/worksheets/a_level_maths/projectiles-ans-97e24b40.pdf" TargetMode="External" Id="rId1236" /><Relationship Type="http://schemas.openxmlformats.org/officeDocument/2006/relationships/hyperlink" Target="https://pmt.physicsandmathstutor.com/download/Maths/A-level/Mechanics/Kinematics-2/Edexcel-Set-C/QP/Kinematics%20-%20Projectiles%20QP.pdf" TargetMode="External" Id="rId1237" /><Relationship Type="http://schemas.openxmlformats.org/officeDocument/2006/relationships/hyperlink" Target="https://pmt.physicsandmathstutor.com/download/Maths/A-level/Mechanics/Kinematics-2/Edexcel-Set-C/MS/Kinematics%20-%20Projectiles%20MS.pdf" TargetMode="External" Id="rId1238" /><Relationship Type="http://schemas.openxmlformats.org/officeDocument/2006/relationships/hyperlink" Target="https://pmt.physicsandmathstutor.com/download/Maths/A-level/Mechanics/Kinematics-2/Edexcel-Set-C/MA/Kinematics%20-%20Projectiles%20MA.pdf" TargetMode="External" Id="rId1239" /><Relationship Type="http://schemas.openxmlformats.org/officeDocument/2006/relationships/hyperlink" Target="https://mathsgenie.co.uk/a-level/maths/edexcel/a-level-mechanics-projectile-motion-formulae" TargetMode="External" Id="rId1240" /><Relationship Type="http://schemas.openxmlformats.org/officeDocument/2006/relationships/hyperlink" Target="https://assets.mathsgenie.co.uk/content/worksheets/a_level_maths/projectiles-892f2e50.pdf" TargetMode="External" Id="rId1241" /><Relationship Type="http://schemas.openxmlformats.org/officeDocument/2006/relationships/hyperlink" Target="https://assets.mathsgenie.co.uk/content/worksheets/a_level_maths/projectiles-ans-97e24b40.pdf" TargetMode="External" Id="rId1242" /><Relationship Type="http://schemas.openxmlformats.org/officeDocument/2006/relationships/hyperlink" Target="https://pmt.physicsandmathstutor.com/download/Maths/A-level/Mechanics/Kinematics-2/Edexcel-Set-C/QP/Kinematics%20-%20Projectiles%20QP.pdf" TargetMode="External" Id="rId1243" /><Relationship Type="http://schemas.openxmlformats.org/officeDocument/2006/relationships/hyperlink" Target="https://pmt.physicsandmathstutor.com/download/Maths/A-level/Mechanics/Kinematics-2/Edexcel-Set-C/MS/Kinematics%20-%20Projectiles%20MS.pdf" TargetMode="External" Id="rId1244" /><Relationship Type="http://schemas.openxmlformats.org/officeDocument/2006/relationships/hyperlink" Target="https://pmt.physicsandmathstutor.com/download/Maths/A-level/Mechanics/Kinematics-2/Edexcel-Set-C/MA/Kinematics%20-%20Projectiles%20MA.pdf" TargetMode="External" Id="rId1245" /><Relationship Type="http://schemas.openxmlformats.org/officeDocument/2006/relationships/hyperlink" Target="https://mathsgenie.co.uk/a-level/maths/edexcel/as-mechanics-force-diagrams" TargetMode="External" Id="rId1246" /><Relationship Type="http://schemas.openxmlformats.org/officeDocument/2006/relationships/hyperlink" Target="https://assets.mathsgenie.co.uk/content/worksheets/as_level_maths/forces-and-motion-44ac0226.pdf" TargetMode="External" Id="rId1247" /><Relationship Type="http://schemas.openxmlformats.org/officeDocument/2006/relationships/hyperlink" Target="https://assets.mathsgenie.co.uk/content/worksheets/as_level_maths/forces-and-motion-ans-54858836.pdf" TargetMode="External" Id="rId1248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249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250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251" /><Relationship Type="http://schemas.openxmlformats.org/officeDocument/2006/relationships/hyperlink" Target="https://mathsgenie.co.uk/a-level/maths/edexcel/as-mechanics-forces-as-vectors" TargetMode="External" Id="rId1252" /><Relationship Type="http://schemas.openxmlformats.org/officeDocument/2006/relationships/hyperlink" Target="https://assets.mathsgenie.co.uk/content/worksheets/as_level_maths/forces-and-motion-44ac0226.pdf" TargetMode="External" Id="rId1253" /><Relationship Type="http://schemas.openxmlformats.org/officeDocument/2006/relationships/hyperlink" Target="https://assets.mathsgenie.co.uk/content/worksheets/as_level_maths/forces-and-motion-ans-54858836.pdf" TargetMode="External" Id="rId1254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255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256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257" /><Relationship Type="http://schemas.openxmlformats.org/officeDocument/2006/relationships/hyperlink" Target="https://mathsgenie.co.uk/a-level/maths/edexcel/as-mechanics-forces-and-acceleration" TargetMode="External" Id="rId1258" /><Relationship Type="http://schemas.openxmlformats.org/officeDocument/2006/relationships/hyperlink" Target="https://assets.mathsgenie.co.uk/content/worksheets/as_level_maths/forces-and-motion-44ac0226.pdf" TargetMode="External" Id="rId1259" /><Relationship Type="http://schemas.openxmlformats.org/officeDocument/2006/relationships/hyperlink" Target="https://assets.mathsgenie.co.uk/content/worksheets/as_level_maths/forces-and-motion-ans-54858836.pdf" TargetMode="External" Id="rId1260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261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262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263" /><Relationship Type="http://schemas.openxmlformats.org/officeDocument/2006/relationships/hyperlink" Target="https://mathsgenie.co.uk/a-level/maths/edexcel/as-mechanics-motion-in-2-dimensions" TargetMode="External" Id="rId1264" /><Relationship Type="http://schemas.openxmlformats.org/officeDocument/2006/relationships/hyperlink" Target="https://assets.mathsgenie.co.uk/content/worksheets/as_level_maths/forces-and-motion-44ac0226.pdf" TargetMode="External" Id="rId1265" /><Relationship Type="http://schemas.openxmlformats.org/officeDocument/2006/relationships/hyperlink" Target="https://assets.mathsgenie.co.uk/content/worksheets/as_level_maths/forces-and-motion-ans-54858836.pdf" TargetMode="External" Id="rId1266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267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268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269" /><Relationship Type="http://schemas.openxmlformats.org/officeDocument/2006/relationships/hyperlink" Target="https://mathsgenie.co.uk/a-level/maths/edexcel/as-mechanics-connected-particles" TargetMode="External" Id="rId1270" /><Relationship Type="http://schemas.openxmlformats.org/officeDocument/2006/relationships/hyperlink" Target="https://assets.mathsgenie.co.uk/content/worksheets/as_level_maths/forces-and-motion-44ac0226.pdf" TargetMode="External" Id="rId1271" /><Relationship Type="http://schemas.openxmlformats.org/officeDocument/2006/relationships/hyperlink" Target="https://assets.mathsgenie.co.uk/content/worksheets/as_level_maths/forces-and-motion-ans-54858836.pdf" TargetMode="External" Id="rId1272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1273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1274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1275" /><Relationship Type="http://schemas.openxmlformats.org/officeDocument/2006/relationships/hyperlink" Target="https://mathsgenie.co.uk/a-level/maths/edexcel/as-mechanics-pulleys" TargetMode="External" Id="rId1276" /><Relationship Type="http://schemas.openxmlformats.org/officeDocument/2006/relationships/hyperlink" Target="https://assets.mathsgenie.co.uk/content/worksheets/as_level_maths/forces-and-motion-44ac0226.pdf" TargetMode="External" Id="rId1277" /><Relationship Type="http://schemas.openxmlformats.org/officeDocument/2006/relationships/hyperlink" Target="https://assets.mathsgenie.co.uk/content/worksheets/as_level_maths/forces-and-motion-ans-54858836.pdf" TargetMode="External" Id="rId1278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1279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1280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1281" /><Relationship Type="http://schemas.openxmlformats.org/officeDocument/2006/relationships/hyperlink" Target="https://mathsgenie.co.uk/a-level/maths/edexcel/a-level-mechanics-resolving-forces" TargetMode="External" Id="rId1282" /><Relationship Type="http://schemas.openxmlformats.org/officeDocument/2006/relationships/hyperlink" Target="https://assets.mathsgenie.co.uk/content/worksheets/a_level_maths/forces-and-friction-a67d1967.pdf" TargetMode="External" Id="rId1283" /><Relationship Type="http://schemas.openxmlformats.org/officeDocument/2006/relationships/hyperlink" Target="https://assets.mathsgenie.co.uk/content/worksheets/a_level_maths/forces-and-friction-ans-702dd276.pdf" TargetMode="External" Id="rId1284" /><Relationship Type="http://schemas.openxmlformats.org/officeDocument/2006/relationships/hyperlink" Target="https://pmt.physicsandmathstutor.com/download/Maths/A-level/Mechanics/Forces-and-Newtons-Laws-2/Edexcel-Set-C/QP/Forces%20and%20Newton%27s%20Laws%20of%20Motion%20QP.pdf" TargetMode="External" Id="rId1285" /><Relationship Type="http://schemas.openxmlformats.org/officeDocument/2006/relationships/hyperlink" Target="https://pmt.physicsandmathstutor.com/download/Maths/A-level/Mechanics/Forces-and-Newtons-Laws-2/Edexcel-Set-C/MS/Forces%20and%20Newton%27s%20Laws%20of%20Motion%20MS.pdf" TargetMode="External" Id="rId1286" /><Relationship Type="http://schemas.openxmlformats.org/officeDocument/2006/relationships/hyperlink" Target="https://pmt.physicsandmathstutor.com/download/Maths/A-level/Mechanics/Forces-and-Newtons-Laws-2/Edexcel-Set-C/MA/Forces%20and%20Newton%27s%20Laws%20of%20Motion%20MA.pdf" TargetMode="External" Id="rId1287" /><Relationship Type="http://schemas.openxmlformats.org/officeDocument/2006/relationships/hyperlink" Target="https://mathsgenie.co.uk/a-level/maths/edexcel/a-level-mechanics-inclined-planes" TargetMode="External" Id="rId1288" /><Relationship Type="http://schemas.openxmlformats.org/officeDocument/2006/relationships/hyperlink" Target="https://assets.mathsgenie.co.uk/content/worksheets/a_level_maths/forces-and-friction-a67d1967.pdf" TargetMode="External" Id="rId1289" /><Relationship Type="http://schemas.openxmlformats.org/officeDocument/2006/relationships/hyperlink" Target="https://assets.mathsgenie.co.uk/content/worksheets/a_level_maths/forces-and-friction-ans-702dd276.pdf" TargetMode="External" Id="rId1290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1291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1292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1293" /><Relationship Type="http://schemas.openxmlformats.org/officeDocument/2006/relationships/hyperlink" Target="https://mathsgenie.co.uk/a-level/maths/edexcel/a-level-mechanics-friction" TargetMode="External" Id="rId1294" /><Relationship Type="http://schemas.openxmlformats.org/officeDocument/2006/relationships/hyperlink" Target="https://assets.mathsgenie.co.uk/content/worksheets/a_level_maths/forces-and-friction-a67d1967.pdf" TargetMode="External" Id="rId1295" /><Relationship Type="http://schemas.openxmlformats.org/officeDocument/2006/relationships/hyperlink" Target="https://assets.mathsgenie.co.uk/content/worksheets/a_level_maths/forces-and-friction-ans-702dd276.pdf" TargetMode="External" Id="rId1296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1297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1298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1299" /><Relationship Type="http://schemas.openxmlformats.org/officeDocument/2006/relationships/hyperlink" Target="https://mathsgenie.co.uk/a-level/maths/edexcel/a-level-mechanics-static-particles" TargetMode="External" Id="rId1300" /><Relationship Type="http://schemas.openxmlformats.org/officeDocument/2006/relationships/hyperlink" Target="https://assets.mathsgenie.co.uk/content/worksheets/a_level_maths/applications-of-forces-457885b2.pdf" TargetMode="External" Id="rId1301" /><Relationship Type="http://schemas.openxmlformats.org/officeDocument/2006/relationships/hyperlink" Target="https://assets.mathsgenie.co.uk/content/worksheets/a_level_maths/applications-of-forces-ans-863b54af.pdf" TargetMode="External" Id="rId1302" /><Relationship Type="http://schemas.openxmlformats.org/officeDocument/2006/relationships/hyperlink" Target="https://pmt.physicsandmathstutor.com/download/Maths/A-level/Mechanics/Forces-and-Newtons-Laws-2/Edexcel-Set-C/QP/Statics%20QP.pdf" TargetMode="External" Id="rId1303" /><Relationship Type="http://schemas.openxmlformats.org/officeDocument/2006/relationships/hyperlink" Target="https://pmt.physicsandmathstutor.com/download/Maths/A-level/Mechanics/Forces-and-Newtons-Laws-2/Edexcel-Set-C/MS/Statics%20MS.pdf" TargetMode="External" Id="rId1304" /><Relationship Type="http://schemas.openxmlformats.org/officeDocument/2006/relationships/hyperlink" Target="https://pmt.physicsandmathstutor.com/download/Maths/A-level/Mechanics/Forces-and-Newtons-Laws-2/Edexcel-Set-C/MA/Statics%20MA.pdf" TargetMode="External" Id="rId1305" /><Relationship Type="http://schemas.openxmlformats.org/officeDocument/2006/relationships/hyperlink" Target="https://mathsgenie.co.uk/a-level/maths/edexcel/a-level-mechanics-friction-and-static-particles" TargetMode="External" Id="rId1306" /><Relationship Type="http://schemas.openxmlformats.org/officeDocument/2006/relationships/hyperlink" Target="https://assets.mathsgenie.co.uk/content/worksheets/a_level_maths/applications-of-forces-457885b2.pdf" TargetMode="External" Id="rId1307" /><Relationship Type="http://schemas.openxmlformats.org/officeDocument/2006/relationships/hyperlink" Target="https://assets.mathsgenie.co.uk/content/worksheets/a_level_maths/applications-of-forces-ans-863b54af.pdf" TargetMode="External" Id="rId1308" /><Relationship Type="http://schemas.openxmlformats.org/officeDocument/2006/relationships/hyperlink" Target="https://pmt.physicsandmathstutor.com/download/Maths/A-level/Mechanics/Forces-and-Newtons-Laws-2/Edexcel-Set-C/QP/Statics%20QP.pdf" TargetMode="External" Id="rId1309" /><Relationship Type="http://schemas.openxmlformats.org/officeDocument/2006/relationships/hyperlink" Target="https://pmt.physicsandmathstutor.com/download/Maths/A-level/Mechanics/Forces-and-Newtons-Laws-2/Edexcel-Set-C/MS/Statics%20MS.pdf" TargetMode="External" Id="rId1310" /><Relationship Type="http://schemas.openxmlformats.org/officeDocument/2006/relationships/hyperlink" Target="https://pmt.physicsandmathstutor.com/download/Maths/A-level/Mechanics/Forces-and-Newtons-Laws-2/Edexcel-Set-C/MA/Statics%20MA.pdf" TargetMode="External" Id="rId1311" /><Relationship Type="http://schemas.openxmlformats.org/officeDocument/2006/relationships/hyperlink" Target="https://mathsgenie.co.uk/a-level/maths/edexcel/a-level-mechanics-dynamics-and-inclined-planes" TargetMode="External" Id="rId1312" /><Relationship Type="http://schemas.openxmlformats.org/officeDocument/2006/relationships/hyperlink" Target="https://assets.mathsgenie.co.uk/content/worksheets/a_level_maths/applications-of-forces-457885b2.pdf" TargetMode="External" Id="rId1313" /><Relationship Type="http://schemas.openxmlformats.org/officeDocument/2006/relationships/hyperlink" Target="https://assets.mathsgenie.co.uk/content/worksheets/a_level_maths/applications-of-forces-ans-863b54af.pdf" TargetMode="External" Id="rId1314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1315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1316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1317" /><Relationship Type="http://schemas.openxmlformats.org/officeDocument/2006/relationships/hyperlink" Target="https://mathsgenie.co.uk/a-level/maths/edexcel/a-level-mechanics-connected-particles-2" TargetMode="External" Id="rId1318" /><Relationship Type="http://schemas.openxmlformats.org/officeDocument/2006/relationships/hyperlink" Target="https://assets.mathsgenie.co.uk/content/worksheets/a_level_maths/applications-of-forces-457885b2.pdf" TargetMode="External" Id="rId1319" /><Relationship Type="http://schemas.openxmlformats.org/officeDocument/2006/relationships/hyperlink" Target="https://assets.mathsgenie.co.uk/content/worksheets/a_level_maths/applications-of-forces-ans-863b54af.pdf" TargetMode="External" Id="rId1320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1321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1322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1323" /><Relationship Type="http://schemas.openxmlformats.org/officeDocument/2006/relationships/hyperlink" Target="https://mathsgenie.co.uk/a-level/maths/edexcel/a-level-mechanics-moments" TargetMode="External" Id="rId1324" /><Relationship Type="http://schemas.openxmlformats.org/officeDocument/2006/relationships/hyperlink" Target="https://assets.mathsgenie.co.uk/content/worksheets/a_level_maths/moments-2ce740de.pdf" TargetMode="External" Id="rId1325" /><Relationship Type="http://schemas.openxmlformats.org/officeDocument/2006/relationships/hyperlink" Target="https://assets.mathsgenie.co.uk/content/worksheets/a_level_maths/moments-ans-221405b9.pdf" TargetMode="External" Id="rId1326" /><Relationship Type="http://schemas.openxmlformats.org/officeDocument/2006/relationships/hyperlink" Target="https://pmt.physicsandmathstutor.com/download/Maths/A-level/Mechanics/Moments-2/Edexcel-Set-C/QP/Moments%20QP.pdf" TargetMode="External" Id="rId1327" /><Relationship Type="http://schemas.openxmlformats.org/officeDocument/2006/relationships/hyperlink" Target="https://pmt.physicsandmathstutor.com/download/Maths/A-level/Mechanics/Moments-2/Edexcel-Set-C/MS/Moments%20MS.pdf" TargetMode="External" Id="rId1328" /><Relationship Type="http://schemas.openxmlformats.org/officeDocument/2006/relationships/hyperlink" Target="https://pmt.physicsandmathstutor.com/download/Maths/A-level/Mechanics/Moments-2/Edexcel-Set-C/MA/Moments%20MA.pdf" TargetMode="External" Id="rId1329" /><Relationship Type="http://schemas.openxmlformats.org/officeDocument/2006/relationships/hyperlink" Target="https://mathsgenie.co.uk/a-level/maths/edexcel/a-level-mechanics-resultant-moments" TargetMode="External" Id="rId1330" /><Relationship Type="http://schemas.openxmlformats.org/officeDocument/2006/relationships/hyperlink" Target="https://assets.mathsgenie.co.uk/content/worksheets/a_level_maths/moments-2ce740de.pdf" TargetMode="External" Id="rId1331" /><Relationship Type="http://schemas.openxmlformats.org/officeDocument/2006/relationships/hyperlink" Target="https://assets.mathsgenie.co.uk/content/worksheets/a_level_maths/moments-ans-221405b9.pdf" TargetMode="External" Id="rId1332" /><Relationship Type="http://schemas.openxmlformats.org/officeDocument/2006/relationships/hyperlink" Target="https://pmt.physicsandmathstutor.com/download/Maths/A-level/Mechanics/Moments-2/Edexcel-Set-C/QP/Moments%20QP.pdf" TargetMode="External" Id="rId1333" /><Relationship Type="http://schemas.openxmlformats.org/officeDocument/2006/relationships/hyperlink" Target="https://pmt.physicsandmathstutor.com/download/Maths/A-level/Mechanics/Moments-2/Edexcel-Set-C/MS/Moments%20MS.pdf" TargetMode="External" Id="rId1334" /><Relationship Type="http://schemas.openxmlformats.org/officeDocument/2006/relationships/hyperlink" Target="https://pmt.physicsandmathstutor.com/download/Maths/A-level/Mechanics/Moments-2/Edexcel-Set-C/MA/Moments%20MA.pdf" TargetMode="External" Id="rId1335" /><Relationship Type="http://schemas.openxmlformats.org/officeDocument/2006/relationships/hyperlink" Target="https://mathsgenie.co.uk/a-level/maths/edexcel/a-level-mechanics-equilibrium" TargetMode="External" Id="rId1336" /><Relationship Type="http://schemas.openxmlformats.org/officeDocument/2006/relationships/hyperlink" Target="https://assets.mathsgenie.co.uk/content/worksheets/a_level_maths/moments-2ce740de.pdf" TargetMode="External" Id="rId1337" /><Relationship Type="http://schemas.openxmlformats.org/officeDocument/2006/relationships/hyperlink" Target="https://assets.mathsgenie.co.uk/content/worksheets/a_level_maths/moments-ans-221405b9.pdf" TargetMode="External" Id="rId1338" /><Relationship Type="http://schemas.openxmlformats.org/officeDocument/2006/relationships/hyperlink" Target="https://pmt.physicsandmathstutor.com/download/Maths/A-level/Mechanics/Moments-2/Edexcel-Set-C/QP/Moments%20QP.pdf" TargetMode="External" Id="rId1339" /><Relationship Type="http://schemas.openxmlformats.org/officeDocument/2006/relationships/hyperlink" Target="https://pmt.physicsandmathstutor.com/download/Maths/A-level/Mechanics/Moments-2/Edexcel-Set-C/MS/Moments%20MS.pdf" TargetMode="External" Id="rId1340" /><Relationship Type="http://schemas.openxmlformats.org/officeDocument/2006/relationships/hyperlink" Target="https://pmt.physicsandmathstutor.com/download/Maths/A-level/Mechanics/Moments-2/Edexcel-Set-C/MA/Moments%20MA.pdf" TargetMode="External" Id="rId1341" /><Relationship Type="http://schemas.openxmlformats.org/officeDocument/2006/relationships/hyperlink" Target="https://mathsgenie.co.uk/a-level/maths/edexcel/a-level-mechanics-centres-of-mass" TargetMode="External" Id="rId1342" /><Relationship Type="http://schemas.openxmlformats.org/officeDocument/2006/relationships/hyperlink" Target="https://assets.mathsgenie.co.uk/content/worksheets/a_level_maths/moments-2ce740de.pdf" TargetMode="External" Id="rId1343" /><Relationship Type="http://schemas.openxmlformats.org/officeDocument/2006/relationships/hyperlink" Target="https://assets.mathsgenie.co.uk/content/worksheets/a_level_maths/moments-ans-221405b9.pdf" TargetMode="External" Id="rId1344" /><Relationship Type="http://schemas.openxmlformats.org/officeDocument/2006/relationships/hyperlink" Target="https://pmt.physicsandmathstutor.com/download/Maths/A-level/Mechanics/Moments-2/Edexcel-Set-C/QP/Moments%20QP.pdf" TargetMode="External" Id="rId1345" /><Relationship Type="http://schemas.openxmlformats.org/officeDocument/2006/relationships/hyperlink" Target="https://pmt.physicsandmathstutor.com/download/Maths/A-level/Mechanics/Moments-2/Edexcel-Set-C/MS/Moments%20MS.pdf" TargetMode="External" Id="rId1346" /><Relationship Type="http://schemas.openxmlformats.org/officeDocument/2006/relationships/hyperlink" Target="https://pmt.physicsandmathstutor.com/download/Maths/A-level/Mechanics/Moments-2/Edexcel-Set-C/MA/Moments%20MA.pdf" TargetMode="External" Id="rId1347" /><Relationship Type="http://schemas.openxmlformats.org/officeDocument/2006/relationships/hyperlink" Target="https://mathsgenie.co.uk/a-level/maths/edexcel/a-level-mechanics-tilting" TargetMode="External" Id="rId1348" /><Relationship Type="http://schemas.openxmlformats.org/officeDocument/2006/relationships/hyperlink" Target="https://assets.mathsgenie.co.uk/content/worksheets/a_level_maths/moments-2ce740de.pdf" TargetMode="External" Id="rId1349" /><Relationship Type="http://schemas.openxmlformats.org/officeDocument/2006/relationships/hyperlink" Target="https://assets.mathsgenie.co.uk/content/worksheets/a_level_maths/moments-ans-221405b9.pdf" TargetMode="External" Id="rId1350" /><Relationship Type="http://schemas.openxmlformats.org/officeDocument/2006/relationships/hyperlink" Target="https://pmt.physicsandmathstutor.com/download/Maths/A-level/Mechanics/Moments-2/Edexcel-Set-C/QP/Moments%20QP.pdf" TargetMode="External" Id="rId1351" /><Relationship Type="http://schemas.openxmlformats.org/officeDocument/2006/relationships/hyperlink" Target="https://pmt.physicsandmathstutor.com/download/Maths/A-level/Mechanics/Moments-2/Edexcel-Set-C/MS/Moments%20MS.pdf" TargetMode="External" Id="rId1352" /><Relationship Type="http://schemas.openxmlformats.org/officeDocument/2006/relationships/hyperlink" Target="https://pmt.physicsandmathstutor.com/download/Maths/A-level/Mechanics/Moments-2/Edexcel-Set-C/MA/Moments%20MA.pdf" TargetMode="External" Id="rId1353" /><Relationship Type="http://schemas.openxmlformats.org/officeDocument/2006/relationships/hyperlink" Target="https://mathsgenie.co.uk/a-level/maths/edexcel/a-level-mechanics-static-rigid-bodies" TargetMode="External" Id="rId1354" /><Relationship Type="http://schemas.openxmlformats.org/officeDocument/2006/relationships/hyperlink" Target="https://assets.mathsgenie.co.uk/content/worksheets/a_level_maths/applications-of-forces-457885b2.pdf" TargetMode="External" Id="rId1355" /><Relationship Type="http://schemas.openxmlformats.org/officeDocument/2006/relationships/hyperlink" Target="https://assets.mathsgenie.co.uk/content/worksheets/a_level_maths/applications-of-forces-ans-863b54af.pdf" TargetMode="External" Id="rId1356" /><Relationship Type="http://schemas.openxmlformats.org/officeDocument/2006/relationships/hyperlink" Target="https://pmt.physicsandmathstutor.com/download/Maths/A-level/Mechanics/Moments-2/Edexcel-Set-C/QP/Moments%20QP.pdf" TargetMode="External" Id="rId1357" /><Relationship Type="http://schemas.openxmlformats.org/officeDocument/2006/relationships/hyperlink" Target="https://pmt.physicsandmathstutor.com/download/Maths/A-level/Mechanics/Moments-2/Edexcel-Set-C/MS/Moments%20MS.pdf" TargetMode="External" Id="rId1358" /><Relationship Type="http://schemas.openxmlformats.org/officeDocument/2006/relationships/hyperlink" Target="https://pmt.physicsandmathstutor.com/download/Maths/A-level/Mechanics/Moments-2/Edexcel-Set-C/MA/Moments%20MA.pdf" TargetMode="External" Id="rId13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3" max="3"/>
    <col width="60" customWidth="1" min="4" max="4"/>
  </cols>
  <sheetData>
    <row r="1" ht="20.25" customHeight="1">
      <c r="A1" s="1" t="inlineStr">
        <is>
          <t>Edexcel A Level Maths: topic check</t>
        </is>
      </c>
    </row>
    <row r="2">
      <c r="A2" s="2" t="inlineStr">
        <is>
          <t>Pearson Edexcel A Level Mathematics (9MA0), Year 1 and Year 2. 231 topics, in the order of the official specification.</t>
        </is>
      </c>
    </row>
    <row r="4" ht="36" customHeight="1">
      <c r="A4" s="3" t="inlineStr">
        <is>
          <t>What to do</t>
        </is>
      </c>
      <c r="B4" s="4" t="inlineStr">
        <is>
          <t>Go to the RAG tracker tab and put R, A or G in the 'Your rating' column for each topic. That is the only column to fill in, plus Notes if you want.</t>
        </is>
      </c>
    </row>
    <row r="5" ht="21" customHeight="1">
      <c r="A5" s="5" t="inlineStr">
        <is>
          <t>R</t>
        </is>
      </c>
      <c r="B5" s="4" t="inlineStr">
        <is>
          <t>I could not start this, or I would get it wrong.</t>
        </is>
      </c>
    </row>
    <row r="6" ht="21" customHeight="1">
      <c r="A6" s="6" t="inlineStr">
        <is>
          <t>A</t>
        </is>
      </c>
      <c r="B6" s="4" t="inlineStr">
        <is>
          <t>I can do it but slowly, or I get some right and some wrong.</t>
        </is>
      </c>
    </row>
    <row r="7" ht="21" customHeight="1">
      <c r="A7" s="7" t="inlineStr">
        <is>
          <t>G</t>
        </is>
      </c>
      <c r="B7" s="4" t="inlineStr">
        <is>
          <t>I can do this confidently and quickly, in exam conditions.</t>
        </is>
      </c>
    </row>
    <row r="8" ht="21" customHeight="1">
      <c r="A8" s="3" t="inlineStr">
        <is>
          <t>Be honest rather than kind</t>
        </is>
      </c>
      <c r="B8" s="4" t="inlineStr">
        <is>
          <t>A topic marked G gets almost no time from us. If you are torn between two, pick the lower one.</t>
        </is>
      </c>
    </row>
    <row r="9" ht="51" customHeight="1">
      <c r="A9" s="3" t="inlineStr">
        <is>
          <t>Year 1 counts too</t>
        </is>
      </c>
      <c r="B9" s="4" t="inlineStr">
        <is>
          <t>All three papers examine Year 1 and Year 2 content. Year 1 topics such as quadratics, indices and differentiation turn up inside almost every Year 2 question, so an R there is the most useful thing you can tell me.</t>
        </is>
      </c>
    </row>
    <row r="10" ht="51" customHeight="1">
      <c r="A10" s="3" t="inlineStr">
        <is>
          <t>Spec ref</t>
        </is>
      </c>
      <c r="B10" s="4" t="inlineStr">
        <is>
          <t>The official specification reference. P = Pure (Papers 1 and 2), S = Statistics and M = Mechanics (both on Paper 3). For example P7.4 is Pure section 7.4, the chain, product and quotient rules.</t>
        </is>
      </c>
    </row>
    <row r="11" ht="21" customHeight="1">
      <c r="A11" s="3" t="inlineStr">
        <is>
          <t>Year</t>
        </is>
      </c>
      <c r="B11" s="4" t="inlineStr">
        <is>
          <t>1 = first-year (AS) content, 2 = second-year content.</t>
        </is>
      </c>
    </row>
    <row r="12" ht="51" customHeight="1">
      <c r="A12" s="3" t="inlineStr">
        <is>
          <t>Maths Genie</t>
        </is>
      </c>
      <c r="B12" s="4" t="inlineStr">
        <is>
          <t>'open' goes to the Maths Genie page for that topic, with a video lesson. 'Qs' is a booklet of real Edexcel exam questions for that chapter and 'Ans' is the worked solutions. 'Qs (topic)' means Maths Genie has a booklet for that exact topic.</t>
        </is>
      </c>
    </row>
    <row r="13" ht="51" customHeight="1">
      <c r="A13" s="3" t="inlineStr">
        <is>
          <t>PMT worksheet</t>
        </is>
      </c>
      <c r="B13" s="4" t="inlineStr">
        <is>
          <t>Physics &amp; Maths Tutor topic questions: QP is the question paper, MS the official mark scheme, Ans the model answers. 'Yr 2 set' sheets also include Year 1 content. 'no PMT sheet' means there isn't a close match.</t>
        </is>
      </c>
    </row>
    <row r="14" ht="36" customHeight="1">
      <c r="A14" s="3" t="inlineStr">
        <is>
          <t>The papers</t>
        </is>
      </c>
      <c r="B14" s="4" t="inlineStr">
        <is>
          <t>Paper 1 and Paper 2: Pure, 2 hours, 100 marks each. Paper 3: Statistics (50 marks) and Mechanics (50 marks), 2 hours. Each paper is a third of the A Level.</t>
        </is>
      </c>
    </row>
    <row r="15" ht="36" customHeight="1">
      <c r="A15" s="3" t="inlineStr">
        <is>
          <t>How long</t>
        </is>
      </c>
      <c r="B15" s="4" t="inlineStr">
        <is>
          <t>About 231 rows, mostly one glance each. Roughly 45 minutes, and it can be done over two sittings.</t>
        </is>
      </c>
    </row>
    <row r="17">
      <c r="A17" s="8" t="inlineStr">
        <is>
          <t>Example of a filled row</t>
        </is>
      </c>
    </row>
    <row r="18">
      <c r="A18" s="9" t="inlineStr">
        <is>
          <t>Spec ref</t>
        </is>
      </c>
      <c r="B18" s="9" t="inlineStr">
        <is>
          <t>Topic</t>
        </is>
      </c>
      <c r="C18" s="9" t="inlineStr">
        <is>
          <t>Your rating</t>
        </is>
      </c>
      <c r="D18" s="9" t="inlineStr">
        <is>
          <t>Notes</t>
        </is>
      </c>
    </row>
    <row r="19">
      <c r="A19" s="10" t="inlineStr">
        <is>
          <t>P7.4</t>
        </is>
      </c>
      <c r="B19" s="10" t="inlineStr">
        <is>
          <t>The chain rule</t>
        </is>
      </c>
      <c r="C19" s="11" t="inlineStr">
        <is>
          <t>A</t>
        </is>
      </c>
      <c r="D19" s="10" t="inlineStr">
        <is>
          <t>Fine with polynomials, lose marks when trig or e^x is inside</t>
        </is>
      </c>
    </row>
  </sheetData>
  <mergeCells count="12">
    <mergeCell ref="B10:D10"/>
    <mergeCell ref="B11:D11"/>
    <mergeCell ref="B5:D5"/>
    <mergeCell ref="B14:D14"/>
    <mergeCell ref="B15:D15"/>
    <mergeCell ref="B8:D8"/>
    <mergeCell ref="B4:D4"/>
    <mergeCell ref="B9:D9"/>
    <mergeCell ref="B13:D13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5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8" customWidth="1" min="3" max="3"/>
    <col width="11" customWidth="1" min="4" max="4"/>
    <col width="36" customWidth="1" min="5" max="5"/>
    <col width="12" customWidth="1" min="6" max="6"/>
    <col width="11" customWidth="1" min="7" max="7"/>
    <col width="12" customWidth="1" min="8" max="8"/>
    <col width="34" customWidth="1" min="9" max="9"/>
    <col width="6" customWidth="1" min="10" max="10"/>
    <col width="6" customWidth="1" min="11" max="11"/>
    <col width="6" customWidth="1" min="12" max="12"/>
    <col hidden="1" width="13" customWidth="1" min="13" max="13"/>
    <col hidden="1" width="13" customWidth="1" min="14" max="14"/>
  </cols>
  <sheetData>
    <row r="1" ht="30" customHeight="1">
      <c r="A1" s="12" t="inlineStr">
        <is>
          <t>Spec ref</t>
        </is>
      </c>
      <c r="B1" s="12" t="inlineStr">
        <is>
          <t>Year</t>
        </is>
      </c>
      <c r="C1" s="12" t="inlineStr">
        <is>
          <t>Topic</t>
        </is>
      </c>
      <c r="D1" s="12" t="inlineStr">
        <is>
          <t>Your rating</t>
        </is>
      </c>
      <c r="E1" s="12" t="inlineStr">
        <is>
          <t>Notes</t>
        </is>
      </c>
      <c r="F1" s="12" t="inlineStr">
        <is>
          <t>Maths Genie</t>
        </is>
      </c>
      <c r="G1" s="12" t="inlineStr">
        <is>
          <t>MG exam Qs</t>
        </is>
      </c>
      <c r="H1" s="12" t="inlineStr">
        <is>
          <t>MG solutions</t>
        </is>
      </c>
      <c r="I1" s="12" t="inlineStr">
        <is>
          <t>PMT worksheet</t>
        </is>
      </c>
      <c r="J1" s="12" t="inlineStr">
        <is>
          <t>QP</t>
        </is>
      </c>
      <c r="K1" s="12" t="inlineStr">
        <is>
          <t>MS</t>
        </is>
      </c>
      <c r="L1" s="12" t="inlineStr">
        <is>
          <t>Ans</t>
        </is>
      </c>
      <c r="M1" s="9" t="inlineStr">
        <is>
          <t>Section</t>
        </is>
      </c>
      <c r="N1" s="9" t="inlineStr">
        <is>
          <t>Paper</t>
        </is>
      </c>
    </row>
    <row r="2" ht="24" customHeight="1">
      <c r="A2" s="13" t="n"/>
      <c r="B2" s="14" t="inlineStr">
        <is>
          <t>PURE 1   ·   Proof   ·   Paper 1 &amp; 2   ·   3 topics (Yr 1: 2 · Yr 2: 1)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</row>
    <row r="3">
      <c r="A3" s="15" t="inlineStr">
        <is>
          <t>P1.1</t>
        </is>
      </c>
      <c r="B3" s="15" t="n">
        <v>1</v>
      </c>
      <c r="C3" s="16" t="inlineStr">
        <is>
          <t>Proof by deduction and proof by exhaustion</t>
        </is>
      </c>
      <c r="D3" s="17" t="n"/>
      <c r="E3" s="18" t="n"/>
      <c r="F3" s="19" t="inlineStr">
        <is>
          <t>open</t>
        </is>
      </c>
      <c r="G3" s="19" t="inlineStr">
        <is>
          <t>Qs</t>
        </is>
      </c>
      <c r="H3" s="19" t="inlineStr">
        <is>
          <t>Ans</t>
        </is>
      </c>
      <c r="I3" s="20" t="inlineStr">
        <is>
          <t>Proof</t>
        </is>
      </c>
      <c r="J3" s="19" t="inlineStr">
        <is>
          <t>QP</t>
        </is>
      </c>
      <c r="K3" s="19" t="inlineStr">
        <is>
          <t>MS</t>
        </is>
      </c>
      <c r="L3" s="19" t="inlineStr">
        <is>
          <t>Ans</t>
        </is>
      </c>
      <c r="M3" t="inlineStr">
        <is>
          <t>P1</t>
        </is>
      </c>
      <c r="N3" t="inlineStr">
        <is>
          <t>Pure</t>
        </is>
      </c>
    </row>
    <row r="4">
      <c r="A4" s="15" t="inlineStr">
        <is>
          <t>P1.1</t>
        </is>
      </c>
      <c r="B4" s="15" t="n">
        <v>1</v>
      </c>
      <c r="C4" s="16" t="inlineStr">
        <is>
          <t>Disproof by counter-example</t>
        </is>
      </c>
      <c r="D4" s="17" t="n"/>
      <c r="E4" s="18" t="n"/>
      <c r="F4" s="19" t="inlineStr">
        <is>
          <t>open</t>
        </is>
      </c>
      <c r="G4" s="19" t="inlineStr">
        <is>
          <t>Qs</t>
        </is>
      </c>
      <c r="H4" s="19" t="inlineStr">
        <is>
          <t>Ans</t>
        </is>
      </c>
      <c r="I4" s="20" t="inlineStr">
        <is>
          <t>Proof</t>
        </is>
      </c>
      <c r="J4" s="19" t="inlineStr">
        <is>
          <t>QP</t>
        </is>
      </c>
      <c r="K4" s="19" t="inlineStr">
        <is>
          <t>MS</t>
        </is>
      </c>
      <c r="L4" s="19" t="inlineStr">
        <is>
          <t>Ans</t>
        </is>
      </c>
      <c r="M4" t="inlineStr">
        <is>
          <t>P1</t>
        </is>
      </c>
      <c r="N4" t="inlineStr">
        <is>
          <t>Pure</t>
        </is>
      </c>
    </row>
    <row r="5">
      <c r="A5" s="15" t="inlineStr">
        <is>
          <t>P1.1</t>
        </is>
      </c>
      <c r="B5" s="15" t="n">
        <v>2</v>
      </c>
      <c r="C5" s="16" t="inlineStr">
        <is>
          <t>Proof by contradiction (incl. √2 irrational, infinitely many primes)</t>
        </is>
      </c>
      <c r="D5" s="17" t="n"/>
      <c r="E5" s="18" t="n"/>
      <c r="F5" s="19" t="inlineStr">
        <is>
          <t>open</t>
        </is>
      </c>
      <c r="G5" s="19" t="inlineStr">
        <is>
          <t>Qs</t>
        </is>
      </c>
      <c r="H5" s="19" t="inlineStr">
        <is>
          <t>Ans</t>
        </is>
      </c>
      <c r="I5" s="20" t="inlineStr">
        <is>
          <t>Proof</t>
        </is>
      </c>
      <c r="J5" s="19" t="inlineStr">
        <is>
          <t>QP</t>
        </is>
      </c>
      <c r="K5" s="19" t="inlineStr">
        <is>
          <t>MS</t>
        </is>
      </c>
      <c r="L5" s="19" t="inlineStr">
        <is>
          <t>Ans</t>
        </is>
      </c>
      <c r="M5" t="inlineStr">
        <is>
          <t>P1</t>
        </is>
      </c>
      <c r="N5" t="inlineStr">
        <is>
          <t>Pure</t>
        </is>
      </c>
    </row>
    <row r="6" ht="24" customHeight="1">
      <c r="A6" s="13" t="n"/>
      <c r="B6" s="14" t="inlineStr">
        <is>
          <t>PURE 2   ·   Algebra and functions   ·   Paper 1 &amp; 2   ·   38 topics (Yr 1: 27 · Yr 2: 11)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</row>
    <row r="7">
      <c r="A7" s="15" t="inlineStr">
        <is>
          <t>P2.1</t>
        </is>
      </c>
      <c r="B7" s="15" t="n">
        <v>1</v>
      </c>
      <c r="C7" s="16" t="inlineStr">
        <is>
          <t>Laws of indices</t>
        </is>
      </c>
      <c r="D7" s="17" t="n"/>
      <c r="E7" s="18" t="n"/>
      <c r="F7" s="19" t="inlineStr">
        <is>
          <t>open</t>
        </is>
      </c>
      <c r="G7" s="19" t="inlineStr">
        <is>
          <t>Qs</t>
        </is>
      </c>
      <c r="H7" s="19" t="inlineStr">
        <is>
          <t>Ans</t>
        </is>
      </c>
      <c r="I7" s="20" t="inlineStr">
        <is>
          <t>Surds and Indices</t>
        </is>
      </c>
      <c r="J7" s="19" t="inlineStr">
        <is>
          <t>QP</t>
        </is>
      </c>
      <c r="K7" s="19" t="inlineStr">
        <is>
          <t>MS</t>
        </is>
      </c>
      <c r="L7" s="19" t="inlineStr">
        <is>
          <t>Ans</t>
        </is>
      </c>
      <c r="M7" t="inlineStr">
        <is>
          <t>P2</t>
        </is>
      </c>
      <c r="N7" t="inlineStr">
        <is>
          <t>Pure</t>
        </is>
      </c>
    </row>
    <row r="8">
      <c r="A8" s="15" t="inlineStr">
        <is>
          <t>P2.1</t>
        </is>
      </c>
      <c r="B8" s="15" t="n">
        <v>1</v>
      </c>
      <c r="C8" s="16" t="inlineStr">
        <is>
          <t>Negative and fractional indices</t>
        </is>
      </c>
      <c r="D8" s="17" t="n"/>
      <c r="E8" s="18" t="n"/>
      <c r="F8" s="19" t="inlineStr">
        <is>
          <t>open</t>
        </is>
      </c>
      <c r="G8" s="19" t="inlineStr">
        <is>
          <t>Qs</t>
        </is>
      </c>
      <c r="H8" s="19" t="inlineStr">
        <is>
          <t>Ans</t>
        </is>
      </c>
      <c r="I8" s="20" t="inlineStr">
        <is>
          <t>Surds and Indices</t>
        </is>
      </c>
      <c r="J8" s="19" t="inlineStr">
        <is>
          <t>QP</t>
        </is>
      </c>
      <c r="K8" s="19" t="inlineStr">
        <is>
          <t>MS</t>
        </is>
      </c>
      <c r="L8" s="19" t="inlineStr">
        <is>
          <t>Ans</t>
        </is>
      </c>
      <c r="M8" t="inlineStr">
        <is>
          <t>P2</t>
        </is>
      </c>
      <c r="N8" t="inlineStr">
        <is>
          <t>Pure</t>
        </is>
      </c>
    </row>
    <row r="9">
      <c r="A9" s="15" t="inlineStr">
        <is>
          <t>P2.2</t>
        </is>
      </c>
      <c r="B9" s="15" t="n">
        <v>1</v>
      </c>
      <c r="C9" s="16" t="inlineStr">
        <is>
          <t>Surds and rationalising the denominator</t>
        </is>
      </c>
      <c r="D9" s="17" t="n"/>
      <c r="E9" s="18" t="n"/>
      <c r="F9" s="19" t="inlineStr">
        <is>
          <t>open</t>
        </is>
      </c>
      <c r="G9" s="19" t="inlineStr">
        <is>
          <t>Qs</t>
        </is>
      </c>
      <c r="H9" s="19" t="inlineStr">
        <is>
          <t>Ans</t>
        </is>
      </c>
      <c r="I9" s="20" t="inlineStr">
        <is>
          <t>Surds and Indices</t>
        </is>
      </c>
      <c r="J9" s="19" t="inlineStr">
        <is>
          <t>QP</t>
        </is>
      </c>
      <c r="K9" s="19" t="inlineStr">
        <is>
          <t>MS</t>
        </is>
      </c>
      <c r="L9" s="19" t="inlineStr">
        <is>
          <t>Ans</t>
        </is>
      </c>
      <c r="M9" t="inlineStr">
        <is>
          <t>P2</t>
        </is>
      </c>
      <c r="N9" t="inlineStr">
        <is>
          <t>Pure</t>
        </is>
      </c>
    </row>
    <row r="10">
      <c r="A10" s="15" t="inlineStr">
        <is>
          <t>P2.3</t>
        </is>
      </c>
      <c r="B10" s="15" t="n">
        <v>1</v>
      </c>
      <c r="C10" s="16" t="inlineStr">
        <is>
          <t>Solving quadratics (factorising, formula, calculator)</t>
        </is>
      </c>
      <c r="D10" s="17" t="n"/>
      <c r="E10" s="18" t="n"/>
      <c r="F10" s="19" t="inlineStr">
        <is>
          <t>open</t>
        </is>
      </c>
      <c r="G10" s="19" t="inlineStr">
        <is>
          <t>Qs</t>
        </is>
      </c>
      <c r="H10" s="19" t="inlineStr">
        <is>
          <t>Ans</t>
        </is>
      </c>
      <c r="I10" s="20" t="inlineStr">
        <is>
          <t>Quadratics</t>
        </is>
      </c>
      <c r="J10" s="19" t="inlineStr">
        <is>
          <t>QP</t>
        </is>
      </c>
      <c r="K10" s="19" t="inlineStr">
        <is>
          <t>MS</t>
        </is>
      </c>
      <c r="L10" s="19" t="inlineStr">
        <is>
          <t>Ans</t>
        </is>
      </c>
      <c r="M10" t="inlineStr">
        <is>
          <t>P2</t>
        </is>
      </c>
      <c r="N10" t="inlineStr">
        <is>
          <t>Pure</t>
        </is>
      </c>
    </row>
    <row r="11">
      <c r="A11" s="15" t="inlineStr">
        <is>
          <t>P2.3</t>
        </is>
      </c>
      <c r="B11" s="15" t="n">
        <v>1</v>
      </c>
      <c r="C11" s="16" t="inlineStr">
        <is>
          <t>Completing the square</t>
        </is>
      </c>
      <c r="D11" s="17" t="n"/>
      <c r="E11" s="18" t="n"/>
      <c r="F11" s="19" t="inlineStr">
        <is>
          <t>open</t>
        </is>
      </c>
      <c r="G11" s="19" t="inlineStr">
        <is>
          <t>Qs (topic)</t>
        </is>
      </c>
      <c r="H11" s="19" t="inlineStr">
        <is>
          <t>Ans</t>
        </is>
      </c>
      <c r="I11" s="20" t="inlineStr">
        <is>
          <t>Quadratics</t>
        </is>
      </c>
      <c r="J11" s="19" t="inlineStr">
        <is>
          <t>QP</t>
        </is>
      </c>
      <c r="K11" s="19" t="inlineStr">
        <is>
          <t>MS</t>
        </is>
      </c>
      <c r="L11" s="19" t="inlineStr">
        <is>
          <t>Ans</t>
        </is>
      </c>
      <c r="M11" t="inlineStr">
        <is>
          <t>P2</t>
        </is>
      </c>
      <c r="N11" t="inlineStr">
        <is>
          <t>Pure</t>
        </is>
      </c>
    </row>
    <row r="12">
      <c r="A12" s="15" t="inlineStr">
        <is>
          <t>P2.3</t>
        </is>
      </c>
      <c r="B12" s="15" t="n">
        <v>1</v>
      </c>
      <c r="C12" s="16" t="inlineStr">
        <is>
          <t>Sketching quadratic graphs and quadratic functions</t>
        </is>
      </c>
      <c r="D12" s="17" t="n"/>
      <c r="E12" s="18" t="n"/>
      <c r="F12" s="19" t="inlineStr">
        <is>
          <t>open</t>
        </is>
      </c>
      <c r="G12" s="19" t="inlineStr">
        <is>
          <t>Qs</t>
        </is>
      </c>
      <c r="H12" s="19" t="inlineStr">
        <is>
          <t>Ans</t>
        </is>
      </c>
      <c r="I12" s="20" t="inlineStr">
        <is>
          <t>Quadratics</t>
        </is>
      </c>
      <c r="J12" s="19" t="inlineStr">
        <is>
          <t>QP</t>
        </is>
      </c>
      <c r="K12" s="19" t="inlineStr">
        <is>
          <t>MS</t>
        </is>
      </c>
      <c r="L12" s="19" t="inlineStr">
        <is>
          <t>Ans</t>
        </is>
      </c>
      <c r="M12" t="inlineStr">
        <is>
          <t>P2</t>
        </is>
      </c>
      <c r="N12" t="inlineStr">
        <is>
          <t>Pure</t>
        </is>
      </c>
    </row>
    <row r="13">
      <c r="A13" s="15" t="inlineStr">
        <is>
          <t>P2.3</t>
        </is>
      </c>
      <c r="B13" s="15" t="n">
        <v>1</v>
      </c>
      <c r="C13" s="16" t="inlineStr">
        <is>
          <t>The discriminant (real, repeated and no roots)</t>
        </is>
      </c>
      <c r="D13" s="17" t="n"/>
      <c r="E13" s="18" t="n"/>
      <c r="F13" s="19" t="inlineStr">
        <is>
          <t>open</t>
        </is>
      </c>
      <c r="G13" s="19" t="inlineStr">
        <is>
          <t>Qs (topic)</t>
        </is>
      </c>
      <c r="H13" s="19" t="inlineStr">
        <is>
          <t>Ans</t>
        </is>
      </c>
      <c r="I13" s="20" t="inlineStr">
        <is>
          <t>Quadratics</t>
        </is>
      </c>
      <c r="J13" s="19" t="inlineStr">
        <is>
          <t>QP</t>
        </is>
      </c>
      <c r="K13" s="19" t="inlineStr">
        <is>
          <t>MS</t>
        </is>
      </c>
      <c r="L13" s="19" t="inlineStr">
        <is>
          <t>Ans</t>
        </is>
      </c>
      <c r="M13" t="inlineStr">
        <is>
          <t>P2</t>
        </is>
      </c>
      <c r="N13" t="inlineStr">
        <is>
          <t>Pure</t>
        </is>
      </c>
    </row>
    <row r="14">
      <c r="A14" s="15" t="inlineStr">
        <is>
          <t>P2.3</t>
        </is>
      </c>
      <c r="B14" s="15" t="n">
        <v>1</v>
      </c>
      <c r="C14" s="16" t="inlineStr">
        <is>
          <t>Hidden quadratics (quadratics in a function of x)</t>
        </is>
      </c>
      <c r="D14" s="17" t="n"/>
      <c r="E14" s="18" t="n"/>
      <c r="F14" s="19" t="inlineStr">
        <is>
          <t>open</t>
        </is>
      </c>
      <c r="G14" s="19" t="inlineStr">
        <is>
          <t>Qs</t>
        </is>
      </c>
      <c r="H14" s="19" t="inlineStr">
        <is>
          <t>Ans</t>
        </is>
      </c>
      <c r="I14" s="20" t="inlineStr">
        <is>
          <t>Quadratics</t>
        </is>
      </c>
      <c r="J14" s="19" t="inlineStr">
        <is>
          <t>QP</t>
        </is>
      </c>
      <c r="K14" s="19" t="inlineStr">
        <is>
          <t>MS</t>
        </is>
      </c>
      <c r="L14" s="19" t="inlineStr">
        <is>
          <t>Ans</t>
        </is>
      </c>
      <c r="M14" t="inlineStr">
        <is>
          <t>P2</t>
        </is>
      </c>
      <c r="N14" t="inlineStr">
        <is>
          <t>Pure</t>
        </is>
      </c>
    </row>
    <row r="15">
      <c r="A15" s="15" t="inlineStr">
        <is>
          <t>P2.4</t>
        </is>
      </c>
      <c r="B15" s="15" t="n">
        <v>1</v>
      </c>
      <c r="C15" s="16" t="inlineStr">
        <is>
          <t>Linear simultaneous equations</t>
        </is>
      </c>
      <c r="D15" s="17" t="n"/>
      <c r="E15" s="18" t="n"/>
      <c r="F15" s="19" t="inlineStr">
        <is>
          <t>open</t>
        </is>
      </c>
      <c r="G15" s="19" t="inlineStr">
        <is>
          <t>Qs</t>
        </is>
      </c>
      <c r="H15" s="19" t="inlineStr">
        <is>
          <t>Ans</t>
        </is>
      </c>
      <c r="I15" s="21" t="inlineStr">
        <is>
          <t>no PMT sheet</t>
        </is>
      </c>
      <c r="J15" s="22" t="n"/>
      <c r="K15" s="22" t="n"/>
      <c r="L15" s="22" t="n"/>
      <c r="M15" t="inlineStr">
        <is>
          <t>P2</t>
        </is>
      </c>
      <c r="N15" t="inlineStr">
        <is>
          <t>Pure</t>
        </is>
      </c>
    </row>
    <row r="16">
      <c r="A16" s="15" t="inlineStr">
        <is>
          <t>P2.4</t>
        </is>
      </c>
      <c r="B16" s="15" t="n">
        <v>1</v>
      </c>
      <c r="C16" s="16" t="inlineStr">
        <is>
          <t>Simultaneous equations: one linear, one quadratic</t>
        </is>
      </c>
      <c r="D16" s="17" t="n"/>
      <c r="E16" s="18" t="n"/>
      <c r="F16" s="19" t="inlineStr">
        <is>
          <t>open</t>
        </is>
      </c>
      <c r="G16" s="19" t="inlineStr">
        <is>
          <t>Qs</t>
        </is>
      </c>
      <c r="H16" s="19" t="inlineStr">
        <is>
          <t>Ans</t>
        </is>
      </c>
      <c r="I16" s="21" t="inlineStr">
        <is>
          <t>no PMT sheet</t>
        </is>
      </c>
      <c r="J16" s="22" t="n"/>
      <c r="K16" s="22" t="n"/>
      <c r="L16" s="22" t="n"/>
      <c r="M16" t="inlineStr">
        <is>
          <t>P2</t>
        </is>
      </c>
      <c r="N16" t="inlineStr">
        <is>
          <t>Pure</t>
        </is>
      </c>
    </row>
    <row r="17">
      <c r="A17" s="15" t="inlineStr">
        <is>
          <t>P2.5</t>
        </is>
      </c>
      <c r="B17" s="15" t="n">
        <v>1</v>
      </c>
      <c r="C17" s="16" t="inlineStr">
        <is>
          <t>Linear inequalities</t>
        </is>
      </c>
      <c r="D17" s="17" t="n"/>
      <c r="E17" s="18" t="n"/>
      <c r="F17" s="19" t="inlineStr">
        <is>
          <t>open</t>
        </is>
      </c>
      <c r="G17" s="19" t="inlineStr">
        <is>
          <t>Qs</t>
        </is>
      </c>
      <c r="H17" s="19" t="inlineStr">
        <is>
          <t>Ans</t>
        </is>
      </c>
      <c r="I17" s="20" t="inlineStr">
        <is>
          <t>Inequalities</t>
        </is>
      </c>
      <c r="J17" s="19" t="inlineStr">
        <is>
          <t>QP</t>
        </is>
      </c>
      <c r="K17" s="19" t="inlineStr">
        <is>
          <t>MS</t>
        </is>
      </c>
      <c r="L17" s="19" t="inlineStr">
        <is>
          <t>Ans</t>
        </is>
      </c>
      <c r="M17" t="inlineStr">
        <is>
          <t>P2</t>
        </is>
      </c>
      <c r="N17" t="inlineStr">
        <is>
          <t>Pure</t>
        </is>
      </c>
    </row>
    <row r="18">
      <c r="A18" s="15" t="inlineStr">
        <is>
          <t>P2.5</t>
        </is>
      </c>
      <c r="B18" s="15" t="n">
        <v>1</v>
      </c>
      <c r="C18" s="16" t="inlineStr">
        <is>
          <t>Quadratic inequalities (incl. set notation answers)</t>
        </is>
      </c>
      <c r="D18" s="17" t="n"/>
      <c r="E18" s="18" t="n"/>
      <c r="F18" s="19" t="inlineStr">
        <is>
          <t>open</t>
        </is>
      </c>
      <c r="G18" s="19" t="inlineStr">
        <is>
          <t>Qs (topic)</t>
        </is>
      </c>
      <c r="H18" s="19" t="inlineStr">
        <is>
          <t>Ans</t>
        </is>
      </c>
      <c r="I18" s="20" t="inlineStr">
        <is>
          <t>Inequalities</t>
        </is>
      </c>
      <c r="J18" s="19" t="inlineStr">
        <is>
          <t>QP</t>
        </is>
      </c>
      <c r="K18" s="19" t="inlineStr">
        <is>
          <t>MS</t>
        </is>
      </c>
      <c r="L18" s="19" t="inlineStr">
        <is>
          <t>Ans</t>
        </is>
      </c>
      <c r="M18" t="inlineStr">
        <is>
          <t>P2</t>
        </is>
      </c>
      <c r="N18" t="inlineStr">
        <is>
          <t>Pure</t>
        </is>
      </c>
    </row>
    <row r="19">
      <c r="A19" s="15" t="inlineStr">
        <is>
          <t>P2.5</t>
        </is>
      </c>
      <c r="B19" s="15" t="n">
        <v>1</v>
      </c>
      <c r="C19" s="16" t="inlineStr">
        <is>
          <t>Inequalities on graphs (shading regions)</t>
        </is>
      </c>
      <c r="D19" s="17" t="n"/>
      <c r="E19" s="18" t="n"/>
      <c r="F19" s="19" t="inlineStr">
        <is>
          <t>open</t>
        </is>
      </c>
      <c r="G19" s="19" t="inlineStr">
        <is>
          <t>Qs</t>
        </is>
      </c>
      <c r="H19" s="19" t="inlineStr">
        <is>
          <t>Ans</t>
        </is>
      </c>
      <c r="I19" s="20" t="inlineStr">
        <is>
          <t>Inequalities</t>
        </is>
      </c>
      <c r="J19" s="19" t="inlineStr">
        <is>
          <t>QP</t>
        </is>
      </c>
      <c r="K19" s="19" t="inlineStr">
        <is>
          <t>MS</t>
        </is>
      </c>
      <c r="L19" s="19" t="inlineStr">
        <is>
          <t>Ans</t>
        </is>
      </c>
      <c r="M19" t="inlineStr">
        <is>
          <t>P2</t>
        </is>
      </c>
      <c r="N19" t="inlineStr">
        <is>
          <t>Pure</t>
        </is>
      </c>
    </row>
    <row r="20">
      <c r="A20" s="15" t="inlineStr">
        <is>
          <t>P2.6</t>
        </is>
      </c>
      <c r="B20" s="15" t="n">
        <v>1</v>
      </c>
      <c r="C20" s="16" t="inlineStr">
        <is>
          <t>Expanding brackets and collecting like terms</t>
        </is>
      </c>
      <c r="D20" s="17" t="n"/>
      <c r="E20" s="18" t="n"/>
      <c r="F20" s="19" t="inlineStr">
        <is>
          <t>open</t>
        </is>
      </c>
      <c r="G20" s="19" t="inlineStr">
        <is>
          <t>Qs</t>
        </is>
      </c>
      <c r="H20" s="19" t="inlineStr">
        <is>
          <t>Ans</t>
        </is>
      </c>
      <c r="I20" s="21" t="inlineStr">
        <is>
          <t>no PMT sheet</t>
        </is>
      </c>
      <c r="J20" s="22" t="n"/>
      <c r="K20" s="22" t="n"/>
      <c r="L20" s="22" t="n"/>
      <c r="M20" t="inlineStr">
        <is>
          <t>P2</t>
        </is>
      </c>
      <c r="N20" t="inlineStr">
        <is>
          <t>Pure</t>
        </is>
      </c>
    </row>
    <row r="21">
      <c r="A21" s="15" t="inlineStr">
        <is>
          <t>P2.6</t>
        </is>
      </c>
      <c r="B21" s="15" t="n">
        <v>1</v>
      </c>
      <c r="C21" s="16" t="inlineStr">
        <is>
          <t>Factorising (incl. cubics)</t>
        </is>
      </c>
      <c r="D21" s="17" t="n"/>
      <c r="E21" s="18" t="n"/>
      <c r="F21" s="19" t="inlineStr">
        <is>
          <t>open</t>
        </is>
      </c>
      <c r="G21" s="19" t="inlineStr">
        <is>
          <t>Qs</t>
        </is>
      </c>
      <c r="H21" s="19" t="inlineStr">
        <is>
          <t>Ans</t>
        </is>
      </c>
      <c r="I21" s="20" t="inlineStr">
        <is>
          <t>Factor Theorem</t>
        </is>
      </c>
      <c r="J21" s="19" t="inlineStr">
        <is>
          <t>QP</t>
        </is>
      </c>
      <c r="K21" s="19" t="inlineStr">
        <is>
          <t>MS</t>
        </is>
      </c>
      <c r="L21" s="19" t="inlineStr">
        <is>
          <t>Ans</t>
        </is>
      </c>
      <c r="M21" t="inlineStr">
        <is>
          <t>P2</t>
        </is>
      </c>
      <c r="N21" t="inlineStr">
        <is>
          <t>Pure</t>
        </is>
      </c>
    </row>
    <row r="22">
      <c r="A22" s="15" t="inlineStr">
        <is>
          <t>P2.6</t>
        </is>
      </c>
      <c r="B22" s="15" t="n">
        <v>1</v>
      </c>
      <c r="C22" s="16" t="inlineStr">
        <is>
          <t>Simplifying algebraic fractions</t>
        </is>
      </c>
      <c r="D22" s="17" t="n"/>
      <c r="E22" s="18" t="n"/>
      <c r="F22" s="19" t="inlineStr">
        <is>
          <t>open</t>
        </is>
      </c>
      <c r="G22" s="19" t="inlineStr">
        <is>
          <t>Qs</t>
        </is>
      </c>
      <c r="H22" s="19" t="inlineStr">
        <is>
          <t>Ans</t>
        </is>
      </c>
      <c r="I22" s="21" t="inlineStr">
        <is>
          <t>no PMT sheet</t>
        </is>
      </c>
      <c r="J22" s="22" t="n"/>
      <c r="K22" s="22" t="n"/>
      <c r="L22" s="22" t="n"/>
      <c r="M22" t="inlineStr">
        <is>
          <t>P2</t>
        </is>
      </c>
      <c r="N22" t="inlineStr">
        <is>
          <t>Pure</t>
        </is>
      </c>
    </row>
    <row r="23">
      <c r="A23" s="15" t="inlineStr">
        <is>
          <t>P2.6</t>
        </is>
      </c>
      <c r="B23" s="15" t="n">
        <v>1</v>
      </c>
      <c r="C23" s="16" t="inlineStr">
        <is>
          <t>Algebraic division</t>
        </is>
      </c>
      <c r="D23" s="17" t="n"/>
      <c r="E23" s="18" t="n"/>
      <c r="F23" s="19" t="inlineStr">
        <is>
          <t>open</t>
        </is>
      </c>
      <c r="G23" s="19" t="inlineStr">
        <is>
          <t>Qs</t>
        </is>
      </c>
      <c r="H23" s="19" t="inlineStr">
        <is>
          <t>Ans</t>
        </is>
      </c>
      <c r="I23" s="20" t="inlineStr">
        <is>
          <t>Factor Theorem</t>
        </is>
      </c>
      <c r="J23" s="19" t="inlineStr">
        <is>
          <t>QP</t>
        </is>
      </c>
      <c r="K23" s="19" t="inlineStr">
        <is>
          <t>MS</t>
        </is>
      </c>
      <c r="L23" s="19" t="inlineStr">
        <is>
          <t>Ans</t>
        </is>
      </c>
      <c r="M23" t="inlineStr">
        <is>
          <t>P2</t>
        </is>
      </c>
      <c r="N23" t="inlineStr">
        <is>
          <t>Pure</t>
        </is>
      </c>
    </row>
    <row r="24">
      <c r="A24" s="15" t="inlineStr">
        <is>
          <t>P2.6</t>
        </is>
      </c>
      <c r="B24" s="15" t="n">
        <v>1</v>
      </c>
      <c r="C24" s="16" t="inlineStr">
        <is>
          <t>The factor theorem</t>
        </is>
      </c>
      <c r="D24" s="17" t="n"/>
      <c r="E24" s="18" t="n"/>
      <c r="F24" s="19" t="inlineStr">
        <is>
          <t>open</t>
        </is>
      </c>
      <c r="G24" s="19" t="inlineStr">
        <is>
          <t>Qs (topic)</t>
        </is>
      </c>
      <c r="H24" s="19" t="inlineStr">
        <is>
          <t>Ans</t>
        </is>
      </c>
      <c r="I24" s="20" t="inlineStr">
        <is>
          <t>Factor Theorem</t>
        </is>
      </c>
      <c r="J24" s="19" t="inlineStr">
        <is>
          <t>QP</t>
        </is>
      </c>
      <c r="K24" s="19" t="inlineStr">
        <is>
          <t>MS</t>
        </is>
      </c>
      <c r="L24" s="19" t="inlineStr">
        <is>
          <t>Ans</t>
        </is>
      </c>
      <c r="M24" t="inlineStr">
        <is>
          <t>P2</t>
        </is>
      </c>
      <c r="N24" t="inlineStr">
        <is>
          <t>Pure</t>
        </is>
      </c>
    </row>
    <row r="25">
      <c r="A25" s="15" t="inlineStr">
        <is>
          <t>P2.6</t>
        </is>
      </c>
      <c r="B25" s="15" t="n">
        <v>2</v>
      </c>
      <c r="C25" s="16" t="inlineStr">
        <is>
          <t>Adding, subtracting, multiplying and dividing algebraic fractions</t>
        </is>
      </c>
      <c r="D25" s="17" t="n"/>
      <c r="E25" s="18" t="n"/>
      <c r="F25" s="19" t="inlineStr">
        <is>
          <t>open</t>
        </is>
      </c>
      <c r="G25" s="19" t="inlineStr">
        <is>
          <t>Qs</t>
        </is>
      </c>
      <c r="H25" s="19" t="inlineStr">
        <is>
          <t>Ans</t>
        </is>
      </c>
      <c r="I25" s="20" t="inlineStr">
        <is>
          <t>Partial Fractions (Yr 2 set)</t>
        </is>
      </c>
      <c r="J25" s="19" t="inlineStr">
        <is>
          <t>QP</t>
        </is>
      </c>
      <c r="K25" s="19" t="inlineStr">
        <is>
          <t>MS</t>
        </is>
      </c>
      <c r="L25" s="19" t="inlineStr">
        <is>
          <t>Ans</t>
        </is>
      </c>
      <c r="M25" t="inlineStr">
        <is>
          <t>P2</t>
        </is>
      </c>
      <c r="N25" t="inlineStr">
        <is>
          <t>Pure</t>
        </is>
      </c>
    </row>
    <row r="26">
      <c r="A26" s="15" t="inlineStr">
        <is>
          <t>P2.6</t>
        </is>
      </c>
      <c r="B26" s="15" t="n">
        <v>2</v>
      </c>
      <c r="C26" s="16" t="inlineStr">
        <is>
          <t>Algebraic division of improper fractions</t>
        </is>
      </c>
      <c r="D26" s="17" t="n"/>
      <c r="E26" s="18" t="n"/>
      <c r="F26" s="19" t="inlineStr">
        <is>
          <t>open</t>
        </is>
      </c>
      <c r="G26" s="19" t="inlineStr">
        <is>
          <t>Qs</t>
        </is>
      </c>
      <c r="H26" s="19" t="inlineStr">
        <is>
          <t>Ans</t>
        </is>
      </c>
      <c r="I26" s="20" t="inlineStr">
        <is>
          <t>Partial Fractions (Yr 2 set)</t>
        </is>
      </c>
      <c r="J26" s="19" t="inlineStr">
        <is>
          <t>QP</t>
        </is>
      </c>
      <c r="K26" s="19" t="inlineStr">
        <is>
          <t>MS</t>
        </is>
      </c>
      <c r="L26" s="19" t="inlineStr">
        <is>
          <t>Ans</t>
        </is>
      </c>
      <c r="M26" t="inlineStr">
        <is>
          <t>P2</t>
        </is>
      </c>
      <c r="N26" t="inlineStr">
        <is>
          <t>Pure</t>
        </is>
      </c>
    </row>
    <row r="27">
      <c r="A27" s="15" t="inlineStr">
        <is>
          <t>P2.7</t>
        </is>
      </c>
      <c r="B27" s="15" t="n">
        <v>1</v>
      </c>
      <c r="C27" s="16" t="inlineStr">
        <is>
          <t>Sketching cubic graphs</t>
        </is>
      </c>
      <c r="D27" s="17" t="n"/>
      <c r="E27" s="18" t="n"/>
      <c r="F27" s="19" t="inlineStr">
        <is>
          <t>open</t>
        </is>
      </c>
      <c r="G27" s="19" t="inlineStr">
        <is>
          <t>Qs</t>
        </is>
      </c>
      <c r="H27" s="19" t="inlineStr">
        <is>
          <t>Ans</t>
        </is>
      </c>
      <c r="I27" s="20" t="inlineStr">
        <is>
          <t>Transformations and Graphs</t>
        </is>
      </c>
      <c r="J27" s="19" t="inlineStr">
        <is>
          <t>QP</t>
        </is>
      </c>
      <c r="K27" s="19" t="inlineStr">
        <is>
          <t>MS</t>
        </is>
      </c>
      <c r="L27" s="19" t="inlineStr">
        <is>
          <t>Ans</t>
        </is>
      </c>
      <c r="M27" t="inlineStr">
        <is>
          <t>P2</t>
        </is>
      </c>
      <c r="N27" t="inlineStr">
        <is>
          <t>Pure</t>
        </is>
      </c>
    </row>
    <row r="28">
      <c r="A28" s="15" t="inlineStr">
        <is>
          <t>P2.7</t>
        </is>
      </c>
      <c r="B28" s="15" t="n">
        <v>1</v>
      </c>
      <c r="C28" s="16" t="inlineStr">
        <is>
          <t>Sketching quartic graphs</t>
        </is>
      </c>
      <c r="D28" s="17" t="n"/>
      <c r="E28" s="18" t="n"/>
      <c r="F28" s="19" t="inlineStr">
        <is>
          <t>open</t>
        </is>
      </c>
      <c r="G28" s="19" t="inlineStr">
        <is>
          <t>Qs</t>
        </is>
      </c>
      <c r="H28" s="19" t="inlineStr">
        <is>
          <t>Ans</t>
        </is>
      </c>
      <c r="I28" s="20" t="inlineStr">
        <is>
          <t>Transformations and Graphs</t>
        </is>
      </c>
      <c r="J28" s="19" t="inlineStr">
        <is>
          <t>QP</t>
        </is>
      </c>
      <c r="K28" s="19" t="inlineStr">
        <is>
          <t>MS</t>
        </is>
      </c>
      <c r="L28" s="19" t="inlineStr">
        <is>
          <t>Ans</t>
        </is>
      </c>
      <c r="M28" t="inlineStr">
        <is>
          <t>P2</t>
        </is>
      </c>
      <c r="N28" t="inlineStr">
        <is>
          <t>Pure</t>
        </is>
      </c>
    </row>
    <row r="29">
      <c r="A29" s="15" t="inlineStr">
        <is>
          <t>P2.7</t>
        </is>
      </c>
      <c r="B29" s="15" t="n">
        <v>1</v>
      </c>
      <c r="C29" s="16" t="inlineStr">
        <is>
          <t>Reciprocal graphs y = a/x and y = a/x² (asymptotes)</t>
        </is>
      </c>
      <c r="D29" s="17" t="n"/>
      <c r="E29" s="18" t="n"/>
      <c r="F29" s="19" t="inlineStr">
        <is>
          <t>open</t>
        </is>
      </c>
      <c r="G29" s="19" t="inlineStr">
        <is>
          <t>Qs</t>
        </is>
      </c>
      <c r="H29" s="19" t="inlineStr">
        <is>
          <t>Ans</t>
        </is>
      </c>
      <c r="I29" s="20" t="inlineStr">
        <is>
          <t>Transformations and Graphs</t>
        </is>
      </c>
      <c r="J29" s="19" t="inlineStr">
        <is>
          <t>QP</t>
        </is>
      </c>
      <c r="K29" s="19" t="inlineStr">
        <is>
          <t>MS</t>
        </is>
      </c>
      <c r="L29" s="19" t="inlineStr">
        <is>
          <t>Ans</t>
        </is>
      </c>
      <c r="M29" t="inlineStr">
        <is>
          <t>P2</t>
        </is>
      </c>
      <c r="N29" t="inlineStr">
        <is>
          <t>Pure</t>
        </is>
      </c>
    </row>
    <row r="30">
      <c r="A30" s="15" t="inlineStr">
        <is>
          <t>P2.7</t>
        </is>
      </c>
      <c r="B30" s="15" t="n">
        <v>1</v>
      </c>
      <c r="C30" s="16" t="inlineStr">
        <is>
          <t>Points of intersection and solving equations graphically</t>
        </is>
      </c>
      <c r="D30" s="17" t="n"/>
      <c r="E30" s="18" t="n"/>
      <c r="F30" s="19" t="inlineStr">
        <is>
          <t>open</t>
        </is>
      </c>
      <c r="G30" s="19" t="inlineStr">
        <is>
          <t>Qs</t>
        </is>
      </c>
      <c r="H30" s="19" t="inlineStr">
        <is>
          <t>Ans</t>
        </is>
      </c>
      <c r="I30" s="20" t="inlineStr">
        <is>
          <t>Transformations and Graphs</t>
        </is>
      </c>
      <c r="J30" s="19" t="inlineStr">
        <is>
          <t>QP</t>
        </is>
      </c>
      <c r="K30" s="19" t="inlineStr">
        <is>
          <t>MS</t>
        </is>
      </c>
      <c r="L30" s="19" t="inlineStr">
        <is>
          <t>Ans</t>
        </is>
      </c>
      <c r="M30" t="inlineStr">
        <is>
          <t>P2</t>
        </is>
      </c>
      <c r="N30" t="inlineStr">
        <is>
          <t>Pure</t>
        </is>
      </c>
    </row>
    <row r="31">
      <c r="A31" s="15" t="inlineStr">
        <is>
          <t>P2.7</t>
        </is>
      </c>
      <c r="B31" s="15" t="n">
        <v>1</v>
      </c>
      <c r="C31" s="16" t="inlineStr">
        <is>
          <t>Proportional relationships and their graphs</t>
        </is>
      </c>
      <c r="D31" s="17" t="n"/>
      <c r="E31" s="18" t="n"/>
      <c r="F31" s="19" t="inlineStr">
        <is>
          <t>open</t>
        </is>
      </c>
      <c r="G31" s="19" t="inlineStr">
        <is>
          <t>Qs</t>
        </is>
      </c>
      <c r="H31" s="19" t="inlineStr">
        <is>
          <t>Ans</t>
        </is>
      </c>
      <c r="I31" s="21" t="inlineStr">
        <is>
          <t>no PMT sheet</t>
        </is>
      </c>
      <c r="J31" s="22" t="n"/>
      <c r="K31" s="22" t="n"/>
      <c r="L31" s="22" t="n"/>
      <c r="M31" t="inlineStr">
        <is>
          <t>P2</t>
        </is>
      </c>
      <c r="N31" t="inlineStr">
        <is>
          <t>Pure</t>
        </is>
      </c>
    </row>
    <row r="32">
      <c r="A32" s="15" t="inlineStr">
        <is>
          <t>P2.7</t>
        </is>
      </c>
      <c r="B32" s="15" t="n">
        <v>2</v>
      </c>
      <c r="C32" s="16" t="inlineStr">
        <is>
          <t>The modulus function and its graph y = |ax + b|</t>
        </is>
      </c>
      <c r="D32" s="17" t="n"/>
      <c r="E32" s="18" t="n"/>
      <c r="F32" s="19" t="inlineStr">
        <is>
          <t>open</t>
        </is>
      </c>
      <c r="G32" s="19" t="inlineStr">
        <is>
          <t>Qs</t>
        </is>
      </c>
      <c r="H32" s="19" t="inlineStr">
        <is>
          <t>Ans</t>
        </is>
      </c>
      <c r="I32" s="20" t="inlineStr">
        <is>
          <t>Modulus of Functions (Yr 2 set)</t>
        </is>
      </c>
      <c r="J32" s="19" t="inlineStr">
        <is>
          <t>QP</t>
        </is>
      </c>
      <c r="K32" s="19" t="inlineStr">
        <is>
          <t>MS</t>
        </is>
      </c>
      <c r="L32" s="19" t="inlineStr">
        <is>
          <t>Ans</t>
        </is>
      </c>
      <c r="M32" t="inlineStr">
        <is>
          <t>P2</t>
        </is>
      </c>
      <c r="N32" t="inlineStr">
        <is>
          <t>Pure</t>
        </is>
      </c>
    </row>
    <row r="33">
      <c r="A33" s="15" t="inlineStr">
        <is>
          <t>P2.7</t>
        </is>
      </c>
      <c r="B33" s="15" t="n">
        <v>2</v>
      </c>
      <c r="C33" s="16" t="inlineStr">
        <is>
          <t>Solving modulus equations and inequalities</t>
        </is>
      </c>
      <c r="D33" s="17" t="n"/>
      <c r="E33" s="18" t="n"/>
      <c r="F33" s="19" t="inlineStr">
        <is>
          <t>open</t>
        </is>
      </c>
      <c r="G33" s="19" t="inlineStr">
        <is>
          <t>Qs</t>
        </is>
      </c>
      <c r="H33" s="19" t="inlineStr">
        <is>
          <t>Ans</t>
        </is>
      </c>
      <c r="I33" s="20" t="inlineStr">
        <is>
          <t>Modulus of Functions (Yr 2 set)</t>
        </is>
      </c>
      <c r="J33" s="19" t="inlineStr">
        <is>
          <t>QP</t>
        </is>
      </c>
      <c r="K33" s="19" t="inlineStr">
        <is>
          <t>MS</t>
        </is>
      </c>
      <c r="L33" s="19" t="inlineStr">
        <is>
          <t>Ans</t>
        </is>
      </c>
      <c r="M33" t="inlineStr">
        <is>
          <t>P2</t>
        </is>
      </c>
      <c r="N33" t="inlineStr">
        <is>
          <t>Pure</t>
        </is>
      </c>
    </row>
    <row r="34">
      <c r="A34" s="15" t="inlineStr">
        <is>
          <t>P2.8</t>
        </is>
      </c>
      <c r="B34" s="15" t="n">
        <v>2</v>
      </c>
      <c r="C34" s="16" t="inlineStr">
        <is>
          <t>Functions and mappings: domain and range</t>
        </is>
      </c>
      <c r="D34" s="17" t="n"/>
      <c r="E34" s="18" t="n"/>
      <c r="F34" s="19" t="inlineStr">
        <is>
          <t>open</t>
        </is>
      </c>
      <c r="G34" s="19" t="inlineStr">
        <is>
          <t>Qs</t>
        </is>
      </c>
      <c r="H34" s="19" t="inlineStr">
        <is>
          <t>Ans</t>
        </is>
      </c>
      <c r="I34" s="20" t="inlineStr">
        <is>
          <t>Composite and Inverse Functions (Yr 2 set)</t>
        </is>
      </c>
      <c r="J34" s="19" t="inlineStr">
        <is>
          <t>QP</t>
        </is>
      </c>
      <c r="K34" s="19" t="inlineStr">
        <is>
          <t>MS</t>
        </is>
      </c>
      <c r="L34" s="19" t="inlineStr">
        <is>
          <t>Ans</t>
        </is>
      </c>
      <c r="M34" t="inlineStr">
        <is>
          <t>P2</t>
        </is>
      </c>
      <c r="N34" t="inlineStr">
        <is>
          <t>Pure</t>
        </is>
      </c>
    </row>
    <row r="35">
      <c r="A35" s="15" t="inlineStr">
        <is>
          <t>P2.8</t>
        </is>
      </c>
      <c r="B35" s="15" t="n">
        <v>2</v>
      </c>
      <c r="C35" s="16" t="inlineStr">
        <is>
          <t>Composite functions</t>
        </is>
      </c>
      <c r="D35" s="17" t="n"/>
      <c r="E35" s="18" t="n"/>
      <c r="F35" s="19" t="inlineStr">
        <is>
          <t>open</t>
        </is>
      </c>
      <c r="G35" s="19" t="inlineStr">
        <is>
          <t>Qs</t>
        </is>
      </c>
      <c r="H35" s="19" t="inlineStr">
        <is>
          <t>Ans</t>
        </is>
      </c>
      <c r="I35" s="20" t="inlineStr">
        <is>
          <t>Composite and Inverse Functions (Yr 2 set)</t>
        </is>
      </c>
      <c r="J35" s="19" t="inlineStr">
        <is>
          <t>QP</t>
        </is>
      </c>
      <c r="K35" s="19" t="inlineStr">
        <is>
          <t>MS</t>
        </is>
      </c>
      <c r="L35" s="19" t="inlineStr">
        <is>
          <t>Ans</t>
        </is>
      </c>
      <c r="M35" t="inlineStr">
        <is>
          <t>P2</t>
        </is>
      </c>
      <c r="N35" t="inlineStr">
        <is>
          <t>Pure</t>
        </is>
      </c>
    </row>
    <row r="36">
      <c r="A36" s="15" t="inlineStr">
        <is>
          <t>P2.8</t>
        </is>
      </c>
      <c r="B36" s="15" t="n">
        <v>2</v>
      </c>
      <c r="C36" s="16" t="inlineStr">
        <is>
          <t>Inverse functions and their graphs</t>
        </is>
      </c>
      <c r="D36" s="17" t="n"/>
      <c r="E36" s="18" t="n"/>
      <c r="F36" s="19" t="inlineStr">
        <is>
          <t>open</t>
        </is>
      </c>
      <c r="G36" s="19" t="inlineStr">
        <is>
          <t>Qs</t>
        </is>
      </c>
      <c r="H36" s="19" t="inlineStr">
        <is>
          <t>Ans</t>
        </is>
      </c>
      <c r="I36" s="20" t="inlineStr">
        <is>
          <t>Composite and Inverse Functions (Yr 2 set)</t>
        </is>
      </c>
      <c r="J36" s="19" t="inlineStr">
        <is>
          <t>QP</t>
        </is>
      </c>
      <c r="K36" s="19" t="inlineStr">
        <is>
          <t>MS</t>
        </is>
      </c>
      <c r="L36" s="19" t="inlineStr">
        <is>
          <t>Ans</t>
        </is>
      </c>
      <c r="M36" t="inlineStr">
        <is>
          <t>P2</t>
        </is>
      </c>
      <c r="N36" t="inlineStr">
        <is>
          <t>Pure</t>
        </is>
      </c>
    </row>
    <row r="37">
      <c r="A37" s="15" t="inlineStr">
        <is>
          <t>P2.9</t>
        </is>
      </c>
      <c r="B37" s="15" t="n">
        <v>1</v>
      </c>
      <c r="C37" s="16" t="inlineStr">
        <is>
          <t>Translating graphs: y = f(x) + a and y = f(x + a)</t>
        </is>
      </c>
      <c r="D37" s="17" t="n"/>
      <c r="E37" s="18" t="n"/>
      <c r="F37" s="19" t="inlineStr">
        <is>
          <t>open</t>
        </is>
      </c>
      <c r="G37" s="19" t="inlineStr">
        <is>
          <t>Qs</t>
        </is>
      </c>
      <c r="H37" s="19" t="inlineStr">
        <is>
          <t>Ans</t>
        </is>
      </c>
      <c r="I37" s="20" t="inlineStr">
        <is>
          <t>Transformations and Graphs</t>
        </is>
      </c>
      <c r="J37" s="19" t="inlineStr">
        <is>
          <t>QP</t>
        </is>
      </c>
      <c r="K37" s="19" t="inlineStr">
        <is>
          <t>MS</t>
        </is>
      </c>
      <c r="L37" s="19" t="inlineStr">
        <is>
          <t>Ans</t>
        </is>
      </c>
      <c r="M37" t="inlineStr">
        <is>
          <t>P2</t>
        </is>
      </c>
      <c r="N37" t="inlineStr">
        <is>
          <t>Pure</t>
        </is>
      </c>
    </row>
    <row r="38">
      <c r="A38" s="15" t="inlineStr">
        <is>
          <t>P2.9</t>
        </is>
      </c>
      <c r="B38" s="15" t="n">
        <v>1</v>
      </c>
      <c r="C38" s="16" t="inlineStr">
        <is>
          <t>Stretching graphs: y = af(x) and y = f(ax)</t>
        </is>
      </c>
      <c r="D38" s="17" t="n"/>
      <c r="E38" s="18" t="n"/>
      <c r="F38" s="19" t="inlineStr">
        <is>
          <t>open</t>
        </is>
      </c>
      <c r="G38" s="19" t="inlineStr">
        <is>
          <t>Qs</t>
        </is>
      </c>
      <c r="H38" s="19" t="inlineStr">
        <is>
          <t>Ans</t>
        </is>
      </c>
      <c r="I38" s="20" t="inlineStr">
        <is>
          <t>Transformations and Graphs</t>
        </is>
      </c>
      <c r="J38" s="19" t="inlineStr">
        <is>
          <t>QP</t>
        </is>
      </c>
      <c r="K38" s="19" t="inlineStr">
        <is>
          <t>MS</t>
        </is>
      </c>
      <c r="L38" s="19" t="inlineStr">
        <is>
          <t>Ans</t>
        </is>
      </c>
      <c r="M38" t="inlineStr">
        <is>
          <t>P2</t>
        </is>
      </c>
      <c r="N38" t="inlineStr">
        <is>
          <t>Pure</t>
        </is>
      </c>
    </row>
    <row r="39">
      <c r="A39" s="15" t="inlineStr">
        <is>
          <t>P2.9</t>
        </is>
      </c>
      <c r="B39" s="15" t="n">
        <v>1</v>
      </c>
      <c r="C39" s="16" t="inlineStr">
        <is>
          <t>Transforming functions (incl. reflections y = −f(x), y = f(−x))</t>
        </is>
      </c>
      <c r="D39" s="17" t="n"/>
      <c r="E39" s="18" t="n"/>
      <c r="F39" s="19" t="inlineStr">
        <is>
          <t>open</t>
        </is>
      </c>
      <c r="G39" s="19" t="inlineStr">
        <is>
          <t>Qs</t>
        </is>
      </c>
      <c r="H39" s="19" t="inlineStr">
        <is>
          <t>Ans</t>
        </is>
      </c>
      <c r="I39" s="20" t="inlineStr">
        <is>
          <t>Transformations and Graphs</t>
        </is>
      </c>
      <c r="J39" s="19" t="inlineStr">
        <is>
          <t>QP</t>
        </is>
      </c>
      <c r="K39" s="19" t="inlineStr">
        <is>
          <t>MS</t>
        </is>
      </c>
      <c r="L39" s="19" t="inlineStr">
        <is>
          <t>Ans</t>
        </is>
      </c>
      <c r="M39" t="inlineStr">
        <is>
          <t>P2</t>
        </is>
      </c>
      <c r="N39" t="inlineStr">
        <is>
          <t>Pure</t>
        </is>
      </c>
    </row>
    <row r="40">
      <c r="A40" s="15" t="inlineStr">
        <is>
          <t>P2.9</t>
        </is>
      </c>
      <c r="B40" s="15" t="n">
        <v>2</v>
      </c>
      <c r="C40" s="16" t="inlineStr">
        <is>
          <t>y = |f(x)| and y = f(|x|)</t>
        </is>
      </c>
      <c r="D40" s="17" t="n"/>
      <c r="E40" s="18" t="n"/>
      <c r="F40" s="19" t="inlineStr">
        <is>
          <t>open</t>
        </is>
      </c>
      <c r="G40" s="19" t="inlineStr">
        <is>
          <t>Qs</t>
        </is>
      </c>
      <c r="H40" s="19" t="inlineStr">
        <is>
          <t>Ans</t>
        </is>
      </c>
      <c r="I40" s="20" t="inlineStr">
        <is>
          <t>Modulus of Functions (Yr 2 set)</t>
        </is>
      </c>
      <c r="J40" s="19" t="inlineStr">
        <is>
          <t>QP</t>
        </is>
      </c>
      <c r="K40" s="19" t="inlineStr">
        <is>
          <t>MS</t>
        </is>
      </c>
      <c r="L40" s="19" t="inlineStr">
        <is>
          <t>Ans</t>
        </is>
      </c>
      <c r="M40" t="inlineStr">
        <is>
          <t>P2</t>
        </is>
      </c>
      <c r="N40" t="inlineStr">
        <is>
          <t>Pure</t>
        </is>
      </c>
    </row>
    <row r="41">
      <c r="A41" s="15" t="inlineStr">
        <is>
          <t>P2.9</t>
        </is>
      </c>
      <c r="B41" s="15" t="n">
        <v>2</v>
      </c>
      <c r="C41" s="16" t="inlineStr">
        <is>
          <t>Combining transformations</t>
        </is>
      </c>
      <c r="D41" s="17" t="n"/>
      <c r="E41" s="18" t="n"/>
      <c r="F41" s="19" t="inlineStr">
        <is>
          <t>open</t>
        </is>
      </c>
      <c r="G41" s="19" t="inlineStr">
        <is>
          <t>Qs</t>
        </is>
      </c>
      <c r="H41" s="19" t="inlineStr">
        <is>
          <t>Ans</t>
        </is>
      </c>
      <c r="I41" s="20" t="inlineStr">
        <is>
          <t>Transformations and Graphs</t>
        </is>
      </c>
      <c r="J41" s="19" t="inlineStr">
        <is>
          <t>QP</t>
        </is>
      </c>
      <c r="K41" s="19" t="inlineStr">
        <is>
          <t>MS</t>
        </is>
      </c>
      <c r="L41" s="19" t="inlineStr">
        <is>
          <t>Ans</t>
        </is>
      </c>
      <c r="M41" t="inlineStr">
        <is>
          <t>P2</t>
        </is>
      </c>
      <c r="N41" t="inlineStr">
        <is>
          <t>Pure</t>
        </is>
      </c>
    </row>
    <row r="42">
      <c r="A42" s="15" t="inlineStr">
        <is>
          <t>P2.10</t>
        </is>
      </c>
      <c r="B42" s="15" t="n">
        <v>2</v>
      </c>
      <c r="C42" s="16" t="inlineStr">
        <is>
          <t>Partial fractions (distinct linear factors)</t>
        </is>
      </c>
      <c r="D42" s="17" t="n"/>
      <c r="E42" s="18" t="n"/>
      <c r="F42" s="19" t="inlineStr">
        <is>
          <t>open</t>
        </is>
      </c>
      <c r="G42" s="19" t="inlineStr">
        <is>
          <t>Qs</t>
        </is>
      </c>
      <c r="H42" s="19" t="inlineStr">
        <is>
          <t>Ans</t>
        </is>
      </c>
      <c r="I42" s="20" t="inlineStr">
        <is>
          <t>Partial Fractions (Yr 2 set)</t>
        </is>
      </c>
      <c r="J42" s="19" t="inlineStr">
        <is>
          <t>QP</t>
        </is>
      </c>
      <c r="K42" s="19" t="inlineStr">
        <is>
          <t>MS</t>
        </is>
      </c>
      <c r="L42" s="19" t="inlineStr">
        <is>
          <t>Ans</t>
        </is>
      </c>
      <c r="M42" t="inlineStr">
        <is>
          <t>P2</t>
        </is>
      </c>
      <c r="N42" t="inlineStr">
        <is>
          <t>Pure</t>
        </is>
      </c>
    </row>
    <row r="43">
      <c r="A43" s="15" t="inlineStr">
        <is>
          <t>P2.10</t>
        </is>
      </c>
      <c r="B43" s="15" t="n">
        <v>2</v>
      </c>
      <c r="C43" s="16" t="inlineStr">
        <is>
          <t>Partial fractions with repeated factors</t>
        </is>
      </c>
      <c r="D43" s="17" t="n"/>
      <c r="E43" s="18" t="n"/>
      <c r="F43" s="19" t="inlineStr">
        <is>
          <t>open</t>
        </is>
      </c>
      <c r="G43" s="19" t="inlineStr">
        <is>
          <t>Qs</t>
        </is>
      </c>
      <c r="H43" s="19" t="inlineStr">
        <is>
          <t>Ans</t>
        </is>
      </c>
      <c r="I43" s="20" t="inlineStr">
        <is>
          <t>Partial Fractions (Yr 2 set)</t>
        </is>
      </c>
      <c r="J43" s="19" t="inlineStr">
        <is>
          <t>QP</t>
        </is>
      </c>
      <c r="K43" s="19" t="inlineStr">
        <is>
          <t>MS</t>
        </is>
      </c>
      <c r="L43" s="19" t="inlineStr">
        <is>
          <t>Ans</t>
        </is>
      </c>
      <c r="M43" t="inlineStr">
        <is>
          <t>P2</t>
        </is>
      </c>
      <c r="N43" t="inlineStr">
        <is>
          <t>Pure</t>
        </is>
      </c>
    </row>
    <row r="44">
      <c r="A44" s="15" t="inlineStr">
        <is>
          <t>P2.11</t>
        </is>
      </c>
      <c r="B44" s="15" t="n">
        <v>1</v>
      </c>
      <c r="C44" s="16" t="inlineStr">
        <is>
          <t>Using functions in modelling (limitations and refinements)</t>
        </is>
      </c>
      <c r="D44" s="17" t="n"/>
      <c r="E44" s="18" t="n"/>
      <c r="F44" s="19" t="inlineStr">
        <is>
          <t>open</t>
        </is>
      </c>
      <c r="G44" s="19" t="inlineStr">
        <is>
          <t>Qs</t>
        </is>
      </c>
      <c r="H44" s="19" t="inlineStr">
        <is>
          <t>Ans</t>
        </is>
      </c>
      <c r="I44" s="20" t="inlineStr">
        <is>
          <t>Quadratics</t>
        </is>
      </c>
      <c r="J44" s="19" t="inlineStr">
        <is>
          <t>QP</t>
        </is>
      </c>
      <c r="K44" s="19" t="inlineStr">
        <is>
          <t>MS</t>
        </is>
      </c>
      <c r="L44" s="19" t="inlineStr">
        <is>
          <t>Ans</t>
        </is>
      </c>
      <c r="M44" t="inlineStr">
        <is>
          <t>P2</t>
        </is>
      </c>
      <c r="N44" t="inlineStr">
        <is>
          <t>Pure</t>
        </is>
      </c>
    </row>
    <row r="45" ht="24" customHeight="1">
      <c r="A45" s="13" t="n"/>
      <c r="B45" s="14" t="inlineStr">
        <is>
          <t>PURE 3   ·   Coordinate geometry in the (x, y) plane   ·   Paper 1 &amp; 2   ·   15 topics (Yr 1: 10 · Yr 2: 5)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</row>
    <row r="46">
      <c r="A46" s="15" t="inlineStr">
        <is>
          <t>P3.1</t>
        </is>
      </c>
      <c r="B46" s="15" t="n">
        <v>1</v>
      </c>
      <c r="C46" s="16" t="inlineStr">
        <is>
          <t>y = mx + c and gradients</t>
        </is>
      </c>
      <c r="D46" s="17" t="n"/>
      <c r="E46" s="18" t="n"/>
      <c r="F46" s="19" t="inlineStr">
        <is>
          <t>open</t>
        </is>
      </c>
      <c r="G46" s="19" t="inlineStr">
        <is>
          <t>Qs</t>
        </is>
      </c>
      <c r="H46" s="19" t="inlineStr">
        <is>
          <t>Ans</t>
        </is>
      </c>
      <c r="I46" s="20" t="inlineStr">
        <is>
          <t>Straight Lines</t>
        </is>
      </c>
      <c r="J46" s="19" t="inlineStr">
        <is>
          <t>QP</t>
        </is>
      </c>
      <c r="K46" s="19" t="inlineStr">
        <is>
          <t>MS</t>
        </is>
      </c>
      <c r="L46" s="19" t="inlineStr">
        <is>
          <t>Ans</t>
        </is>
      </c>
      <c r="M46" t="inlineStr">
        <is>
          <t>P3</t>
        </is>
      </c>
      <c r="N46" t="inlineStr">
        <is>
          <t>Pure</t>
        </is>
      </c>
    </row>
    <row r="47">
      <c r="A47" s="15" t="inlineStr">
        <is>
          <t>P3.1</t>
        </is>
      </c>
      <c r="B47" s="15" t="n">
        <v>1</v>
      </c>
      <c r="C47" s="16" t="inlineStr">
        <is>
          <t>Equations of straight lines: y − y₁ = m(x − x₁) and ax + by + c = 0</t>
        </is>
      </c>
      <c r="D47" s="17" t="n"/>
      <c r="E47" s="18" t="n"/>
      <c r="F47" s="19" t="inlineStr">
        <is>
          <t>open</t>
        </is>
      </c>
      <c r="G47" s="19" t="inlineStr">
        <is>
          <t>Qs</t>
        </is>
      </c>
      <c r="H47" s="19" t="inlineStr">
        <is>
          <t>Ans</t>
        </is>
      </c>
      <c r="I47" s="20" t="inlineStr">
        <is>
          <t>Straight Lines</t>
        </is>
      </c>
      <c r="J47" s="19" t="inlineStr">
        <is>
          <t>QP</t>
        </is>
      </c>
      <c r="K47" s="19" t="inlineStr">
        <is>
          <t>MS</t>
        </is>
      </c>
      <c r="L47" s="19" t="inlineStr">
        <is>
          <t>Ans</t>
        </is>
      </c>
      <c r="M47" t="inlineStr">
        <is>
          <t>P3</t>
        </is>
      </c>
      <c r="N47" t="inlineStr">
        <is>
          <t>Pure</t>
        </is>
      </c>
    </row>
    <row r="48">
      <c r="A48" s="15" t="inlineStr">
        <is>
          <t>P3.1</t>
        </is>
      </c>
      <c r="B48" s="15" t="n">
        <v>1</v>
      </c>
      <c r="C48" s="16" t="inlineStr">
        <is>
          <t>Parallel and perpendicular lines</t>
        </is>
      </c>
      <c r="D48" s="17" t="n"/>
      <c r="E48" s="18" t="n"/>
      <c r="F48" s="19" t="inlineStr">
        <is>
          <t>open</t>
        </is>
      </c>
      <c r="G48" s="19" t="inlineStr">
        <is>
          <t>Qs</t>
        </is>
      </c>
      <c r="H48" s="19" t="inlineStr">
        <is>
          <t>Ans</t>
        </is>
      </c>
      <c r="I48" s="20" t="inlineStr">
        <is>
          <t>Straight Lines</t>
        </is>
      </c>
      <c r="J48" s="19" t="inlineStr">
        <is>
          <t>QP</t>
        </is>
      </c>
      <c r="K48" s="19" t="inlineStr">
        <is>
          <t>MS</t>
        </is>
      </c>
      <c r="L48" s="19" t="inlineStr">
        <is>
          <t>Ans</t>
        </is>
      </c>
      <c r="M48" t="inlineStr">
        <is>
          <t>P3</t>
        </is>
      </c>
      <c r="N48" t="inlineStr">
        <is>
          <t>Pure</t>
        </is>
      </c>
    </row>
    <row r="49">
      <c r="A49" s="15" t="inlineStr">
        <is>
          <t>P3.1</t>
        </is>
      </c>
      <c r="B49" s="15" t="n">
        <v>1</v>
      </c>
      <c r="C49" s="16" t="inlineStr">
        <is>
          <t>Length of a line segment and areas of shapes</t>
        </is>
      </c>
      <c r="D49" s="17" t="n"/>
      <c r="E49" s="18" t="n"/>
      <c r="F49" s="19" t="inlineStr">
        <is>
          <t>open</t>
        </is>
      </c>
      <c r="G49" s="19" t="inlineStr">
        <is>
          <t>Qs</t>
        </is>
      </c>
      <c r="H49" s="19" t="inlineStr">
        <is>
          <t>Ans</t>
        </is>
      </c>
      <c r="I49" s="20" t="inlineStr">
        <is>
          <t>Straight Lines</t>
        </is>
      </c>
      <c r="J49" s="19" t="inlineStr">
        <is>
          <t>QP</t>
        </is>
      </c>
      <c r="K49" s="19" t="inlineStr">
        <is>
          <t>MS</t>
        </is>
      </c>
      <c r="L49" s="19" t="inlineStr">
        <is>
          <t>Ans</t>
        </is>
      </c>
      <c r="M49" t="inlineStr">
        <is>
          <t>P3</t>
        </is>
      </c>
      <c r="N49" t="inlineStr">
        <is>
          <t>Pure</t>
        </is>
      </c>
    </row>
    <row r="50">
      <c r="A50" s="15" t="inlineStr">
        <is>
          <t>P3.1</t>
        </is>
      </c>
      <c r="B50" s="15" t="n">
        <v>1</v>
      </c>
      <c r="C50" s="16" t="inlineStr">
        <is>
          <t>Straight-line models in context</t>
        </is>
      </c>
      <c r="D50" s="17" t="n"/>
      <c r="E50" s="18" t="n"/>
      <c r="F50" s="19" t="inlineStr">
        <is>
          <t>open</t>
        </is>
      </c>
      <c r="G50" s="19" t="inlineStr">
        <is>
          <t>Qs</t>
        </is>
      </c>
      <c r="H50" s="19" t="inlineStr">
        <is>
          <t>Ans</t>
        </is>
      </c>
      <c r="I50" s="20" t="inlineStr">
        <is>
          <t>Linear Models</t>
        </is>
      </c>
      <c r="J50" s="19" t="inlineStr">
        <is>
          <t>QP</t>
        </is>
      </c>
      <c r="K50" s="19" t="inlineStr">
        <is>
          <t>MS</t>
        </is>
      </c>
      <c r="L50" s="19" t="inlineStr">
        <is>
          <t>Ans</t>
        </is>
      </c>
      <c r="M50" t="inlineStr">
        <is>
          <t>P3</t>
        </is>
      </c>
      <c r="N50" t="inlineStr">
        <is>
          <t>Pure</t>
        </is>
      </c>
    </row>
    <row r="51">
      <c r="A51" s="15" t="inlineStr">
        <is>
          <t>P3.2</t>
        </is>
      </c>
      <c r="B51" s="15" t="n">
        <v>1</v>
      </c>
      <c r="C51" s="16" t="inlineStr">
        <is>
          <t>Midpoints and perpendicular bisectors</t>
        </is>
      </c>
      <c r="D51" s="17" t="n"/>
      <c r="E51" s="18" t="n"/>
      <c r="F51" s="19" t="inlineStr">
        <is>
          <t>open</t>
        </is>
      </c>
      <c r="G51" s="19" t="inlineStr">
        <is>
          <t>Qs</t>
        </is>
      </c>
      <c r="H51" s="19" t="inlineStr">
        <is>
          <t>Ans</t>
        </is>
      </c>
      <c r="I51" s="20" t="inlineStr">
        <is>
          <t>Circles</t>
        </is>
      </c>
      <c r="J51" s="19" t="inlineStr">
        <is>
          <t>QP</t>
        </is>
      </c>
      <c r="K51" s="19" t="inlineStr">
        <is>
          <t>MS</t>
        </is>
      </c>
      <c r="L51" s="19" t="inlineStr">
        <is>
          <t>Ans</t>
        </is>
      </c>
      <c r="M51" t="inlineStr">
        <is>
          <t>P3</t>
        </is>
      </c>
      <c r="N51" t="inlineStr">
        <is>
          <t>Pure</t>
        </is>
      </c>
    </row>
    <row r="52">
      <c r="A52" s="15" t="inlineStr">
        <is>
          <t>P3.2</t>
        </is>
      </c>
      <c r="B52" s="15" t="n">
        <v>1</v>
      </c>
      <c r="C52" s="16" t="inlineStr">
        <is>
          <t>Equation of a circle (completing the square for centre and radius)</t>
        </is>
      </c>
      <c r="D52" s="17" t="n"/>
      <c r="E52" s="18" t="n"/>
      <c r="F52" s="19" t="inlineStr">
        <is>
          <t>open</t>
        </is>
      </c>
      <c r="G52" s="19" t="inlineStr">
        <is>
          <t>Qs (topic)</t>
        </is>
      </c>
      <c r="H52" s="19" t="inlineStr">
        <is>
          <t>Ans</t>
        </is>
      </c>
      <c r="I52" s="20" t="inlineStr">
        <is>
          <t>Circles</t>
        </is>
      </c>
      <c r="J52" s="19" t="inlineStr">
        <is>
          <t>QP</t>
        </is>
      </c>
      <c r="K52" s="19" t="inlineStr">
        <is>
          <t>MS</t>
        </is>
      </c>
      <c r="L52" s="19" t="inlineStr">
        <is>
          <t>Ans</t>
        </is>
      </c>
      <c r="M52" t="inlineStr">
        <is>
          <t>P3</t>
        </is>
      </c>
      <c r="N52" t="inlineStr">
        <is>
          <t>Pure</t>
        </is>
      </c>
    </row>
    <row r="53">
      <c r="A53" s="15" t="inlineStr">
        <is>
          <t>P3.2</t>
        </is>
      </c>
      <c r="B53" s="15" t="n">
        <v>1</v>
      </c>
      <c r="C53" s="16" t="inlineStr">
        <is>
          <t>Intersections of straight lines and circles</t>
        </is>
      </c>
      <c r="D53" s="17" t="n"/>
      <c r="E53" s="18" t="n"/>
      <c r="F53" s="19" t="inlineStr">
        <is>
          <t>open</t>
        </is>
      </c>
      <c r="G53" s="19" t="inlineStr">
        <is>
          <t>Qs</t>
        </is>
      </c>
      <c r="H53" s="19" t="inlineStr">
        <is>
          <t>Ans</t>
        </is>
      </c>
      <c r="I53" s="20" t="inlineStr">
        <is>
          <t>Circles</t>
        </is>
      </c>
      <c r="J53" s="19" t="inlineStr">
        <is>
          <t>QP</t>
        </is>
      </c>
      <c r="K53" s="19" t="inlineStr">
        <is>
          <t>MS</t>
        </is>
      </c>
      <c r="L53" s="19" t="inlineStr">
        <is>
          <t>Ans</t>
        </is>
      </c>
      <c r="M53" t="inlineStr">
        <is>
          <t>P3</t>
        </is>
      </c>
      <c r="N53" t="inlineStr">
        <is>
          <t>Pure</t>
        </is>
      </c>
    </row>
    <row r="54">
      <c r="A54" s="15" t="inlineStr">
        <is>
          <t>P3.2</t>
        </is>
      </c>
      <c r="B54" s="15" t="n">
        <v>1</v>
      </c>
      <c r="C54" s="16" t="inlineStr">
        <is>
          <t>Tangent and chord properties</t>
        </is>
      </c>
      <c r="D54" s="17" t="n"/>
      <c r="E54" s="18" t="n"/>
      <c r="F54" s="19" t="inlineStr">
        <is>
          <t>open</t>
        </is>
      </c>
      <c r="G54" s="19" t="inlineStr">
        <is>
          <t>Qs</t>
        </is>
      </c>
      <c r="H54" s="19" t="inlineStr">
        <is>
          <t>Ans</t>
        </is>
      </c>
      <c r="I54" s="20" t="inlineStr">
        <is>
          <t>Circles</t>
        </is>
      </c>
      <c r="J54" s="19" t="inlineStr">
        <is>
          <t>QP</t>
        </is>
      </c>
      <c r="K54" s="19" t="inlineStr">
        <is>
          <t>MS</t>
        </is>
      </c>
      <c r="L54" s="19" t="inlineStr">
        <is>
          <t>Ans</t>
        </is>
      </c>
      <c r="M54" t="inlineStr">
        <is>
          <t>P3</t>
        </is>
      </c>
      <c r="N54" t="inlineStr">
        <is>
          <t>Pure</t>
        </is>
      </c>
    </row>
    <row r="55">
      <c r="A55" s="15" t="inlineStr">
        <is>
          <t>P3.2</t>
        </is>
      </c>
      <c r="B55" s="15" t="n">
        <v>1</v>
      </c>
      <c r="C55" s="16" t="inlineStr">
        <is>
          <t>Circles and triangles (circumcircles, angle in a semicircle)</t>
        </is>
      </c>
      <c r="D55" s="17" t="n"/>
      <c r="E55" s="18" t="n"/>
      <c r="F55" s="19" t="inlineStr">
        <is>
          <t>open</t>
        </is>
      </c>
      <c r="G55" s="19" t="inlineStr">
        <is>
          <t>Qs</t>
        </is>
      </c>
      <c r="H55" s="19" t="inlineStr">
        <is>
          <t>Ans</t>
        </is>
      </c>
      <c r="I55" s="20" t="inlineStr">
        <is>
          <t>Circles</t>
        </is>
      </c>
      <c r="J55" s="19" t="inlineStr">
        <is>
          <t>QP</t>
        </is>
      </c>
      <c r="K55" s="19" t="inlineStr">
        <is>
          <t>MS</t>
        </is>
      </c>
      <c r="L55" s="19" t="inlineStr">
        <is>
          <t>Ans</t>
        </is>
      </c>
      <c r="M55" t="inlineStr">
        <is>
          <t>P3</t>
        </is>
      </c>
      <c r="N55" t="inlineStr">
        <is>
          <t>Pure</t>
        </is>
      </c>
    </row>
    <row r="56">
      <c r="A56" s="15" t="inlineStr">
        <is>
          <t>P3.3</t>
        </is>
      </c>
      <c r="B56" s="15" t="n">
        <v>2</v>
      </c>
      <c r="C56" s="16" t="inlineStr">
        <is>
          <t>Parametric equations: converting to Cartesian form</t>
        </is>
      </c>
      <c r="D56" s="17" t="n"/>
      <c r="E56" s="18" t="n"/>
      <c r="F56" s="19" t="inlineStr">
        <is>
          <t>open</t>
        </is>
      </c>
      <c r="G56" s="19" t="inlineStr">
        <is>
          <t>Qs</t>
        </is>
      </c>
      <c r="H56" s="19" t="inlineStr">
        <is>
          <t>Ans</t>
        </is>
      </c>
      <c r="I56" s="20" t="inlineStr">
        <is>
          <t>Parametric Equations (Yr 2 set)</t>
        </is>
      </c>
      <c r="J56" s="19" t="inlineStr">
        <is>
          <t>QP</t>
        </is>
      </c>
      <c r="K56" s="19" t="inlineStr">
        <is>
          <t>MS</t>
        </is>
      </c>
      <c r="L56" s="19" t="inlineStr">
        <is>
          <t>Ans</t>
        </is>
      </c>
      <c r="M56" t="inlineStr">
        <is>
          <t>P3</t>
        </is>
      </c>
      <c r="N56" t="inlineStr">
        <is>
          <t>Pure</t>
        </is>
      </c>
    </row>
    <row r="57">
      <c r="A57" s="15" t="inlineStr">
        <is>
          <t>P3.3</t>
        </is>
      </c>
      <c r="B57" s="15" t="n">
        <v>2</v>
      </c>
      <c r="C57" s="16" t="inlineStr">
        <is>
          <t>Parametric equations using trig identities</t>
        </is>
      </c>
      <c r="D57" s="17" t="n"/>
      <c r="E57" s="18" t="n"/>
      <c r="F57" s="19" t="inlineStr">
        <is>
          <t>open</t>
        </is>
      </c>
      <c r="G57" s="19" t="inlineStr">
        <is>
          <t>Qs</t>
        </is>
      </c>
      <c r="H57" s="19" t="inlineStr">
        <is>
          <t>Ans</t>
        </is>
      </c>
      <c r="I57" s="20" t="inlineStr">
        <is>
          <t>Parametric Equations (Yr 2 set)</t>
        </is>
      </c>
      <c r="J57" s="19" t="inlineStr">
        <is>
          <t>QP</t>
        </is>
      </c>
      <c r="K57" s="19" t="inlineStr">
        <is>
          <t>MS</t>
        </is>
      </c>
      <c r="L57" s="19" t="inlineStr">
        <is>
          <t>Ans</t>
        </is>
      </c>
      <c r="M57" t="inlineStr">
        <is>
          <t>P3</t>
        </is>
      </c>
      <c r="N57" t="inlineStr">
        <is>
          <t>Pure</t>
        </is>
      </c>
    </row>
    <row r="58">
      <c r="A58" s="15" t="inlineStr">
        <is>
          <t>P3.3</t>
        </is>
      </c>
      <c r="B58" s="15" t="n">
        <v>2</v>
      </c>
      <c r="C58" s="16" t="inlineStr">
        <is>
          <t>Sketching parametric curves</t>
        </is>
      </c>
      <c r="D58" s="17" t="n"/>
      <c r="E58" s="18" t="n"/>
      <c r="F58" s="19" t="inlineStr">
        <is>
          <t>open</t>
        </is>
      </c>
      <c r="G58" s="19" t="inlineStr">
        <is>
          <t>Qs</t>
        </is>
      </c>
      <c r="H58" s="19" t="inlineStr">
        <is>
          <t>Ans</t>
        </is>
      </c>
      <c r="I58" s="20" t="inlineStr">
        <is>
          <t>Parametric Equations (Yr 2 set)</t>
        </is>
      </c>
      <c r="J58" s="19" t="inlineStr">
        <is>
          <t>QP</t>
        </is>
      </c>
      <c r="K58" s="19" t="inlineStr">
        <is>
          <t>MS</t>
        </is>
      </c>
      <c r="L58" s="19" t="inlineStr">
        <is>
          <t>Ans</t>
        </is>
      </c>
      <c r="M58" t="inlineStr">
        <is>
          <t>P3</t>
        </is>
      </c>
      <c r="N58" t="inlineStr">
        <is>
          <t>Pure</t>
        </is>
      </c>
    </row>
    <row r="59">
      <c r="A59" s="15" t="inlineStr">
        <is>
          <t>P3.3</t>
        </is>
      </c>
      <c r="B59" s="15" t="n">
        <v>2</v>
      </c>
      <c r="C59" s="16" t="inlineStr">
        <is>
          <t>Points of intersection with parametric curves</t>
        </is>
      </c>
      <c r="D59" s="17" t="n"/>
      <c r="E59" s="18" t="n"/>
      <c r="F59" s="19" t="inlineStr">
        <is>
          <t>open</t>
        </is>
      </c>
      <c r="G59" s="19" t="inlineStr">
        <is>
          <t>Qs</t>
        </is>
      </c>
      <c r="H59" s="19" t="inlineStr">
        <is>
          <t>Ans</t>
        </is>
      </c>
      <c r="I59" s="20" t="inlineStr">
        <is>
          <t>Parametric Equations (Yr 2 set)</t>
        </is>
      </c>
      <c r="J59" s="19" t="inlineStr">
        <is>
          <t>QP</t>
        </is>
      </c>
      <c r="K59" s="19" t="inlineStr">
        <is>
          <t>MS</t>
        </is>
      </c>
      <c r="L59" s="19" t="inlineStr">
        <is>
          <t>Ans</t>
        </is>
      </c>
      <c r="M59" t="inlineStr">
        <is>
          <t>P3</t>
        </is>
      </c>
      <c r="N59" t="inlineStr">
        <is>
          <t>Pure</t>
        </is>
      </c>
    </row>
    <row r="60">
      <c r="A60" s="15" t="inlineStr">
        <is>
          <t>P3.4</t>
        </is>
      </c>
      <c r="B60" s="15" t="n">
        <v>2</v>
      </c>
      <c r="C60" s="16" t="inlineStr">
        <is>
          <t>Modelling with parametric equations</t>
        </is>
      </c>
      <c r="D60" s="17" t="n"/>
      <c r="E60" s="18" t="n"/>
      <c r="F60" s="19" t="inlineStr">
        <is>
          <t>open</t>
        </is>
      </c>
      <c r="G60" s="19" t="inlineStr">
        <is>
          <t>Qs</t>
        </is>
      </c>
      <c r="H60" s="19" t="inlineStr">
        <is>
          <t>Ans</t>
        </is>
      </c>
      <c r="I60" s="20" t="inlineStr">
        <is>
          <t>Parametric Equations (Yr 2 set)</t>
        </is>
      </c>
      <c r="J60" s="19" t="inlineStr">
        <is>
          <t>QP</t>
        </is>
      </c>
      <c r="K60" s="19" t="inlineStr">
        <is>
          <t>MS</t>
        </is>
      </c>
      <c r="L60" s="19" t="inlineStr">
        <is>
          <t>Ans</t>
        </is>
      </c>
      <c r="M60" t="inlineStr">
        <is>
          <t>P3</t>
        </is>
      </c>
      <c r="N60" t="inlineStr">
        <is>
          <t>Pure</t>
        </is>
      </c>
    </row>
    <row r="61" ht="24" customHeight="1">
      <c r="A61" s="13" t="n"/>
      <c r="B61" s="14" t="inlineStr">
        <is>
          <t>PURE 4   ·   Sequences and series   ·   Paper 1 &amp; 2   ·   16 topics (Yr 1: 4 · Yr 2: 12)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</row>
    <row r="62">
      <c r="A62" s="15" t="inlineStr">
        <is>
          <t>P4.1</t>
        </is>
      </c>
      <c r="B62" s="15" t="n">
        <v>1</v>
      </c>
      <c r="C62" s="16" t="inlineStr">
        <is>
          <t>Pascal's triangle, factorials and nCr notation</t>
        </is>
      </c>
      <c r="D62" s="17" t="n"/>
      <c r="E62" s="18" t="n"/>
      <c r="F62" s="19" t="inlineStr">
        <is>
          <t>open</t>
        </is>
      </c>
      <c r="G62" s="19" t="inlineStr">
        <is>
          <t>Qs</t>
        </is>
      </c>
      <c r="H62" s="19" t="inlineStr">
        <is>
          <t>Ans</t>
        </is>
      </c>
      <c r="I62" s="20" t="inlineStr">
        <is>
          <t>Binomial Expansion</t>
        </is>
      </c>
      <c r="J62" s="19" t="inlineStr">
        <is>
          <t>QP</t>
        </is>
      </c>
      <c r="K62" s="19" t="inlineStr">
        <is>
          <t>MS</t>
        </is>
      </c>
      <c r="L62" s="19" t="inlineStr">
        <is>
          <t>Ans</t>
        </is>
      </c>
      <c r="M62" t="inlineStr">
        <is>
          <t>P4</t>
        </is>
      </c>
      <c r="N62" t="inlineStr">
        <is>
          <t>Pure</t>
        </is>
      </c>
    </row>
    <row r="63">
      <c r="A63" s="15" t="inlineStr">
        <is>
          <t>P4.1</t>
        </is>
      </c>
      <c r="B63" s="15" t="n">
        <v>1</v>
      </c>
      <c r="C63" s="16" t="inlineStr">
        <is>
          <t>Binomial expansion of (a + bx)ⁿ for positive integer n</t>
        </is>
      </c>
      <c r="D63" s="17" t="n"/>
      <c r="E63" s="18" t="n"/>
      <c r="F63" s="19" t="inlineStr">
        <is>
          <t>open</t>
        </is>
      </c>
      <c r="G63" s="19" t="inlineStr">
        <is>
          <t>Qs</t>
        </is>
      </c>
      <c r="H63" s="19" t="inlineStr">
        <is>
          <t>Ans</t>
        </is>
      </c>
      <c r="I63" s="20" t="inlineStr">
        <is>
          <t>Binomial Expansion</t>
        </is>
      </c>
      <c r="J63" s="19" t="inlineStr">
        <is>
          <t>QP</t>
        </is>
      </c>
      <c r="K63" s="19" t="inlineStr">
        <is>
          <t>MS</t>
        </is>
      </c>
      <c r="L63" s="19" t="inlineStr">
        <is>
          <t>Ans</t>
        </is>
      </c>
      <c r="M63" t="inlineStr">
        <is>
          <t>P4</t>
        </is>
      </c>
      <c r="N63" t="inlineStr">
        <is>
          <t>Pure</t>
        </is>
      </c>
    </row>
    <row r="64">
      <c r="A64" s="15" t="inlineStr">
        <is>
          <t>P4.1</t>
        </is>
      </c>
      <c r="B64" s="15" t="n">
        <v>1</v>
      </c>
      <c r="C64" s="16" t="inlineStr">
        <is>
          <t>Solving binomial problems (finding unknowns and coefficients)</t>
        </is>
      </c>
      <c r="D64" s="17" t="n"/>
      <c r="E64" s="18" t="n"/>
      <c r="F64" s="19" t="inlineStr">
        <is>
          <t>open</t>
        </is>
      </c>
      <c r="G64" s="19" t="inlineStr">
        <is>
          <t>Qs</t>
        </is>
      </c>
      <c r="H64" s="19" t="inlineStr">
        <is>
          <t>Ans</t>
        </is>
      </c>
      <c r="I64" s="20" t="inlineStr">
        <is>
          <t>Binomial Expansion</t>
        </is>
      </c>
      <c r="J64" s="19" t="inlineStr">
        <is>
          <t>QP</t>
        </is>
      </c>
      <c r="K64" s="19" t="inlineStr">
        <is>
          <t>MS</t>
        </is>
      </c>
      <c r="L64" s="19" t="inlineStr">
        <is>
          <t>Ans</t>
        </is>
      </c>
      <c r="M64" t="inlineStr">
        <is>
          <t>P4</t>
        </is>
      </c>
      <c r="N64" t="inlineStr">
        <is>
          <t>Pure</t>
        </is>
      </c>
    </row>
    <row r="65">
      <c r="A65" s="15" t="inlineStr">
        <is>
          <t>P4.1</t>
        </is>
      </c>
      <c r="B65" s="15" t="n">
        <v>1</v>
      </c>
      <c r="C65" s="16" t="inlineStr">
        <is>
          <t>Binomial estimation (approximations)</t>
        </is>
      </c>
      <c r="D65" s="17" t="n"/>
      <c r="E65" s="18" t="n"/>
      <c r="F65" s="19" t="inlineStr">
        <is>
          <t>open</t>
        </is>
      </c>
      <c r="G65" s="19" t="inlineStr">
        <is>
          <t>Qs</t>
        </is>
      </c>
      <c r="H65" s="19" t="inlineStr">
        <is>
          <t>Ans</t>
        </is>
      </c>
      <c r="I65" s="20" t="inlineStr">
        <is>
          <t>Binomial Expansion</t>
        </is>
      </c>
      <c r="J65" s="19" t="inlineStr">
        <is>
          <t>QP</t>
        </is>
      </c>
      <c r="K65" s="19" t="inlineStr">
        <is>
          <t>MS</t>
        </is>
      </c>
      <c r="L65" s="19" t="inlineStr">
        <is>
          <t>Ans</t>
        </is>
      </c>
      <c r="M65" t="inlineStr">
        <is>
          <t>P4</t>
        </is>
      </c>
      <c r="N65" t="inlineStr">
        <is>
          <t>Pure</t>
        </is>
      </c>
    </row>
    <row r="66">
      <c r="A66" s="15" t="inlineStr">
        <is>
          <t>P4.1</t>
        </is>
      </c>
      <c r="B66" s="15" t="n">
        <v>2</v>
      </c>
      <c r="C66" s="16" t="inlineStr">
        <is>
          <t>Binomial expansion of (1 + x)ⁿ for rational n, and validity</t>
        </is>
      </c>
      <c r="D66" s="17" t="n"/>
      <c r="E66" s="18" t="n"/>
      <c r="F66" s="19" t="inlineStr">
        <is>
          <t>open</t>
        </is>
      </c>
      <c r="G66" s="19" t="inlineStr">
        <is>
          <t>Qs</t>
        </is>
      </c>
      <c r="H66" s="19" t="inlineStr">
        <is>
          <t>Ans</t>
        </is>
      </c>
      <c r="I66" s="20" t="inlineStr">
        <is>
          <t>Binomial Expansion (Yr 2 set)</t>
        </is>
      </c>
      <c r="J66" s="19" t="inlineStr">
        <is>
          <t>QP</t>
        </is>
      </c>
      <c r="K66" s="19" t="inlineStr">
        <is>
          <t>MS</t>
        </is>
      </c>
      <c r="L66" s="19" t="inlineStr">
        <is>
          <t>Ans</t>
        </is>
      </c>
      <c r="M66" t="inlineStr">
        <is>
          <t>P4</t>
        </is>
      </c>
      <c r="N66" t="inlineStr">
        <is>
          <t>Pure</t>
        </is>
      </c>
    </row>
    <row r="67">
      <c r="A67" s="15" t="inlineStr">
        <is>
          <t>P4.1</t>
        </is>
      </c>
      <c r="B67" s="15" t="n">
        <v>2</v>
      </c>
      <c r="C67" s="16" t="inlineStr">
        <is>
          <t>Binomial expansion of (a + bx)ⁿ for rational n</t>
        </is>
      </c>
      <c r="D67" s="17" t="n"/>
      <c r="E67" s="18" t="n"/>
      <c r="F67" s="19" t="inlineStr">
        <is>
          <t>open</t>
        </is>
      </c>
      <c r="G67" s="19" t="inlineStr">
        <is>
          <t>Qs</t>
        </is>
      </c>
      <c r="H67" s="19" t="inlineStr">
        <is>
          <t>Ans</t>
        </is>
      </c>
      <c r="I67" s="20" t="inlineStr">
        <is>
          <t>Binomial Expansion (Yr 2 set)</t>
        </is>
      </c>
      <c r="J67" s="19" t="inlineStr">
        <is>
          <t>QP</t>
        </is>
      </c>
      <c r="K67" s="19" t="inlineStr">
        <is>
          <t>MS</t>
        </is>
      </c>
      <c r="L67" s="19" t="inlineStr">
        <is>
          <t>Ans</t>
        </is>
      </c>
      <c r="M67" t="inlineStr">
        <is>
          <t>P4</t>
        </is>
      </c>
      <c r="N67" t="inlineStr">
        <is>
          <t>Pure</t>
        </is>
      </c>
    </row>
    <row r="68">
      <c r="A68" s="15" t="inlineStr">
        <is>
          <t>P4.1</t>
        </is>
      </c>
      <c r="B68" s="15" t="n">
        <v>2</v>
      </c>
      <c r="C68" s="16" t="inlineStr">
        <is>
          <t>Binomial expansion using partial fractions</t>
        </is>
      </c>
      <c r="D68" s="17" t="n"/>
      <c r="E68" s="18" t="n"/>
      <c r="F68" s="19" t="inlineStr">
        <is>
          <t>open</t>
        </is>
      </c>
      <c r="G68" s="19" t="inlineStr">
        <is>
          <t>Qs</t>
        </is>
      </c>
      <c r="H68" s="19" t="inlineStr">
        <is>
          <t>Ans</t>
        </is>
      </c>
      <c r="I68" s="20" t="inlineStr">
        <is>
          <t>Binomial Expansion (Yr 2 set)</t>
        </is>
      </c>
      <c r="J68" s="19" t="inlineStr">
        <is>
          <t>QP</t>
        </is>
      </c>
      <c r="K68" s="19" t="inlineStr">
        <is>
          <t>MS</t>
        </is>
      </c>
      <c r="L68" s="19" t="inlineStr">
        <is>
          <t>Ans</t>
        </is>
      </c>
      <c r="M68" t="inlineStr">
        <is>
          <t>P4</t>
        </is>
      </c>
      <c r="N68" t="inlineStr">
        <is>
          <t>Pure</t>
        </is>
      </c>
    </row>
    <row r="69">
      <c r="A69" s="15" t="inlineStr">
        <is>
          <t>P4.2</t>
        </is>
      </c>
      <c r="B69" s="15" t="n">
        <v>2</v>
      </c>
      <c r="C69" s="16" t="inlineStr">
        <is>
          <t>Recurrence relations uₙ₊₁ = f(uₙ)</t>
        </is>
      </c>
      <c r="D69" s="17" t="n"/>
      <c r="E69" s="18" t="n"/>
      <c r="F69" s="19" t="inlineStr">
        <is>
          <t>open</t>
        </is>
      </c>
      <c r="G69" s="19" t="inlineStr">
        <is>
          <t>Qs</t>
        </is>
      </c>
      <c r="H69" s="19" t="inlineStr">
        <is>
          <t>Ans</t>
        </is>
      </c>
      <c r="I69" s="20" t="inlineStr">
        <is>
          <t>Sequences and Series (Yr 2 set)</t>
        </is>
      </c>
      <c r="J69" s="19" t="inlineStr">
        <is>
          <t>QP</t>
        </is>
      </c>
      <c r="K69" s="19" t="inlineStr">
        <is>
          <t>MS</t>
        </is>
      </c>
      <c r="L69" s="19" t="inlineStr">
        <is>
          <t>Ans</t>
        </is>
      </c>
      <c r="M69" t="inlineStr">
        <is>
          <t>P4</t>
        </is>
      </c>
      <c r="N69" t="inlineStr">
        <is>
          <t>Pure</t>
        </is>
      </c>
    </row>
    <row r="70">
      <c r="A70" s="15" t="inlineStr">
        <is>
          <t>P4.2</t>
        </is>
      </c>
      <c r="B70" s="15" t="n">
        <v>2</v>
      </c>
      <c r="C70" s="16" t="inlineStr">
        <is>
          <t>Increasing, decreasing and periodic sequences</t>
        </is>
      </c>
      <c r="D70" s="17" t="n"/>
      <c r="E70" s="18" t="n"/>
      <c r="F70" s="19" t="inlineStr">
        <is>
          <t>open</t>
        </is>
      </c>
      <c r="G70" s="19" t="inlineStr">
        <is>
          <t>Qs</t>
        </is>
      </c>
      <c r="H70" s="19" t="inlineStr">
        <is>
          <t>Ans</t>
        </is>
      </c>
      <c r="I70" s="20" t="inlineStr">
        <is>
          <t>Sequences and Series (Yr 2 set)</t>
        </is>
      </c>
      <c r="J70" s="19" t="inlineStr">
        <is>
          <t>QP</t>
        </is>
      </c>
      <c r="K70" s="19" t="inlineStr">
        <is>
          <t>MS</t>
        </is>
      </c>
      <c r="L70" s="19" t="inlineStr">
        <is>
          <t>Ans</t>
        </is>
      </c>
      <c r="M70" t="inlineStr">
        <is>
          <t>P4</t>
        </is>
      </c>
      <c r="N70" t="inlineStr">
        <is>
          <t>Pure</t>
        </is>
      </c>
    </row>
    <row r="71">
      <c r="A71" s="15" t="inlineStr">
        <is>
          <t>P4.3</t>
        </is>
      </c>
      <c r="B71" s="15" t="n">
        <v>2</v>
      </c>
      <c r="C71" s="16" t="inlineStr">
        <is>
          <t>Sigma notation</t>
        </is>
      </c>
      <c r="D71" s="17" t="n"/>
      <c r="E71" s="18" t="n"/>
      <c r="F71" s="19" t="inlineStr">
        <is>
          <t>open</t>
        </is>
      </c>
      <c r="G71" s="19" t="inlineStr">
        <is>
          <t>Qs</t>
        </is>
      </c>
      <c r="H71" s="19" t="inlineStr">
        <is>
          <t>Ans</t>
        </is>
      </c>
      <c r="I71" s="20" t="inlineStr">
        <is>
          <t>Sequences and Series (Yr 2 set)</t>
        </is>
      </c>
      <c r="J71" s="19" t="inlineStr">
        <is>
          <t>QP</t>
        </is>
      </c>
      <c r="K71" s="19" t="inlineStr">
        <is>
          <t>MS</t>
        </is>
      </c>
      <c r="L71" s="19" t="inlineStr">
        <is>
          <t>Ans</t>
        </is>
      </c>
      <c r="M71" t="inlineStr">
        <is>
          <t>P4</t>
        </is>
      </c>
      <c r="N71" t="inlineStr">
        <is>
          <t>Pure</t>
        </is>
      </c>
    </row>
    <row r="72">
      <c r="A72" s="15" t="inlineStr">
        <is>
          <t>P4.4</t>
        </is>
      </c>
      <c r="B72" s="15" t="n">
        <v>2</v>
      </c>
      <c r="C72" s="16" t="inlineStr">
        <is>
          <t>Arithmetic sequences</t>
        </is>
      </c>
      <c r="D72" s="17" t="n"/>
      <c r="E72" s="18" t="n"/>
      <c r="F72" s="19" t="inlineStr">
        <is>
          <t>open</t>
        </is>
      </c>
      <c r="G72" s="19" t="inlineStr">
        <is>
          <t>Qs</t>
        </is>
      </c>
      <c r="H72" s="19" t="inlineStr">
        <is>
          <t>Ans</t>
        </is>
      </c>
      <c r="I72" s="20" t="inlineStr">
        <is>
          <t>Arithmetic Sequences (Yr 2 set)</t>
        </is>
      </c>
      <c r="J72" s="19" t="inlineStr">
        <is>
          <t>QP</t>
        </is>
      </c>
      <c r="K72" s="19" t="inlineStr">
        <is>
          <t>MS</t>
        </is>
      </c>
      <c r="L72" s="19" t="inlineStr">
        <is>
          <t>Ans</t>
        </is>
      </c>
      <c r="M72" t="inlineStr">
        <is>
          <t>P4</t>
        </is>
      </c>
      <c r="N72" t="inlineStr">
        <is>
          <t>Pure</t>
        </is>
      </c>
    </row>
    <row r="73">
      <c r="A73" s="15" t="inlineStr">
        <is>
          <t>P4.4</t>
        </is>
      </c>
      <c r="B73" s="15" t="n">
        <v>2</v>
      </c>
      <c r="C73" s="16" t="inlineStr">
        <is>
          <t>Arithmetic series (incl. proof of the sum formula)</t>
        </is>
      </c>
      <c r="D73" s="17" t="n"/>
      <c r="E73" s="18" t="n"/>
      <c r="F73" s="19" t="inlineStr">
        <is>
          <t>open</t>
        </is>
      </c>
      <c r="G73" s="19" t="inlineStr">
        <is>
          <t>Qs</t>
        </is>
      </c>
      <c r="H73" s="19" t="inlineStr">
        <is>
          <t>Ans</t>
        </is>
      </c>
      <c r="I73" s="20" t="inlineStr">
        <is>
          <t>Arithmetic Sequences (Yr 2 set)</t>
        </is>
      </c>
      <c r="J73" s="19" t="inlineStr">
        <is>
          <t>QP</t>
        </is>
      </c>
      <c r="K73" s="19" t="inlineStr">
        <is>
          <t>MS</t>
        </is>
      </c>
      <c r="L73" s="19" t="inlineStr">
        <is>
          <t>Ans</t>
        </is>
      </c>
      <c r="M73" t="inlineStr">
        <is>
          <t>P4</t>
        </is>
      </c>
      <c r="N73" t="inlineStr">
        <is>
          <t>Pure</t>
        </is>
      </c>
    </row>
    <row r="74">
      <c r="A74" s="15" t="inlineStr">
        <is>
          <t>P4.5</t>
        </is>
      </c>
      <c r="B74" s="15" t="n">
        <v>2</v>
      </c>
      <c r="C74" s="16" t="inlineStr">
        <is>
          <t>Geometric sequences</t>
        </is>
      </c>
      <c r="D74" s="17" t="n"/>
      <c r="E74" s="18" t="n"/>
      <c r="F74" s="19" t="inlineStr">
        <is>
          <t>open</t>
        </is>
      </c>
      <c r="G74" s="19" t="inlineStr">
        <is>
          <t>Qs</t>
        </is>
      </c>
      <c r="H74" s="19" t="inlineStr">
        <is>
          <t>Ans</t>
        </is>
      </c>
      <c r="I74" s="20" t="inlineStr">
        <is>
          <t>Geometric Series (Yr 2 set)</t>
        </is>
      </c>
      <c r="J74" s="19" t="inlineStr">
        <is>
          <t>QP</t>
        </is>
      </c>
      <c r="K74" s="19" t="inlineStr">
        <is>
          <t>MS</t>
        </is>
      </c>
      <c r="L74" s="19" t="inlineStr">
        <is>
          <t>Ans</t>
        </is>
      </c>
      <c r="M74" t="inlineStr">
        <is>
          <t>P4</t>
        </is>
      </c>
      <c r="N74" t="inlineStr">
        <is>
          <t>Pure</t>
        </is>
      </c>
    </row>
    <row r="75">
      <c r="A75" s="15" t="inlineStr">
        <is>
          <t>P4.5</t>
        </is>
      </c>
      <c r="B75" s="15" t="n">
        <v>2</v>
      </c>
      <c r="C75" s="16" t="inlineStr">
        <is>
          <t>Geometric series (incl. proof of the sum formula, using logs to find n)</t>
        </is>
      </c>
      <c r="D75" s="17" t="n"/>
      <c r="E75" s="18" t="n"/>
      <c r="F75" s="19" t="inlineStr">
        <is>
          <t>open</t>
        </is>
      </c>
      <c r="G75" s="19" t="inlineStr">
        <is>
          <t>Qs</t>
        </is>
      </c>
      <c r="H75" s="19" t="inlineStr">
        <is>
          <t>Ans</t>
        </is>
      </c>
      <c r="I75" s="20" t="inlineStr">
        <is>
          <t>Geometric Series (Yr 2 set)</t>
        </is>
      </c>
      <c r="J75" s="19" t="inlineStr">
        <is>
          <t>QP</t>
        </is>
      </c>
      <c r="K75" s="19" t="inlineStr">
        <is>
          <t>MS</t>
        </is>
      </c>
      <c r="L75" s="19" t="inlineStr">
        <is>
          <t>Ans</t>
        </is>
      </c>
      <c r="M75" t="inlineStr">
        <is>
          <t>P4</t>
        </is>
      </c>
      <c r="N75" t="inlineStr">
        <is>
          <t>Pure</t>
        </is>
      </c>
    </row>
    <row r="76">
      <c r="A76" s="15" t="inlineStr">
        <is>
          <t>P4.5</t>
        </is>
      </c>
      <c r="B76" s="15" t="n">
        <v>2</v>
      </c>
      <c r="C76" s="16" t="inlineStr">
        <is>
          <t>Sum to infinity and convergence (|r| &lt; 1)</t>
        </is>
      </c>
      <c r="D76" s="17" t="n"/>
      <c r="E76" s="18" t="n"/>
      <c r="F76" s="19" t="inlineStr">
        <is>
          <t>open</t>
        </is>
      </c>
      <c r="G76" s="19" t="inlineStr">
        <is>
          <t>Qs</t>
        </is>
      </c>
      <c r="H76" s="19" t="inlineStr">
        <is>
          <t>Ans</t>
        </is>
      </c>
      <c r="I76" s="20" t="inlineStr">
        <is>
          <t>Geometric Series (Yr 2 set)</t>
        </is>
      </c>
      <c r="J76" s="19" t="inlineStr">
        <is>
          <t>QP</t>
        </is>
      </c>
      <c r="K76" s="19" t="inlineStr">
        <is>
          <t>MS</t>
        </is>
      </c>
      <c r="L76" s="19" t="inlineStr">
        <is>
          <t>Ans</t>
        </is>
      </c>
      <c r="M76" t="inlineStr">
        <is>
          <t>P4</t>
        </is>
      </c>
      <c r="N76" t="inlineStr">
        <is>
          <t>Pure</t>
        </is>
      </c>
    </row>
    <row r="77">
      <c r="A77" s="15" t="inlineStr">
        <is>
          <t>P4.6</t>
        </is>
      </c>
      <c r="B77" s="15" t="n">
        <v>2</v>
      </c>
      <c r="C77" s="16" t="inlineStr">
        <is>
          <t>Modelling with sequences and series</t>
        </is>
      </c>
      <c r="D77" s="17" t="n"/>
      <c r="E77" s="18" t="n"/>
      <c r="F77" s="19" t="inlineStr">
        <is>
          <t>open</t>
        </is>
      </c>
      <c r="G77" s="19" t="inlineStr">
        <is>
          <t>Qs</t>
        </is>
      </c>
      <c r="H77" s="19" t="inlineStr">
        <is>
          <t>Ans</t>
        </is>
      </c>
      <c r="I77" s="20" t="inlineStr">
        <is>
          <t>Sequences and Series (Yr 2 set)</t>
        </is>
      </c>
      <c r="J77" s="19" t="inlineStr">
        <is>
          <t>QP</t>
        </is>
      </c>
      <c r="K77" s="19" t="inlineStr">
        <is>
          <t>MS</t>
        </is>
      </c>
      <c r="L77" s="19" t="inlineStr">
        <is>
          <t>Ans</t>
        </is>
      </c>
      <c r="M77" t="inlineStr">
        <is>
          <t>P4</t>
        </is>
      </c>
      <c r="N77" t="inlineStr">
        <is>
          <t>Pure</t>
        </is>
      </c>
    </row>
    <row r="78" ht="24" customHeight="1">
      <c r="A78" s="13" t="n"/>
      <c r="B78" s="14" t="inlineStr">
        <is>
          <t>PURE 5   ·   Trigonometry   ·   Paper 1 &amp; 2   ·   25 topics (Yr 1: 11 · Yr 2: 14)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</row>
    <row r="79">
      <c r="A79" s="15" t="inlineStr">
        <is>
          <t>P5.1</t>
        </is>
      </c>
      <c r="B79" s="15" t="n">
        <v>1</v>
      </c>
      <c r="C79" s="16" t="inlineStr">
        <is>
          <t>The cosine rule</t>
        </is>
      </c>
      <c r="D79" s="17" t="n"/>
      <c r="E79" s="18" t="n"/>
      <c r="F79" s="19" t="inlineStr">
        <is>
          <t>open</t>
        </is>
      </c>
      <c r="G79" s="19" t="inlineStr">
        <is>
          <t>Qs</t>
        </is>
      </c>
      <c r="H79" s="19" t="inlineStr">
        <is>
          <t>Ans</t>
        </is>
      </c>
      <c r="I79" s="20" t="inlineStr">
        <is>
          <t>Sine and Cosine Rule</t>
        </is>
      </c>
      <c r="J79" s="19" t="inlineStr">
        <is>
          <t>QP</t>
        </is>
      </c>
      <c r="K79" s="19" t="inlineStr">
        <is>
          <t>MS</t>
        </is>
      </c>
      <c r="L79" s="19" t="inlineStr">
        <is>
          <t>Ans</t>
        </is>
      </c>
      <c r="M79" t="inlineStr">
        <is>
          <t>P5</t>
        </is>
      </c>
      <c r="N79" t="inlineStr">
        <is>
          <t>Pure</t>
        </is>
      </c>
    </row>
    <row r="80">
      <c r="A80" s="15" t="inlineStr">
        <is>
          <t>P5.1</t>
        </is>
      </c>
      <c r="B80" s="15" t="n">
        <v>1</v>
      </c>
      <c r="C80" s="16" t="inlineStr">
        <is>
          <t>The sine rule (incl. the ambiguous case)</t>
        </is>
      </c>
      <c r="D80" s="17" t="n"/>
      <c r="E80" s="18" t="n"/>
      <c r="F80" s="19" t="inlineStr">
        <is>
          <t>open</t>
        </is>
      </c>
      <c r="G80" s="19" t="inlineStr">
        <is>
          <t>Qs</t>
        </is>
      </c>
      <c r="H80" s="19" t="inlineStr">
        <is>
          <t>Ans</t>
        </is>
      </c>
      <c r="I80" s="20" t="inlineStr">
        <is>
          <t>Sine and Cosine Rule</t>
        </is>
      </c>
      <c r="J80" s="19" t="inlineStr">
        <is>
          <t>QP</t>
        </is>
      </c>
      <c r="K80" s="19" t="inlineStr">
        <is>
          <t>MS</t>
        </is>
      </c>
      <c r="L80" s="19" t="inlineStr">
        <is>
          <t>Ans</t>
        </is>
      </c>
      <c r="M80" t="inlineStr">
        <is>
          <t>P5</t>
        </is>
      </c>
      <c r="N80" t="inlineStr">
        <is>
          <t>Pure</t>
        </is>
      </c>
    </row>
    <row r="81">
      <c r="A81" s="15" t="inlineStr">
        <is>
          <t>P5.1</t>
        </is>
      </c>
      <c r="B81" s="15" t="n">
        <v>1</v>
      </c>
      <c r="C81" s="16" t="inlineStr">
        <is>
          <t>Area of a triangle ½ab sin C</t>
        </is>
      </c>
      <c r="D81" s="17" t="n"/>
      <c r="E81" s="18" t="n"/>
      <c r="F81" s="19" t="inlineStr">
        <is>
          <t>open</t>
        </is>
      </c>
      <c r="G81" s="19" t="inlineStr">
        <is>
          <t>Qs</t>
        </is>
      </c>
      <c r="H81" s="19" t="inlineStr">
        <is>
          <t>Ans</t>
        </is>
      </c>
      <c r="I81" s="20" t="inlineStr">
        <is>
          <t>Sine and Cosine Rule</t>
        </is>
      </c>
      <c r="J81" s="19" t="inlineStr">
        <is>
          <t>QP</t>
        </is>
      </c>
      <c r="K81" s="19" t="inlineStr">
        <is>
          <t>MS</t>
        </is>
      </c>
      <c r="L81" s="19" t="inlineStr">
        <is>
          <t>Ans</t>
        </is>
      </c>
      <c r="M81" t="inlineStr">
        <is>
          <t>P5</t>
        </is>
      </c>
      <c r="N81" t="inlineStr">
        <is>
          <t>Pure</t>
        </is>
      </c>
    </row>
    <row r="82">
      <c r="A82" s="15" t="inlineStr">
        <is>
          <t>P5.1</t>
        </is>
      </c>
      <c r="B82" s="15" t="n">
        <v>1</v>
      </c>
      <c r="C82" s="16" t="inlineStr">
        <is>
          <t>Solving triangle problems (bearings, multi-step)</t>
        </is>
      </c>
      <c r="D82" s="17" t="n"/>
      <c r="E82" s="18" t="n"/>
      <c r="F82" s="19" t="inlineStr">
        <is>
          <t>open</t>
        </is>
      </c>
      <c r="G82" s="19" t="inlineStr">
        <is>
          <t>Qs</t>
        </is>
      </c>
      <c r="H82" s="19" t="inlineStr">
        <is>
          <t>Ans</t>
        </is>
      </c>
      <c r="I82" s="20" t="inlineStr">
        <is>
          <t>Sine and Cosine Rule</t>
        </is>
      </c>
      <c r="J82" s="19" t="inlineStr">
        <is>
          <t>QP</t>
        </is>
      </c>
      <c r="K82" s="19" t="inlineStr">
        <is>
          <t>MS</t>
        </is>
      </c>
      <c r="L82" s="19" t="inlineStr">
        <is>
          <t>Ans</t>
        </is>
      </c>
      <c r="M82" t="inlineStr">
        <is>
          <t>P5</t>
        </is>
      </c>
      <c r="N82" t="inlineStr">
        <is>
          <t>Pure</t>
        </is>
      </c>
    </row>
    <row r="83">
      <c r="A83" s="15" t="inlineStr">
        <is>
          <t>P5.1</t>
        </is>
      </c>
      <c r="B83" s="15" t="n">
        <v>1</v>
      </c>
      <c r="C83" s="16" t="inlineStr">
        <is>
          <t>Trig ratios for any angle (unit circle, all four quadrants)</t>
        </is>
      </c>
      <c r="D83" s="17" t="n"/>
      <c r="E83" s="18" t="n"/>
      <c r="F83" s="19" t="inlineStr">
        <is>
          <t>open</t>
        </is>
      </c>
      <c r="G83" s="19" t="inlineStr">
        <is>
          <t>Qs</t>
        </is>
      </c>
      <c r="H83" s="19" t="inlineStr">
        <is>
          <t>Ans</t>
        </is>
      </c>
      <c r="I83" s="20" t="inlineStr">
        <is>
          <t>Trigonometric Equations</t>
        </is>
      </c>
      <c r="J83" s="19" t="inlineStr">
        <is>
          <t>QP</t>
        </is>
      </c>
      <c r="K83" s="19" t="inlineStr">
        <is>
          <t>MS</t>
        </is>
      </c>
      <c r="L83" s="19" t="inlineStr">
        <is>
          <t>Ans</t>
        </is>
      </c>
      <c r="M83" t="inlineStr">
        <is>
          <t>P5</t>
        </is>
      </c>
      <c r="N83" t="inlineStr">
        <is>
          <t>Pure</t>
        </is>
      </c>
    </row>
    <row r="84">
      <c r="A84" s="15" t="inlineStr">
        <is>
          <t>P5.1</t>
        </is>
      </c>
      <c r="B84" s="15" t="n">
        <v>2</v>
      </c>
      <c r="C84" s="16" t="inlineStr">
        <is>
          <t>Radian measure</t>
        </is>
      </c>
      <c r="D84" s="17" t="n"/>
      <c r="E84" s="18" t="n"/>
      <c r="F84" s="19" t="inlineStr">
        <is>
          <t>open</t>
        </is>
      </c>
      <c r="G84" s="19" t="inlineStr">
        <is>
          <t>Qs</t>
        </is>
      </c>
      <c r="H84" s="19" t="inlineStr">
        <is>
          <t>Ans</t>
        </is>
      </c>
      <c r="I84" s="20" t="inlineStr">
        <is>
          <t>Arc Length and Sector Area (Yr 2 set)</t>
        </is>
      </c>
      <c r="J84" s="19" t="inlineStr">
        <is>
          <t>QP</t>
        </is>
      </c>
      <c r="K84" s="19" t="inlineStr">
        <is>
          <t>MS</t>
        </is>
      </c>
      <c r="L84" s="19" t="inlineStr">
        <is>
          <t>Ans</t>
        </is>
      </c>
      <c r="M84" t="inlineStr">
        <is>
          <t>P5</t>
        </is>
      </c>
      <c r="N84" t="inlineStr">
        <is>
          <t>Pure</t>
        </is>
      </c>
    </row>
    <row r="85">
      <c r="A85" s="15" t="inlineStr">
        <is>
          <t>P5.1</t>
        </is>
      </c>
      <c r="B85" s="15" t="n">
        <v>2</v>
      </c>
      <c r="C85" s="16" t="inlineStr">
        <is>
          <t>Arc length and sector area</t>
        </is>
      </c>
      <c r="D85" s="17" t="n"/>
      <c r="E85" s="18" t="n"/>
      <c r="F85" s="19" t="inlineStr">
        <is>
          <t>open</t>
        </is>
      </c>
      <c r="G85" s="19" t="inlineStr">
        <is>
          <t>Qs</t>
        </is>
      </c>
      <c r="H85" s="19" t="inlineStr">
        <is>
          <t>Ans</t>
        </is>
      </c>
      <c r="I85" s="20" t="inlineStr">
        <is>
          <t>Arc Length and Sector Area (Yr 2 set)</t>
        </is>
      </c>
      <c r="J85" s="19" t="inlineStr">
        <is>
          <t>QP</t>
        </is>
      </c>
      <c r="K85" s="19" t="inlineStr">
        <is>
          <t>MS</t>
        </is>
      </c>
      <c r="L85" s="19" t="inlineStr">
        <is>
          <t>Ans</t>
        </is>
      </c>
      <c r="M85" t="inlineStr">
        <is>
          <t>P5</t>
        </is>
      </c>
      <c r="N85" t="inlineStr">
        <is>
          <t>Pure</t>
        </is>
      </c>
    </row>
    <row r="86">
      <c r="A86" s="15" t="inlineStr">
        <is>
          <t>P5.1</t>
        </is>
      </c>
      <c r="B86" s="15" t="n">
        <v>2</v>
      </c>
      <c r="C86" s="16" t="inlineStr">
        <is>
          <t>Areas of segments</t>
        </is>
      </c>
      <c r="D86" s="17" t="n"/>
      <c r="E86" s="18" t="n"/>
      <c r="F86" s="19" t="inlineStr">
        <is>
          <t>open</t>
        </is>
      </c>
      <c r="G86" s="19" t="inlineStr">
        <is>
          <t>Qs</t>
        </is>
      </c>
      <c r="H86" s="19" t="inlineStr">
        <is>
          <t>Ans</t>
        </is>
      </c>
      <c r="I86" s="20" t="inlineStr">
        <is>
          <t>Arc Length and Sector Area (Yr 2 set)</t>
        </is>
      </c>
      <c r="J86" s="19" t="inlineStr">
        <is>
          <t>QP</t>
        </is>
      </c>
      <c r="K86" s="19" t="inlineStr">
        <is>
          <t>MS</t>
        </is>
      </c>
      <c r="L86" s="19" t="inlineStr">
        <is>
          <t>Ans</t>
        </is>
      </c>
      <c r="M86" t="inlineStr">
        <is>
          <t>P5</t>
        </is>
      </c>
      <c r="N86" t="inlineStr">
        <is>
          <t>Pure</t>
        </is>
      </c>
    </row>
    <row r="87">
      <c r="A87" s="15" t="inlineStr">
        <is>
          <t>P5.2</t>
        </is>
      </c>
      <c r="B87" s="15" t="n">
        <v>2</v>
      </c>
      <c r="C87" s="16" t="inlineStr">
        <is>
          <t>Small angle approximations</t>
        </is>
      </c>
      <c r="D87" s="17" t="n"/>
      <c r="E87" s="18" t="n"/>
      <c r="F87" s="19" t="inlineStr">
        <is>
          <t>open</t>
        </is>
      </c>
      <c r="G87" s="19" t="inlineStr">
        <is>
          <t>Qs</t>
        </is>
      </c>
      <c r="H87" s="19" t="inlineStr">
        <is>
          <t>Ans</t>
        </is>
      </c>
      <c r="I87" s="20" t="inlineStr">
        <is>
          <t>Small Angle Approximation (Yr 2 set)</t>
        </is>
      </c>
      <c r="J87" s="19" t="inlineStr">
        <is>
          <t>QP</t>
        </is>
      </c>
      <c r="K87" s="19" t="inlineStr">
        <is>
          <t>MS</t>
        </is>
      </c>
      <c r="L87" s="19" t="inlineStr">
        <is>
          <t>Ans</t>
        </is>
      </c>
      <c r="M87" t="inlineStr">
        <is>
          <t>P5</t>
        </is>
      </c>
      <c r="N87" t="inlineStr">
        <is>
          <t>Pure</t>
        </is>
      </c>
    </row>
    <row r="88">
      <c r="A88" s="15" t="inlineStr">
        <is>
          <t>P5.3</t>
        </is>
      </c>
      <c r="B88" s="15" t="n">
        <v>1</v>
      </c>
      <c r="C88" s="16" t="inlineStr">
        <is>
          <t>Graphs of sin, cos and tan (symmetry and periodicity)</t>
        </is>
      </c>
      <c r="D88" s="17" t="n"/>
      <c r="E88" s="18" t="n"/>
      <c r="F88" s="19" t="inlineStr">
        <is>
          <t>open</t>
        </is>
      </c>
      <c r="G88" s="19" t="inlineStr">
        <is>
          <t>Qs</t>
        </is>
      </c>
      <c r="H88" s="19" t="inlineStr">
        <is>
          <t>Ans</t>
        </is>
      </c>
      <c r="I88" s="21" t="inlineStr">
        <is>
          <t>no PMT sheet</t>
        </is>
      </c>
      <c r="J88" s="22" t="n"/>
      <c r="K88" s="22" t="n"/>
      <c r="L88" s="22" t="n"/>
      <c r="M88" t="inlineStr">
        <is>
          <t>P5</t>
        </is>
      </c>
      <c r="N88" t="inlineStr">
        <is>
          <t>Pure</t>
        </is>
      </c>
    </row>
    <row r="89">
      <c r="A89" s="15" t="inlineStr">
        <is>
          <t>P5.3</t>
        </is>
      </c>
      <c r="B89" s="15" t="n">
        <v>1</v>
      </c>
      <c r="C89" s="16" t="inlineStr">
        <is>
          <t>Transforming trig graphs</t>
        </is>
      </c>
      <c r="D89" s="17" t="n"/>
      <c r="E89" s="18" t="n"/>
      <c r="F89" s="19" t="inlineStr">
        <is>
          <t>open</t>
        </is>
      </c>
      <c r="G89" s="19" t="inlineStr">
        <is>
          <t>Qs</t>
        </is>
      </c>
      <c r="H89" s="19" t="inlineStr">
        <is>
          <t>Ans</t>
        </is>
      </c>
      <c r="I89" s="21" t="inlineStr">
        <is>
          <t>no PMT sheet</t>
        </is>
      </c>
      <c r="J89" s="22" t="n"/>
      <c r="K89" s="22" t="n"/>
      <c r="L89" s="22" t="n"/>
      <c r="M89" t="inlineStr">
        <is>
          <t>P5</t>
        </is>
      </c>
      <c r="N89" t="inlineStr">
        <is>
          <t>Pure</t>
        </is>
      </c>
    </row>
    <row r="90">
      <c r="A90" s="15" t="inlineStr">
        <is>
          <t>P5.3</t>
        </is>
      </c>
      <c r="B90" s="15" t="n">
        <v>1</v>
      </c>
      <c r="C90" s="16" t="inlineStr">
        <is>
          <t>Exact values of sin, cos and tan</t>
        </is>
      </c>
      <c r="D90" s="17" t="n"/>
      <c r="E90" s="18" t="n"/>
      <c r="F90" s="19" t="inlineStr">
        <is>
          <t>open</t>
        </is>
      </c>
      <c r="G90" s="19" t="inlineStr">
        <is>
          <t>Qs</t>
        </is>
      </c>
      <c r="H90" s="19" t="inlineStr">
        <is>
          <t>Ans</t>
        </is>
      </c>
      <c r="I90" s="20" t="inlineStr">
        <is>
          <t>Trigonometric Equations</t>
        </is>
      </c>
      <c r="J90" s="19" t="inlineStr">
        <is>
          <t>QP</t>
        </is>
      </c>
      <c r="K90" s="19" t="inlineStr">
        <is>
          <t>MS</t>
        </is>
      </c>
      <c r="L90" s="19" t="inlineStr">
        <is>
          <t>Ans</t>
        </is>
      </c>
      <c r="M90" t="inlineStr">
        <is>
          <t>P5</t>
        </is>
      </c>
      <c r="N90" t="inlineStr">
        <is>
          <t>Pure</t>
        </is>
      </c>
    </row>
    <row r="91">
      <c r="A91" s="15" t="inlineStr">
        <is>
          <t>P5.4</t>
        </is>
      </c>
      <c r="B91" s="15" t="n">
        <v>2</v>
      </c>
      <c r="C91" s="16" t="inlineStr">
        <is>
          <t>Sec, cosec and cot: definitions and exact values</t>
        </is>
      </c>
      <c r="D91" s="17" t="n"/>
      <c r="E91" s="18" t="n"/>
      <c r="F91" s="19" t="inlineStr">
        <is>
          <t>open</t>
        </is>
      </c>
      <c r="G91" s="19" t="inlineStr">
        <is>
          <t>Qs</t>
        </is>
      </c>
      <c r="H91" s="19" t="inlineStr">
        <is>
          <t>Ans</t>
        </is>
      </c>
      <c r="I91" s="20" t="inlineStr">
        <is>
          <t>Trigonometric Identities (Yr 2 set)</t>
        </is>
      </c>
      <c r="J91" s="19" t="inlineStr">
        <is>
          <t>QP</t>
        </is>
      </c>
      <c r="K91" s="19" t="inlineStr">
        <is>
          <t>MS</t>
        </is>
      </c>
      <c r="L91" s="19" t="inlineStr">
        <is>
          <t>Ans</t>
        </is>
      </c>
      <c r="M91" t="inlineStr">
        <is>
          <t>P5</t>
        </is>
      </c>
      <c r="N91" t="inlineStr">
        <is>
          <t>Pure</t>
        </is>
      </c>
    </row>
    <row r="92">
      <c r="A92" s="15" t="inlineStr">
        <is>
          <t>P5.4</t>
        </is>
      </c>
      <c r="B92" s="15" t="n">
        <v>2</v>
      </c>
      <c r="C92" s="16" t="inlineStr">
        <is>
          <t>Graphs of sec x, cosec x and cot x</t>
        </is>
      </c>
      <c r="D92" s="17" t="n"/>
      <c r="E92" s="18" t="n"/>
      <c r="F92" s="19" t="inlineStr">
        <is>
          <t>open</t>
        </is>
      </c>
      <c r="G92" s="19" t="inlineStr">
        <is>
          <t>Qs</t>
        </is>
      </c>
      <c r="H92" s="19" t="inlineStr">
        <is>
          <t>Ans</t>
        </is>
      </c>
      <c r="I92" s="20" t="inlineStr">
        <is>
          <t>Trigonometric Identities (Yr 2 set)</t>
        </is>
      </c>
      <c r="J92" s="19" t="inlineStr">
        <is>
          <t>QP</t>
        </is>
      </c>
      <c r="K92" s="19" t="inlineStr">
        <is>
          <t>MS</t>
        </is>
      </c>
      <c r="L92" s="19" t="inlineStr">
        <is>
          <t>Ans</t>
        </is>
      </c>
      <c r="M92" t="inlineStr">
        <is>
          <t>P5</t>
        </is>
      </c>
      <c r="N92" t="inlineStr">
        <is>
          <t>Pure</t>
        </is>
      </c>
    </row>
    <row r="93">
      <c r="A93" s="15" t="inlineStr">
        <is>
          <t>P5.4</t>
        </is>
      </c>
      <c r="B93" s="15" t="n">
        <v>2</v>
      </c>
      <c r="C93" s="16" t="inlineStr">
        <is>
          <t>Inverse trig functions: arcsin, arccos, arctan (domain, range, graphs)</t>
        </is>
      </c>
      <c r="D93" s="17" t="n"/>
      <c r="E93" s="18" t="n"/>
      <c r="F93" s="19" t="inlineStr">
        <is>
          <t>open</t>
        </is>
      </c>
      <c r="G93" s="19" t="inlineStr">
        <is>
          <t>Qs</t>
        </is>
      </c>
      <c r="H93" s="19" t="inlineStr">
        <is>
          <t>Ans</t>
        </is>
      </c>
      <c r="I93" s="20" t="inlineStr">
        <is>
          <t>Trigonometric Identities (Yr 2 set)</t>
        </is>
      </c>
      <c r="J93" s="19" t="inlineStr">
        <is>
          <t>QP</t>
        </is>
      </c>
      <c r="K93" s="19" t="inlineStr">
        <is>
          <t>MS</t>
        </is>
      </c>
      <c r="L93" s="19" t="inlineStr">
        <is>
          <t>Ans</t>
        </is>
      </c>
      <c r="M93" t="inlineStr">
        <is>
          <t>P5</t>
        </is>
      </c>
      <c r="N93" t="inlineStr">
        <is>
          <t>Pure</t>
        </is>
      </c>
    </row>
    <row r="94">
      <c r="A94" s="15" t="inlineStr">
        <is>
          <t>P5.5</t>
        </is>
      </c>
      <c r="B94" s="15" t="n">
        <v>1</v>
      </c>
      <c r="C94" s="16" t="inlineStr">
        <is>
          <t>Identities tan θ = sin θ / cos θ and sin²θ + cos²θ = 1</t>
        </is>
      </c>
      <c r="D94" s="17" t="n"/>
      <c r="E94" s="18" t="n"/>
      <c r="F94" s="19" t="inlineStr">
        <is>
          <t>open</t>
        </is>
      </c>
      <c r="G94" s="19" t="inlineStr">
        <is>
          <t>Qs</t>
        </is>
      </c>
      <c r="H94" s="19" t="inlineStr">
        <is>
          <t>Ans</t>
        </is>
      </c>
      <c r="I94" s="20" t="inlineStr">
        <is>
          <t>Trigonometric Identities</t>
        </is>
      </c>
      <c r="J94" s="19" t="inlineStr">
        <is>
          <t>QP</t>
        </is>
      </c>
      <c r="K94" s="19" t="inlineStr">
        <is>
          <t>MS</t>
        </is>
      </c>
      <c r="L94" s="19" t="inlineStr">
        <is>
          <t>Ans</t>
        </is>
      </c>
      <c r="M94" t="inlineStr">
        <is>
          <t>P5</t>
        </is>
      </c>
      <c r="N94" t="inlineStr">
        <is>
          <t>Pure</t>
        </is>
      </c>
    </row>
    <row r="95">
      <c r="A95" s="15" t="inlineStr">
        <is>
          <t>P5.5</t>
        </is>
      </c>
      <c r="B95" s="15" t="n">
        <v>2</v>
      </c>
      <c r="C95" s="16" t="inlineStr">
        <is>
          <t>Identities sec²θ = 1 + tan²θ and cosec²θ = 1 + cot²θ</t>
        </is>
      </c>
      <c r="D95" s="17" t="n"/>
      <c r="E95" s="18" t="n"/>
      <c r="F95" s="19" t="inlineStr">
        <is>
          <t>open</t>
        </is>
      </c>
      <c r="G95" s="19" t="inlineStr">
        <is>
          <t>Qs</t>
        </is>
      </c>
      <c r="H95" s="19" t="inlineStr">
        <is>
          <t>Ans</t>
        </is>
      </c>
      <c r="I95" s="20" t="inlineStr">
        <is>
          <t>Trigonometric Identities (Yr 2 set)</t>
        </is>
      </c>
      <c r="J95" s="19" t="inlineStr">
        <is>
          <t>QP</t>
        </is>
      </c>
      <c r="K95" s="19" t="inlineStr">
        <is>
          <t>MS</t>
        </is>
      </c>
      <c r="L95" s="19" t="inlineStr">
        <is>
          <t>Ans</t>
        </is>
      </c>
      <c r="M95" t="inlineStr">
        <is>
          <t>P5</t>
        </is>
      </c>
      <c r="N95" t="inlineStr">
        <is>
          <t>Pure</t>
        </is>
      </c>
    </row>
    <row r="96">
      <c r="A96" s="15" t="inlineStr">
        <is>
          <t>P5.6</t>
        </is>
      </c>
      <c r="B96" s="15" t="n">
        <v>2</v>
      </c>
      <c r="C96" s="16" t="inlineStr">
        <is>
          <t>Addition formulae: sin(A ± B), cos(A ± B), tan(A ± B)</t>
        </is>
      </c>
      <c r="D96" s="17" t="n"/>
      <c r="E96" s="18" t="n"/>
      <c r="F96" s="19" t="inlineStr">
        <is>
          <t>open</t>
        </is>
      </c>
      <c r="G96" s="19" t="inlineStr">
        <is>
          <t>Qs</t>
        </is>
      </c>
      <c r="H96" s="19" t="inlineStr">
        <is>
          <t>Ans</t>
        </is>
      </c>
      <c r="I96" s="20" t="inlineStr">
        <is>
          <t>Trigonometric Identities (Yr 2 set)</t>
        </is>
      </c>
      <c r="J96" s="19" t="inlineStr">
        <is>
          <t>QP</t>
        </is>
      </c>
      <c r="K96" s="19" t="inlineStr">
        <is>
          <t>MS</t>
        </is>
      </c>
      <c r="L96" s="19" t="inlineStr">
        <is>
          <t>Ans</t>
        </is>
      </c>
      <c r="M96" t="inlineStr">
        <is>
          <t>P5</t>
        </is>
      </c>
      <c r="N96" t="inlineStr">
        <is>
          <t>Pure</t>
        </is>
      </c>
    </row>
    <row r="97">
      <c r="A97" s="15" t="inlineStr">
        <is>
          <t>P5.6</t>
        </is>
      </c>
      <c r="B97" s="15" t="n">
        <v>2</v>
      </c>
      <c r="C97" s="16" t="inlineStr">
        <is>
          <t>Double angle formulae</t>
        </is>
      </c>
      <c r="D97" s="17" t="n"/>
      <c r="E97" s="18" t="n"/>
      <c r="F97" s="19" t="inlineStr">
        <is>
          <t>open</t>
        </is>
      </c>
      <c r="G97" s="19" t="inlineStr">
        <is>
          <t>Qs</t>
        </is>
      </c>
      <c r="H97" s="19" t="inlineStr">
        <is>
          <t>Ans</t>
        </is>
      </c>
      <c r="I97" s="20" t="inlineStr">
        <is>
          <t>Trigonometric Identities (Yr 2 set)</t>
        </is>
      </c>
      <c r="J97" s="19" t="inlineStr">
        <is>
          <t>QP</t>
        </is>
      </c>
      <c r="K97" s="19" t="inlineStr">
        <is>
          <t>MS</t>
        </is>
      </c>
      <c r="L97" s="19" t="inlineStr">
        <is>
          <t>Ans</t>
        </is>
      </c>
      <c r="M97" t="inlineStr">
        <is>
          <t>P5</t>
        </is>
      </c>
      <c r="N97" t="inlineStr">
        <is>
          <t>Pure</t>
        </is>
      </c>
    </row>
    <row r="98">
      <c r="A98" s="15" t="inlineStr">
        <is>
          <t>P5.6</t>
        </is>
      </c>
      <c r="B98" s="15" t="n">
        <v>2</v>
      </c>
      <c r="C98" s="16" t="inlineStr">
        <is>
          <t>a cos θ + b sin θ in the form R cos(θ ± α) or R sin(θ ± α)</t>
        </is>
      </c>
      <c r="D98" s="17" t="n"/>
      <c r="E98" s="18" t="n"/>
      <c r="F98" s="19" t="inlineStr">
        <is>
          <t>open</t>
        </is>
      </c>
      <c r="G98" s="19" t="inlineStr">
        <is>
          <t>Qs</t>
        </is>
      </c>
      <c r="H98" s="19" t="inlineStr">
        <is>
          <t>Ans</t>
        </is>
      </c>
      <c r="I98" s="20" t="inlineStr">
        <is>
          <t>Trigonometric Equations (Yr 2 set)</t>
        </is>
      </c>
      <c r="J98" s="19" t="inlineStr">
        <is>
          <t>QP</t>
        </is>
      </c>
      <c r="K98" s="19" t="inlineStr">
        <is>
          <t>MS</t>
        </is>
      </c>
      <c r="L98" s="19" t="inlineStr">
        <is>
          <t>Ans</t>
        </is>
      </c>
      <c r="M98" t="inlineStr">
        <is>
          <t>P5</t>
        </is>
      </c>
      <c r="N98" t="inlineStr">
        <is>
          <t>Pure</t>
        </is>
      </c>
    </row>
    <row r="99">
      <c r="A99" s="15" t="inlineStr">
        <is>
          <t>P5.7</t>
        </is>
      </c>
      <c r="B99" s="15" t="n">
        <v>1</v>
      </c>
      <c r="C99" s="16" t="inlineStr">
        <is>
          <t>Solving trig equations (incl. multiples of the angle)</t>
        </is>
      </c>
      <c r="D99" s="17" t="n"/>
      <c r="E99" s="18" t="n"/>
      <c r="F99" s="19" t="inlineStr">
        <is>
          <t>open</t>
        </is>
      </c>
      <c r="G99" s="19" t="inlineStr">
        <is>
          <t>Qs (topic)</t>
        </is>
      </c>
      <c r="H99" s="19" t="inlineStr">
        <is>
          <t>Ans</t>
        </is>
      </c>
      <c r="I99" s="20" t="inlineStr">
        <is>
          <t>Trigonometric Equations</t>
        </is>
      </c>
      <c r="J99" s="19" t="inlineStr">
        <is>
          <t>QP</t>
        </is>
      </c>
      <c r="K99" s="19" t="inlineStr">
        <is>
          <t>MS</t>
        </is>
      </c>
      <c r="L99" s="19" t="inlineStr">
        <is>
          <t>Ans</t>
        </is>
      </c>
      <c r="M99" t="inlineStr">
        <is>
          <t>P5</t>
        </is>
      </c>
      <c r="N99" t="inlineStr">
        <is>
          <t>Pure</t>
        </is>
      </c>
    </row>
    <row r="100">
      <c r="A100" s="15" t="inlineStr">
        <is>
          <t>P5.7</t>
        </is>
      </c>
      <c r="B100" s="15" t="n">
        <v>1</v>
      </c>
      <c r="C100" s="16" t="inlineStr">
        <is>
          <t>Harder trig equations (quadratics in sin, cos, tan)</t>
        </is>
      </c>
      <c r="D100" s="17" t="n"/>
      <c r="E100" s="18" t="n"/>
      <c r="F100" s="19" t="inlineStr">
        <is>
          <t>open</t>
        </is>
      </c>
      <c r="G100" s="19" t="inlineStr">
        <is>
          <t>Qs</t>
        </is>
      </c>
      <c r="H100" s="19" t="inlineStr">
        <is>
          <t>Ans</t>
        </is>
      </c>
      <c r="I100" s="20" t="inlineStr">
        <is>
          <t>Trigonometric Equations</t>
        </is>
      </c>
      <c r="J100" s="19" t="inlineStr">
        <is>
          <t>QP</t>
        </is>
      </c>
      <c r="K100" s="19" t="inlineStr">
        <is>
          <t>MS</t>
        </is>
      </c>
      <c r="L100" s="19" t="inlineStr">
        <is>
          <t>Ans</t>
        </is>
      </c>
      <c r="M100" t="inlineStr">
        <is>
          <t>P5</t>
        </is>
      </c>
      <c r="N100" t="inlineStr">
        <is>
          <t>Pure</t>
        </is>
      </c>
    </row>
    <row r="101">
      <c r="A101" s="15" t="inlineStr">
        <is>
          <t>P5.7</t>
        </is>
      </c>
      <c r="B101" s="15" t="n">
        <v>2</v>
      </c>
      <c r="C101" s="16" t="inlineStr">
        <is>
          <t>Trig equations in radians, with sec/cosec/cot and compound angles</t>
        </is>
      </c>
      <c r="D101" s="17" t="n"/>
      <c r="E101" s="18" t="n"/>
      <c r="F101" s="19" t="inlineStr">
        <is>
          <t>open</t>
        </is>
      </c>
      <c r="G101" s="19" t="inlineStr">
        <is>
          <t>Qs</t>
        </is>
      </c>
      <c r="H101" s="19" t="inlineStr">
        <is>
          <t>Ans</t>
        </is>
      </c>
      <c r="I101" s="20" t="inlineStr">
        <is>
          <t>Trigonometric Equations (Yr 2 set)</t>
        </is>
      </c>
      <c r="J101" s="19" t="inlineStr">
        <is>
          <t>QP</t>
        </is>
      </c>
      <c r="K101" s="19" t="inlineStr">
        <is>
          <t>MS</t>
        </is>
      </c>
      <c r="L101" s="19" t="inlineStr">
        <is>
          <t>Ans</t>
        </is>
      </c>
      <c r="M101" t="inlineStr">
        <is>
          <t>P5</t>
        </is>
      </c>
      <c r="N101" t="inlineStr">
        <is>
          <t>Pure</t>
        </is>
      </c>
    </row>
    <row r="102">
      <c r="A102" s="15" t="inlineStr">
        <is>
          <t>P5.8</t>
        </is>
      </c>
      <c r="B102" s="15" t="n">
        <v>2</v>
      </c>
      <c r="C102" s="16" t="inlineStr">
        <is>
          <t>Proving trig identities</t>
        </is>
      </c>
      <c r="D102" s="17" t="n"/>
      <c r="E102" s="18" t="n"/>
      <c r="F102" s="19" t="inlineStr">
        <is>
          <t>open</t>
        </is>
      </c>
      <c r="G102" s="19" t="inlineStr">
        <is>
          <t>Qs</t>
        </is>
      </c>
      <c r="H102" s="19" t="inlineStr">
        <is>
          <t>Ans</t>
        </is>
      </c>
      <c r="I102" s="20" t="inlineStr">
        <is>
          <t>Trigonometric Identities (Yr 2 set)</t>
        </is>
      </c>
      <c r="J102" s="19" t="inlineStr">
        <is>
          <t>QP</t>
        </is>
      </c>
      <c r="K102" s="19" t="inlineStr">
        <is>
          <t>MS</t>
        </is>
      </c>
      <c r="L102" s="19" t="inlineStr">
        <is>
          <t>Ans</t>
        </is>
      </c>
      <c r="M102" t="inlineStr">
        <is>
          <t>P5</t>
        </is>
      </c>
      <c r="N102" t="inlineStr">
        <is>
          <t>Pure</t>
        </is>
      </c>
    </row>
    <row r="103">
      <c r="A103" s="15" t="inlineStr">
        <is>
          <t>P5.9</t>
        </is>
      </c>
      <c r="B103" s="15" t="n">
        <v>2</v>
      </c>
      <c r="C103" s="16" t="inlineStr">
        <is>
          <t>Modelling with trig functions</t>
        </is>
      </c>
      <c r="D103" s="17" t="n"/>
      <c r="E103" s="18" t="n"/>
      <c r="F103" s="19" t="inlineStr">
        <is>
          <t>open</t>
        </is>
      </c>
      <c r="G103" s="19" t="inlineStr">
        <is>
          <t>Qs</t>
        </is>
      </c>
      <c r="H103" s="19" t="inlineStr">
        <is>
          <t>Ans</t>
        </is>
      </c>
      <c r="I103" s="20" t="inlineStr">
        <is>
          <t>Modelling with Trigonometric Functions (Yr 2 set)</t>
        </is>
      </c>
      <c r="J103" s="19" t="inlineStr">
        <is>
          <t>QP</t>
        </is>
      </c>
      <c r="K103" s="19" t="inlineStr">
        <is>
          <t>MS</t>
        </is>
      </c>
      <c r="L103" s="19" t="inlineStr">
        <is>
          <t>Ans</t>
        </is>
      </c>
      <c r="M103" t="inlineStr">
        <is>
          <t>P5</t>
        </is>
      </c>
      <c r="N103" t="inlineStr">
        <is>
          <t>Pure</t>
        </is>
      </c>
    </row>
    <row r="104" ht="24" customHeight="1">
      <c r="A104" s="13" t="n"/>
      <c r="B104" s="14" t="inlineStr">
        <is>
          <t>PURE 6   ·   Exponentials and logarithms   ·   Paper 1 &amp; 2   ·   8 topics (Yr 1: 8)</t>
        </is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</row>
    <row r="105">
      <c r="A105" s="15" t="inlineStr">
        <is>
          <t>P6.1</t>
        </is>
      </c>
      <c r="B105" s="15" t="n">
        <v>1</v>
      </c>
      <c r="C105" s="16" t="inlineStr">
        <is>
          <t>Exponential functions y = aˣ and their graphs</t>
        </is>
      </c>
      <c r="D105" s="17" t="n"/>
      <c r="E105" s="18" t="n"/>
      <c r="F105" s="19" t="inlineStr">
        <is>
          <t>open</t>
        </is>
      </c>
      <c r="G105" s="19" t="inlineStr">
        <is>
          <t>Qs</t>
        </is>
      </c>
      <c r="H105" s="19" t="inlineStr">
        <is>
          <t>Ans</t>
        </is>
      </c>
      <c r="I105" s="20" t="inlineStr">
        <is>
          <t>Exponential Equations</t>
        </is>
      </c>
      <c r="J105" s="19" t="inlineStr">
        <is>
          <t>QP</t>
        </is>
      </c>
      <c r="K105" s="19" t="inlineStr">
        <is>
          <t>MS</t>
        </is>
      </c>
      <c r="L105" s="19" t="inlineStr">
        <is>
          <t>Ans</t>
        </is>
      </c>
      <c r="M105" t="inlineStr">
        <is>
          <t>P6</t>
        </is>
      </c>
      <c r="N105" t="inlineStr">
        <is>
          <t>Pure</t>
        </is>
      </c>
    </row>
    <row r="106">
      <c r="A106" s="15" t="inlineStr">
        <is>
          <t>P6.1</t>
        </is>
      </c>
      <c r="B106" s="15" t="n">
        <v>1</v>
      </c>
      <c r="C106" s="16" t="inlineStr">
        <is>
          <t>y = eˣ, its graph and its gradient (d/dx eᵏˣ = keᵏˣ)</t>
        </is>
      </c>
      <c r="D106" s="17" t="n"/>
      <c r="E106" s="18" t="n"/>
      <c r="F106" s="19" t="inlineStr">
        <is>
          <t>open</t>
        </is>
      </c>
      <c r="G106" s="19" t="inlineStr">
        <is>
          <t>Qs</t>
        </is>
      </c>
      <c r="H106" s="19" t="inlineStr">
        <is>
          <t>Ans</t>
        </is>
      </c>
      <c r="I106" s="20" t="inlineStr">
        <is>
          <t>Exponential Equations</t>
        </is>
      </c>
      <c r="J106" s="19" t="inlineStr">
        <is>
          <t>QP</t>
        </is>
      </c>
      <c r="K106" s="19" t="inlineStr">
        <is>
          <t>MS</t>
        </is>
      </c>
      <c r="L106" s="19" t="inlineStr">
        <is>
          <t>Ans</t>
        </is>
      </c>
      <c r="M106" t="inlineStr">
        <is>
          <t>P6</t>
        </is>
      </c>
      <c r="N106" t="inlineStr">
        <is>
          <t>Pure</t>
        </is>
      </c>
    </row>
    <row r="107">
      <c r="A107" s="15" t="inlineStr">
        <is>
          <t>P6.3</t>
        </is>
      </c>
      <c r="B107" s="15" t="n">
        <v>1</v>
      </c>
      <c r="C107" s="16" t="inlineStr">
        <is>
          <t>Logarithms as the inverse of aˣ</t>
        </is>
      </c>
      <c r="D107" s="17" t="n"/>
      <c r="E107" s="18" t="n"/>
      <c r="F107" s="19" t="inlineStr">
        <is>
          <t>open</t>
        </is>
      </c>
      <c r="G107" s="19" t="inlineStr">
        <is>
          <t>Qs</t>
        </is>
      </c>
      <c r="H107" s="19" t="inlineStr">
        <is>
          <t>Ans</t>
        </is>
      </c>
      <c r="I107" s="20" t="inlineStr">
        <is>
          <t>Laws of Logarithms</t>
        </is>
      </c>
      <c r="J107" s="19" t="inlineStr">
        <is>
          <t>QP</t>
        </is>
      </c>
      <c r="K107" s="19" t="inlineStr">
        <is>
          <t>MS</t>
        </is>
      </c>
      <c r="L107" s="19" t="inlineStr">
        <is>
          <t>Ans</t>
        </is>
      </c>
      <c r="M107" t="inlineStr">
        <is>
          <t>P6</t>
        </is>
      </c>
      <c r="N107" t="inlineStr">
        <is>
          <t>Pure</t>
        </is>
      </c>
    </row>
    <row r="108">
      <c r="A108" s="15" t="inlineStr">
        <is>
          <t>P6.4</t>
        </is>
      </c>
      <c r="B108" s="15" t="n">
        <v>1</v>
      </c>
      <c r="C108" s="16" t="inlineStr">
        <is>
          <t>Laws of logarithms</t>
        </is>
      </c>
      <c r="D108" s="17" t="n"/>
      <c r="E108" s="18" t="n"/>
      <c r="F108" s="19" t="inlineStr">
        <is>
          <t>open</t>
        </is>
      </c>
      <c r="G108" s="19" t="inlineStr">
        <is>
          <t>Qs</t>
        </is>
      </c>
      <c r="H108" s="19" t="inlineStr">
        <is>
          <t>Ans</t>
        </is>
      </c>
      <c r="I108" s="20" t="inlineStr">
        <is>
          <t>Laws of Logarithms</t>
        </is>
      </c>
      <c r="J108" s="19" t="inlineStr">
        <is>
          <t>QP</t>
        </is>
      </c>
      <c r="K108" s="19" t="inlineStr">
        <is>
          <t>MS</t>
        </is>
      </c>
      <c r="L108" s="19" t="inlineStr">
        <is>
          <t>Ans</t>
        </is>
      </c>
      <c r="M108" t="inlineStr">
        <is>
          <t>P6</t>
        </is>
      </c>
      <c r="N108" t="inlineStr">
        <is>
          <t>Pure</t>
        </is>
      </c>
    </row>
    <row r="109">
      <c r="A109" s="15" t="inlineStr">
        <is>
          <t>P6.5</t>
        </is>
      </c>
      <c r="B109" s="15" t="n">
        <v>1</v>
      </c>
      <c r="C109" s="16" t="inlineStr">
        <is>
          <t>Solving aˣ = b using logarithms</t>
        </is>
      </c>
      <c r="D109" s="17" t="n"/>
      <c r="E109" s="18" t="n"/>
      <c r="F109" s="19" t="inlineStr">
        <is>
          <t>open</t>
        </is>
      </c>
      <c r="G109" s="19" t="inlineStr">
        <is>
          <t>Qs</t>
        </is>
      </c>
      <c r="H109" s="19" t="inlineStr">
        <is>
          <t>Ans</t>
        </is>
      </c>
      <c r="I109" s="20" t="inlineStr">
        <is>
          <t>Exponential Equations</t>
        </is>
      </c>
      <c r="J109" s="19" t="inlineStr">
        <is>
          <t>QP</t>
        </is>
      </c>
      <c r="K109" s="19" t="inlineStr">
        <is>
          <t>MS</t>
        </is>
      </c>
      <c r="L109" s="19" t="inlineStr">
        <is>
          <t>Ans</t>
        </is>
      </c>
      <c r="M109" t="inlineStr">
        <is>
          <t>P6</t>
        </is>
      </c>
      <c r="N109" t="inlineStr">
        <is>
          <t>Pure</t>
        </is>
      </c>
    </row>
    <row r="110">
      <c r="A110" s="15" t="inlineStr">
        <is>
          <t>P6.3</t>
        </is>
      </c>
      <c r="B110" s="15" t="n">
        <v>1</v>
      </c>
      <c r="C110" s="16" t="inlineStr">
        <is>
          <t>Natural logs: solving e^(ax+b) = p and ln(ax + b) = q</t>
        </is>
      </c>
      <c r="D110" s="17" t="n"/>
      <c r="E110" s="18" t="n"/>
      <c r="F110" s="19" t="inlineStr">
        <is>
          <t>open</t>
        </is>
      </c>
      <c r="G110" s="19" t="inlineStr">
        <is>
          <t>Qs</t>
        </is>
      </c>
      <c r="H110" s="19" t="inlineStr">
        <is>
          <t>Ans</t>
        </is>
      </c>
      <c r="I110" s="20" t="inlineStr">
        <is>
          <t>Exponential Equations</t>
        </is>
      </c>
      <c r="J110" s="19" t="inlineStr">
        <is>
          <t>QP</t>
        </is>
      </c>
      <c r="K110" s="19" t="inlineStr">
        <is>
          <t>MS</t>
        </is>
      </c>
      <c r="L110" s="19" t="inlineStr">
        <is>
          <t>Ans</t>
        </is>
      </c>
      <c r="M110" t="inlineStr">
        <is>
          <t>P6</t>
        </is>
      </c>
      <c r="N110" t="inlineStr">
        <is>
          <t>Pure</t>
        </is>
      </c>
    </row>
    <row r="111">
      <c r="A111" s="15" t="inlineStr">
        <is>
          <t>P6.6</t>
        </is>
      </c>
      <c r="B111" s="15" t="n">
        <v>1</v>
      </c>
      <c r="C111" s="16" t="inlineStr">
        <is>
          <t>Log graphs for non-linear data (y = axⁿ and y = kbˣ)</t>
        </is>
      </c>
      <c r="D111" s="17" t="n"/>
      <c r="E111" s="18" t="n"/>
      <c r="F111" s="19" t="inlineStr">
        <is>
          <t>open</t>
        </is>
      </c>
      <c r="G111" s="19" t="inlineStr">
        <is>
          <t>Qs</t>
        </is>
      </c>
      <c r="H111" s="19" t="inlineStr">
        <is>
          <t>Ans</t>
        </is>
      </c>
      <c r="I111" s="20" t="inlineStr">
        <is>
          <t>Laws of Logarithms</t>
        </is>
      </c>
      <c r="J111" s="19" t="inlineStr">
        <is>
          <t>QP</t>
        </is>
      </c>
      <c r="K111" s="19" t="inlineStr">
        <is>
          <t>MS</t>
        </is>
      </c>
      <c r="L111" s="19" t="inlineStr">
        <is>
          <t>Ans</t>
        </is>
      </c>
      <c r="M111" t="inlineStr">
        <is>
          <t>P6</t>
        </is>
      </c>
      <c r="N111" t="inlineStr">
        <is>
          <t>Pure</t>
        </is>
      </c>
    </row>
    <row r="112">
      <c r="A112" s="15" t="inlineStr">
        <is>
          <t>P6.7</t>
        </is>
      </c>
      <c r="B112" s="15" t="n">
        <v>1</v>
      </c>
      <c r="C112" s="16" t="inlineStr">
        <is>
          <t>Exponential growth and decay models</t>
        </is>
      </c>
      <c r="D112" s="17" t="n"/>
      <c r="E112" s="18" t="n"/>
      <c r="F112" s="19" t="inlineStr">
        <is>
          <t>open</t>
        </is>
      </c>
      <c r="G112" s="19" t="inlineStr">
        <is>
          <t>Qs</t>
        </is>
      </c>
      <c r="H112" s="19" t="inlineStr">
        <is>
          <t>Ans</t>
        </is>
      </c>
      <c r="I112" s="20" t="inlineStr">
        <is>
          <t>Exponential Equations</t>
        </is>
      </c>
      <c r="J112" s="19" t="inlineStr">
        <is>
          <t>QP</t>
        </is>
      </c>
      <c r="K112" s="19" t="inlineStr">
        <is>
          <t>MS</t>
        </is>
      </c>
      <c r="L112" s="19" t="inlineStr">
        <is>
          <t>Ans</t>
        </is>
      </c>
      <c r="M112" t="inlineStr">
        <is>
          <t>P6</t>
        </is>
      </c>
      <c r="N112" t="inlineStr">
        <is>
          <t>Pure</t>
        </is>
      </c>
    </row>
    <row r="113" ht="24" customHeight="1">
      <c r="A113" s="13" t="n"/>
      <c r="B113" s="14" t="inlineStr">
        <is>
          <t>PURE 7   ·   Differentiation   ·   Paper 1 &amp; 2   ·   21 topics (Yr 1: 9 · Yr 2: 12)</t>
        </is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</row>
    <row r="114">
      <c r="A114" s="15" t="inlineStr">
        <is>
          <t>P7.1</t>
        </is>
      </c>
      <c r="B114" s="15" t="n">
        <v>1</v>
      </c>
      <c r="C114" s="16" t="inlineStr">
        <is>
          <t>Gradients of curves; the derivative as a rate of change</t>
        </is>
      </c>
      <c r="D114" s="17" t="n"/>
      <c r="E114" s="18" t="n"/>
      <c r="F114" s="19" t="inlineStr">
        <is>
          <t>open</t>
        </is>
      </c>
      <c r="G114" s="19" t="inlineStr">
        <is>
          <t>Qs</t>
        </is>
      </c>
      <c r="H114" s="19" t="inlineStr">
        <is>
          <t>Ans</t>
        </is>
      </c>
      <c r="I114" s="20" t="inlineStr">
        <is>
          <t>Basic Differentiation</t>
        </is>
      </c>
      <c r="J114" s="19" t="inlineStr">
        <is>
          <t>QP</t>
        </is>
      </c>
      <c r="K114" s="19" t="inlineStr">
        <is>
          <t>MS</t>
        </is>
      </c>
      <c r="L114" s="19" t="inlineStr">
        <is>
          <t>Ans</t>
        </is>
      </c>
      <c r="M114" t="inlineStr">
        <is>
          <t>P7</t>
        </is>
      </c>
      <c r="N114" t="inlineStr">
        <is>
          <t>Pure</t>
        </is>
      </c>
    </row>
    <row r="115">
      <c r="A115" s="15" t="inlineStr">
        <is>
          <t>P7.1</t>
        </is>
      </c>
      <c r="B115" s="15" t="n">
        <v>1</v>
      </c>
      <c r="C115" s="16" t="inlineStr">
        <is>
          <t>Differentiation from first principles (xⁿ)</t>
        </is>
      </c>
      <c r="D115" s="17" t="n"/>
      <c r="E115" s="18" t="n"/>
      <c r="F115" s="19" t="inlineStr">
        <is>
          <t>open</t>
        </is>
      </c>
      <c r="G115" s="19" t="inlineStr">
        <is>
          <t>Qs (topic)</t>
        </is>
      </c>
      <c r="H115" s="19" t="inlineStr">
        <is>
          <t>Ans</t>
        </is>
      </c>
      <c r="I115" s="20" t="inlineStr">
        <is>
          <t>Differentiation from First Principles</t>
        </is>
      </c>
      <c r="J115" s="19" t="inlineStr">
        <is>
          <t>QP</t>
        </is>
      </c>
      <c r="K115" s="19" t="inlineStr">
        <is>
          <t>MS</t>
        </is>
      </c>
      <c r="L115" s="19" t="inlineStr">
        <is>
          <t>Ans</t>
        </is>
      </c>
      <c r="M115" t="inlineStr">
        <is>
          <t>P7</t>
        </is>
      </c>
      <c r="N115" t="inlineStr">
        <is>
          <t>Pure</t>
        </is>
      </c>
    </row>
    <row r="116">
      <c r="A116" s="15" t="inlineStr">
        <is>
          <t>P7.1</t>
        </is>
      </c>
      <c r="B116" s="15" t="n">
        <v>2</v>
      </c>
      <c r="C116" s="16" t="inlineStr">
        <is>
          <t>Differentiation from first principles (sin x and cos x)</t>
        </is>
      </c>
      <c r="D116" s="17" t="n"/>
      <c r="E116" s="18" t="n"/>
      <c r="F116" s="19" t="inlineStr">
        <is>
          <t>open</t>
        </is>
      </c>
      <c r="G116" s="19" t="inlineStr">
        <is>
          <t>Qs</t>
        </is>
      </c>
      <c r="H116" s="19" t="inlineStr">
        <is>
          <t>Ans</t>
        </is>
      </c>
      <c r="I116" s="20" t="inlineStr">
        <is>
          <t>Differentiation from First Principles</t>
        </is>
      </c>
      <c r="J116" s="19" t="inlineStr">
        <is>
          <t>QP</t>
        </is>
      </c>
      <c r="K116" s="19" t="inlineStr">
        <is>
          <t>MS</t>
        </is>
      </c>
      <c r="L116" s="19" t="inlineStr">
        <is>
          <t>Ans</t>
        </is>
      </c>
      <c r="M116" t="inlineStr">
        <is>
          <t>P7</t>
        </is>
      </c>
      <c r="N116" t="inlineStr">
        <is>
          <t>Pure</t>
        </is>
      </c>
    </row>
    <row r="117">
      <c r="A117" s="15" t="inlineStr">
        <is>
          <t>P7.1</t>
        </is>
      </c>
      <c r="B117" s="15" t="n">
        <v>1</v>
      </c>
      <c r="C117" s="16" t="inlineStr">
        <is>
          <t>Sketching gradient functions</t>
        </is>
      </c>
      <c r="D117" s="17" t="n"/>
      <c r="E117" s="18" t="n"/>
      <c r="F117" s="19" t="inlineStr">
        <is>
          <t>open</t>
        </is>
      </c>
      <c r="G117" s="19" t="inlineStr">
        <is>
          <t>Qs</t>
        </is>
      </c>
      <c r="H117" s="19" t="inlineStr">
        <is>
          <t>Ans</t>
        </is>
      </c>
      <c r="I117" s="21" t="inlineStr">
        <is>
          <t>no PMT sheet</t>
        </is>
      </c>
      <c r="J117" s="22" t="n"/>
      <c r="K117" s="22" t="n"/>
      <c r="L117" s="22" t="n"/>
      <c r="M117" t="inlineStr">
        <is>
          <t>P7</t>
        </is>
      </c>
      <c r="N117" t="inlineStr">
        <is>
          <t>Pure</t>
        </is>
      </c>
    </row>
    <row r="118">
      <c r="A118" s="15" t="inlineStr">
        <is>
          <t>P7.1</t>
        </is>
      </c>
      <c r="B118" s="15" t="n">
        <v>1</v>
      </c>
      <c r="C118" s="16" t="inlineStr">
        <is>
          <t>Second derivatives</t>
        </is>
      </c>
      <c r="D118" s="17" t="n"/>
      <c r="E118" s="18" t="n"/>
      <c r="F118" s="19" t="inlineStr">
        <is>
          <t>open</t>
        </is>
      </c>
      <c r="G118" s="19" t="inlineStr">
        <is>
          <t>Qs</t>
        </is>
      </c>
      <c r="H118" s="19" t="inlineStr">
        <is>
          <t>Ans</t>
        </is>
      </c>
      <c r="I118" s="20" t="inlineStr">
        <is>
          <t>Stationary Points</t>
        </is>
      </c>
      <c r="J118" s="19" t="inlineStr">
        <is>
          <t>QP</t>
        </is>
      </c>
      <c r="K118" s="19" t="inlineStr">
        <is>
          <t>MS</t>
        </is>
      </c>
      <c r="L118" s="19" t="inlineStr">
        <is>
          <t>Ans</t>
        </is>
      </c>
      <c r="M118" t="inlineStr">
        <is>
          <t>P7</t>
        </is>
      </c>
      <c r="N118" t="inlineStr">
        <is>
          <t>Pure</t>
        </is>
      </c>
    </row>
    <row r="119">
      <c r="A119" s="15" t="inlineStr">
        <is>
          <t>P7.1</t>
        </is>
      </c>
      <c r="B119" s="15" t="n">
        <v>2</v>
      </c>
      <c r="C119" s="16" t="inlineStr">
        <is>
          <t>Concave and convex curves; points of inflection</t>
        </is>
      </c>
      <c r="D119" s="17" t="n"/>
      <c r="E119" s="18" t="n"/>
      <c r="F119" s="19" t="inlineStr">
        <is>
          <t>open</t>
        </is>
      </c>
      <c r="G119" s="19" t="inlineStr">
        <is>
          <t>Qs</t>
        </is>
      </c>
      <c r="H119" s="19" t="inlineStr">
        <is>
          <t>Ans</t>
        </is>
      </c>
      <c r="I119" s="20" t="inlineStr">
        <is>
          <t>Stationary Points</t>
        </is>
      </c>
      <c r="J119" s="19" t="inlineStr">
        <is>
          <t>QP</t>
        </is>
      </c>
      <c r="K119" s="19" t="inlineStr">
        <is>
          <t>MS</t>
        </is>
      </c>
      <c r="L119" s="19" t="inlineStr">
        <is>
          <t>Ans</t>
        </is>
      </c>
      <c r="M119" t="inlineStr">
        <is>
          <t>P7</t>
        </is>
      </c>
      <c r="N119" t="inlineStr">
        <is>
          <t>Pure</t>
        </is>
      </c>
    </row>
    <row r="120">
      <c r="A120" s="15" t="inlineStr">
        <is>
          <t>P7.2</t>
        </is>
      </c>
      <c r="B120" s="15" t="n">
        <v>1</v>
      </c>
      <c r="C120" s="16" t="inlineStr">
        <is>
          <t>Differentiating xⁿ and sums of terms</t>
        </is>
      </c>
      <c r="D120" s="17" t="n"/>
      <c r="E120" s="18" t="n"/>
      <c r="F120" s="19" t="inlineStr">
        <is>
          <t>open</t>
        </is>
      </c>
      <c r="G120" s="19" t="inlineStr">
        <is>
          <t>Qs</t>
        </is>
      </c>
      <c r="H120" s="19" t="inlineStr">
        <is>
          <t>Ans</t>
        </is>
      </c>
      <c r="I120" s="20" t="inlineStr">
        <is>
          <t>Basic Differentiation</t>
        </is>
      </c>
      <c r="J120" s="19" t="inlineStr">
        <is>
          <t>QP</t>
        </is>
      </c>
      <c r="K120" s="19" t="inlineStr">
        <is>
          <t>MS</t>
        </is>
      </c>
      <c r="L120" s="19" t="inlineStr">
        <is>
          <t>Ans</t>
        </is>
      </c>
      <c r="M120" t="inlineStr">
        <is>
          <t>P7</t>
        </is>
      </c>
      <c r="N120" t="inlineStr">
        <is>
          <t>Pure</t>
        </is>
      </c>
    </row>
    <row r="121">
      <c r="A121" s="15" t="inlineStr">
        <is>
          <t>P7.2</t>
        </is>
      </c>
      <c r="B121" s="15" t="n">
        <v>2</v>
      </c>
      <c r="C121" s="16" t="inlineStr">
        <is>
          <t>Differentiating sin kx, cos kx and tan kx</t>
        </is>
      </c>
      <c r="D121" s="17" t="n"/>
      <c r="E121" s="18" t="n"/>
      <c r="F121" s="19" t="inlineStr">
        <is>
          <t>open</t>
        </is>
      </c>
      <c r="G121" s="19" t="inlineStr">
        <is>
          <t>Qs</t>
        </is>
      </c>
      <c r="H121" s="19" t="inlineStr">
        <is>
          <t>Ans</t>
        </is>
      </c>
      <c r="I121" s="20" t="inlineStr">
        <is>
          <t>Chain Rule (Yr 2 set)</t>
        </is>
      </c>
      <c r="J121" s="19" t="inlineStr">
        <is>
          <t>QP</t>
        </is>
      </c>
      <c r="K121" s="19" t="inlineStr">
        <is>
          <t>MS</t>
        </is>
      </c>
      <c r="L121" s="19" t="inlineStr">
        <is>
          <t>Ans</t>
        </is>
      </c>
      <c r="M121" t="inlineStr">
        <is>
          <t>P7</t>
        </is>
      </c>
      <c r="N121" t="inlineStr">
        <is>
          <t>Pure</t>
        </is>
      </c>
    </row>
    <row r="122">
      <c r="A122" s="15" t="inlineStr">
        <is>
          <t>P7.2</t>
        </is>
      </c>
      <c r="B122" s="15" t="n">
        <v>2</v>
      </c>
      <c r="C122" s="16" t="inlineStr">
        <is>
          <t>Differentiating eᵏˣ, aᵏˣ and ln x</t>
        </is>
      </c>
      <c r="D122" s="17" t="n"/>
      <c r="E122" s="18" t="n"/>
      <c r="F122" s="19" t="inlineStr">
        <is>
          <t>open</t>
        </is>
      </c>
      <c r="G122" s="19" t="inlineStr">
        <is>
          <t>Qs</t>
        </is>
      </c>
      <c r="H122" s="19" t="inlineStr">
        <is>
          <t>Ans</t>
        </is>
      </c>
      <c r="I122" s="20" t="inlineStr">
        <is>
          <t>Chain Rule (Yr 2 set)</t>
        </is>
      </c>
      <c r="J122" s="19" t="inlineStr">
        <is>
          <t>QP</t>
        </is>
      </c>
      <c r="K122" s="19" t="inlineStr">
        <is>
          <t>MS</t>
        </is>
      </c>
      <c r="L122" s="19" t="inlineStr">
        <is>
          <t>Ans</t>
        </is>
      </c>
      <c r="M122" t="inlineStr">
        <is>
          <t>P7</t>
        </is>
      </c>
      <c r="N122" t="inlineStr">
        <is>
          <t>Pure</t>
        </is>
      </c>
    </row>
    <row r="123">
      <c r="A123" s="15" t="inlineStr">
        <is>
          <t>P7.3</t>
        </is>
      </c>
      <c r="B123" s="15" t="n">
        <v>1</v>
      </c>
      <c r="C123" s="16" t="inlineStr">
        <is>
          <t>Tangents and normals</t>
        </is>
      </c>
      <c r="D123" s="17" t="n"/>
      <c r="E123" s="18" t="n"/>
      <c r="F123" s="19" t="inlineStr">
        <is>
          <t>open</t>
        </is>
      </c>
      <c r="G123" s="19" t="inlineStr">
        <is>
          <t>Qs</t>
        </is>
      </c>
      <c r="H123" s="19" t="inlineStr">
        <is>
          <t>Ans</t>
        </is>
      </c>
      <c r="I123" s="20" t="inlineStr">
        <is>
          <t>Tangents and Normals</t>
        </is>
      </c>
      <c r="J123" s="19" t="inlineStr">
        <is>
          <t>QP</t>
        </is>
      </c>
      <c r="K123" s="19" t="inlineStr">
        <is>
          <t>MS</t>
        </is>
      </c>
      <c r="L123" s="19" t="inlineStr">
        <is>
          <t>Ans</t>
        </is>
      </c>
      <c r="M123" t="inlineStr">
        <is>
          <t>P7</t>
        </is>
      </c>
      <c r="N123" t="inlineStr">
        <is>
          <t>Pure</t>
        </is>
      </c>
    </row>
    <row r="124">
      <c r="A124" s="15" t="inlineStr">
        <is>
          <t>P7.3</t>
        </is>
      </c>
      <c r="B124" s="15" t="n">
        <v>1</v>
      </c>
      <c r="C124" s="16" t="inlineStr">
        <is>
          <t>Increasing and decreasing functions</t>
        </is>
      </c>
      <c r="D124" s="17" t="n"/>
      <c r="E124" s="18" t="n"/>
      <c r="F124" s="19" t="inlineStr">
        <is>
          <t>open</t>
        </is>
      </c>
      <c r="G124" s="19" t="inlineStr">
        <is>
          <t>Qs</t>
        </is>
      </c>
      <c r="H124" s="19" t="inlineStr">
        <is>
          <t>Ans</t>
        </is>
      </c>
      <c r="I124" s="20" t="inlineStr">
        <is>
          <t>Stationary Points</t>
        </is>
      </c>
      <c r="J124" s="19" t="inlineStr">
        <is>
          <t>QP</t>
        </is>
      </c>
      <c r="K124" s="19" t="inlineStr">
        <is>
          <t>MS</t>
        </is>
      </c>
      <c r="L124" s="19" t="inlineStr">
        <is>
          <t>Ans</t>
        </is>
      </c>
      <c r="M124" t="inlineStr">
        <is>
          <t>P7</t>
        </is>
      </c>
      <c r="N124" t="inlineStr">
        <is>
          <t>Pure</t>
        </is>
      </c>
    </row>
    <row r="125">
      <c r="A125" s="15" t="inlineStr">
        <is>
          <t>P7.3</t>
        </is>
      </c>
      <c r="B125" s="15" t="n">
        <v>1</v>
      </c>
      <c r="C125" s="16" t="inlineStr">
        <is>
          <t>Stationary points: maxima and minima</t>
        </is>
      </c>
      <c r="D125" s="17" t="n"/>
      <c r="E125" s="18" t="n"/>
      <c r="F125" s="19" t="inlineStr">
        <is>
          <t>open</t>
        </is>
      </c>
      <c r="G125" s="19" t="inlineStr">
        <is>
          <t>Qs</t>
        </is>
      </c>
      <c r="H125" s="19" t="inlineStr">
        <is>
          <t>Ans</t>
        </is>
      </c>
      <c r="I125" s="20" t="inlineStr">
        <is>
          <t>Stationary Points</t>
        </is>
      </c>
      <c r="J125" s="19" t="inlineStr">
        <is>
          <t>QP</t>
        </is>
      </c>
      <c r="K125" s="19" t="inlineStr">
        <is>
          <t>MS</t>
        </is>
      </c>
      <c r="L125" s="19" t="inlineStr">
        <is>
          <t>Ans</t>
        </is>
      </c>
      <c r="M125" t="inlineStr">
        <is>
          <t>P7</t>
        </is>
      </c>
      <c r="N125" t="inlineStr">
        <is>
          <t>Pure</t>
        </is>
      </c>
    </row>
    <row r="126">
      <c r="A126" s="15" t="inlineStr">
        <is>
          <t>P7.3</t>
        </is>
      </c>
      <c r="B126" s="15" t="n">
        <v>1</v>
      </c>
      <c r="C126" s="16" t="inlineStr">
        <is>
          <t>Optimisation problems in context</t>
        </is>
      </c>
      <c r="D126" s="17" t="n"/>
      <c r="E126" s="18" t="n"/>
      <c r="F126" s="19" t="inlineStr">
        <is>
          <t>open</t>
        </is>
      </c>
      <c r="G126" s="19" t="inlineStr">
        <is>
          <t>Qs</t>
        </is>
      </c>
      <c r="H126" s="19" t="inlineStr">
        <is>
          <t>Ans</t>
        </is>
      </c>
      <c r="I126" s="20" t="inlineStr">
        <is>
          <t>Stationary Points</t>
        </is>
      </c>
      <c r="J126" s="19" t="inlineStr">
        <is>
          <t>QP</t>
        </is>
      </c>
      <c r="K126" s="19" t="inlineStr">
        <is>
          <t>MS</t>
        </is>
      </c>
      <c r="L126" s="19" t="inlineStr">
        <is>
          <t>Ans</t>
        </is>
      </c>
      <c r="M126" t="inlineStr">
        <is>
          <t>P7</t>
        </is>
      </c>
      <c r="N126" t="inlineStr">
        <is>
          <t>Pure</t>
        </is>
      </c>
    </row>
    <row r="127">
      <c r="A127" s="15" t="inlineStr">
        <is>
          <t>P7.4</t>
        </is>
      </c>
      <c r="B127" s="15" t="n">
        <v>2</v>
      </c>
      <c r="C127" s="16" t="inlineStr">
        <is>
          <t>The chain rule</t>
        </is>
      </c>
      <c r="D127" s="17" t="n"/>
      <c r="E127" s="18" t="n"/>
      <c r="F127" s="19" t="inlineStr">
        <is>
          <t>open</t>
        </is>
      </c>
      <c r="G127" s="19" t="inlineStr">
        <is>
          <t>Qs</t>
        </is>
      </c>
      <c r="H127" s="19" t="inlineStr">
        <is>
          <t>Ans</t>
        </is>
      </c>
      <c r="I127" s="20" t="inlineStr">
        <is>
          <t>Chain Rule (Yr 2 set)</t>
        </is>
      </c>
      <c r="J127" s="19" t="inlineStr">
        <is>
          <t>QP</t>
        </is>
      </c>
      <c r="K127" s="19" t="inlineStr">
        <is>
          <t>MS</t>
        </is>
      </c>
      <c r="L127" s="19" t="inlineStr">
        <is>
          <t>Ans</t>
        </is>
      </c>
      <c r="M127" t="inlineStr">
        <is>
          <t>P7</t>
        </is>
      </c>
      <c r="N127" t="inlineStr">
        <is>
          <t>Pure</t>
        </is>
      </c>
    </row>
    <row r="128">
      <c r="A128" s="15" t="inlineStr">
        <is>
          <t>P7.4</t>
        </is>
      </c>
      <c r="B128" s="15" t="n">
        <v>2</v>
      </c>
      <c r="C128" s="16" t="inlineStr">
        <is>
          <t>The product rule</t>
        </is>
      </c>
      <c r="D128" s="17" t="n"/>
      <c r="E128" s="18" t="n"/>
      <c r="F128" s="19" t="inlineStr">
        <is>
          <t>open</t>
        </is>
      </c>
      <c r="G128" s="19" t="inlineStr">
        <is>
          <t>Qs</t>
        </is>
      </c>
      <c r="H128" s="19" t="inlineStr">
        <is>
          <t>Ans</t>
        </is>
      </c>
      <c r="I128" s="20" t="inlineStr">
        <is>
          <t>Products and Quotients (Yr 2 set)</t>
        </is>
      </c>
      <c r="J128" s="19" t="inlineStr">
        <is>
          <t>QP</t>
        </is>
      </c>
      <c r="K128" s="19" t="inlineStr">
        <is>
          <t>MS</t>
        </is>
      </c>
      <c r="L128" s="19" t="inlineStr">
        <is>
          <t>Ans</t>
        </is>
      </c>
      <c r="M128" t="inlineStr">
        <is>
          <t>P7</t>
        </is>
      </c>
      <c r="N128" t="inlineStr">
        <is>
          <t>Pure</t>
        </is>
      </c>
    </row>
    <row r="129">
      <c r="A129" s="15" t="inlineStr">
        <is>
          <t>P7.4</t>
        </is>
      </c>
      <c r="B129" s="15" t="n">
        <v>2</v>
      </c>
      <c r="C129" s="16" t="inlineStr">
        <is>
          <t>The quotient rule</t>
        </is>
      </c>
      <c r="D129" s="17" t="n"/>
      <c r="E129" s="18" t="n"/>
      <c r="F129" s="19" t="inlineStr">
        <is>
          <t>open</t>
        </is>
      </c>
      <c r="G129" s="19" t="inlineStr">
        <is>
          <t>Qs</t>
        </is>
      </c>
      <c r="H129" s="19" t="inlineStr">
        <is>
          <t>Ans</t>
        </is>
      </c>
      <c r="I129" s="20" t="inlineStr">
        <is>
          <t>Products and Quotients (Yr 2 set)</t>
        </is>
      </c>
      <c r="J129" s="19" t="inlineStr">
        <is>
          <t>QP</t>
        </is>
      </c>
      <c r="K129" s="19" t="inlineStr">
        <is>
          <t>MS</t>
        </is>
      </c>
      <c r="L129" s="19" t="inlineStr">
        <is>
          <t>Ans</t>
        </is>
      </c>
      <c r="M129" t="inlineStr">
        <is>
          <t>P7</t>
        </is>
      </c>
      <c r="N129" t="inlineStr">
        <is>
          <t>Pure</t>
        </is>
      </c>
    </row>
    <row r="130">
      <c r="A130" s="15" t="inlineStr">
        <is>
          <t>P7.4</t>
        </is>
      </c>
      <c r="B130" s="15" t="n">
        <v>2</v>
      </c>
      <c r="C130" s="16" t="inlineStr">
        <is>
          <t>Differentiating sec, cosec, cot and x = f(y) (dy/dx = 1 ÷ dx/dy)</t>
        </is>
      </c>
      <c r="D130" s="17" t="n"/>
      <c r="E130" s="18" t="n"/>
      <c r="F130" s="19" t="inlineStr">
        <is>
          <t>open</t>
        </is>
      </c>
      <c r="G130" s="19" t="inlineStr">
        <is>
          <t>Qs</t>
        </is>
      </c>
      <c r="H130" s="19" t="inlineStr">
        <is>
          <t>Ans</t>
        </is>
      </c>
      <c r="I130" s="20" t="inlineStr">
        <is>
          <t>Products and Quotients (Yr 2 set)</t>
        </is>
      </c>
      <c r="J130" s="19" t="inlineStr">
        <is>
          <t>QP</t>
        </is>
      </c>
      <c r="K130" s="19" t="inlineStr">
        <is>
          <t>MS</t>
        </is>
      </c>
      <c r="L130" s="19" t="inlineStr">
        <is>
          <t>Ans</t>
        </is>
      </c>
      <c r="M130" t="inlineStr">
        <is>
          <t>P7</t>
        </is>
      </c>
      <c r="N130" t="inlineStr">
        <is>
          <t>Pure</t>
        </is>
      </c>
    </row>
    <row r="131">
      <c r="A131" s="15" t="inlineStr">
        <is>
          <t>P7.4</t>
        </is>
      </c>
      <c r="B131" s="15" t="n">
        <v>2</v>
      </c>
      <c r="C131" s="16" t="inlineStr">
        <is>
          <t>Connected rates of change</t>
        </is>
      </c>
      <c r="D131" s="17" t="n"/>
      <c r="E131" s="18" t="n"/>
      <c r="F131" s="19" t="inlineStr">
        <is>
          <t>open</t>
        </is>
      </c>
      <c r="G131" s="19" t="inlineStr">
        <is>
          <t>Qs</t>
        </is>
      </c>
      <c r="H131" s="19" t="inlineStr">
        <is>
          <t>Ans</t>
        </is>
      </c>
      <c r="I131" s="20" t="inlineStr">
        <is>
          <t>Rates of Change (Yr 2 set)</t>
        </is>
      </c>
      <c r="J131" s="19" t="inlineStr">
        <is>
          <t>QP</t>
        </is>
      </c>
      <c r="K131" s="19" t="inlineStr">
        <is>
          <t>MS</t>
        </is>
      </c>
      <c r="L131" s="19" t="inlineStr">
        <is>
          <t>Ans</t>
        </is>
      </c>
      <c r="M131" t="inlineStr">
        <is>
          <t>P7</t>
        </is>
      </c>
      <c r="N131" t="inlineStr">
        <is>
          <t>Pure</t>
        </is>
      </c>
    </row>
    <row r="132">
      <c r="A132" s="15" t="inlineStr">
        <is>
          <t>P7.5</t>
        </is>
      </c>
      <c r="B132" s="15" t="n">
        <v>2</v>
      </c>
      <c r="C132" s="16" t="inlineStr">
        <is>
          <t>Parametric differentiation</t>
        </is>
      </c>
      <c r="D132" s="17" t="n"/>
      <c r="E132" s="18" t="n"/>
      <c r="F132" s="19" t="inlineStr">
        <is>
          <t>open</t>
        </is>
      </c>
      <c r="G132" s="19" t="inlineStr">
        <is>
          <t>Qs</t>
        </is>
      </c>
      <c r="H132" s="19" t="inlineStr">
        <is>
          <t>Ans</t>
        </is>
      </c>
      <c r="I132" s="20" t="inlineStr">
        <is>
          <t>Parametric Differentiation (Yr 2 set)</t>
        </is>
      </c>
      <c r="J132" s="19" t="inlineStr">
        <is>
          <t>QP</t>
        </is>
      </c>
      <c r="K132" s="19" t="inlineStr">
        <is>
          <t>MS</t>
        </is>
      </c>
      <c r="L132" s="19" t="inlineStr">
        <is>
          <t>Ans</t>
        </is>
      </c>
      <c r="M132" t="inlineStr">
        <is>
          <t>P7</t>
        </is>
      </c>
      <c r="N132" t="inlineStr">
        <is>
          <t>Pure</t>
        </is>
      </c>
    </row>
    <row r="133">
      <c r="A133" s="15" t="inlineStr">
        <is>
          <t>P7.5</t>
        </is>
      </c>
      <c r="B133" s="15" t="n">
        <v>2</v>
      </c>
      <c r="C133" s="16" t="inlineStr">
        <is>
          <t>Implicit differentiation</t>
        </is>
      </c>
      <c r="D133" s="17" t="n"/>
      <c r="E133" s="18" t="n"/>
      <c r="F133" s="19" t="inlineStr">
        <is>
          <t>open</t>
        </is>
      </c>
      <c r="G133" s="19" t="inlineStr">
        <is>
          <t>Qs</t>
        </is>
      </c>
      <c r="H133" s="19" t="inlineStr">
        <is>
          <t>Ans</t>
        </is>
      </c>
      <c r="I133" s="20" t="inlineStr">
        <is>
          <t>Implicit Differentiation (Yr 2 set)</t>
        </is>
      </c>
      <c r="J133" s="19" t="inlineStr">
        <is>
          <t>QP</t>
        </is>
      </c>
      <c r="K133" s="19" t="inlineStr">
        <is>
          <t>MS</t>
        </is>
      </c>
      <c r="L133" s="19" t="inlineStr">
        <is>
          <t>Ans</t>
        </is>
      </c>
      <c r="M133" t="inlineStr">
        <is>
          <t>P7</t>
        </is>
      </c>
      <c r="N133" t="inlineStr">
        <is>
          <t>Pure</t>
        </is>
      </c>
    </row>
    <row r="134">
      <c r="A134" s="15" t="inlineStr">
        <is>
          <t>P7.6</t>
        </is>
      </c>
      <c r="B134" s="15" t="n">
        <v>2</v>
      </c>
      <c r="C134" s="16" t="inlineStr">
        <is>
          <t>Constructing differential equations</t>
        </is>
      </c>
      <c r="D134" s="17" t="n"/>
      <c r="E134" s="18" t="n"/>
      <c r="F134" s="19" t="inlineStr">
        <is>
          <t>open</t>
        </is>
      </c>
      <c r="G134" s="19" t="inlineStr">
        <is>
          <t>Qs</t>
        </is>
      </c>
      <c r="H134" s="19" t="inlineStr">
        <is>
          <t>Ans</t>
        </is>
      </c>
      <c r="I134" s="20" t="inlineStr">
        <is>
          <t>Rates of Change (Yr 2 set)</t>
        </is>
      </c>
      <c r="J134" s="19" t="inlineStr">
        <is>
          <t>QP</t>
        </is>
      </c>
      <c r="K134" s="19" t="inlineStr">
        <is>
          <t>MS</t>
        </is>
      </c>
      <c r="L134" s="19" t="inlineStr">
        <is>
          <t>Ans</t>
        </is>
      </c>
      <c r="M134" t="inlineStr">
        <is>
          <t>P7</t>
        </is>
      </c>
      <c r="N134" t="inlineStr">
        <is>
          <t>Pure</t>
        </is>
      </c>
    </row>
    <row r="135" ht="24" customHeight="1">
      <c r="A135" s="13" t="n"/>
      <c r="B135" s="14" t="inlineStr">
        <is>
          <t>PURE 8   ·   Integration   ·   Paper 1 &amp; 2   ·   17 topics (Yr 1: 6 · Yr 2: 11)</t>
        </is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</row>
    <row r="136">
      <c r="A136" s="15" t="inlineStr">
        <is>
          <t>P8.1</t>
        </is>
      </c>
      <c r="B136" s="15" t="n">
        <v>1</v>
      </c>
      <c r="C136" s="16" t="inlineStr">
        <is>
          <t>Integration as the reverse of differentiation (+ c)</t>
        </is>
      </c>
      <c r="D136" s="17" t="n"/>
      <c r="E136" s="18" t="n"/>
      <c r="F136" s="19" t="inlineStr">
        <is>
          <t>open</t>
        </is>
      </c>
      <c r="G136" s="19" t="inlineStr">
        <is>
          <t>Qs</t>
        </is>
      </c>
      <c r="H136" s="19" t="inlineStr">
        <is>
          <t>Ans</t>
        </is>
      </c>
      <c r="I136" s="20" t="inlineStr">
        <is>
          <t>Basic Integration</t>
        </is>
      </c>
      <c r="J136" s="19" t="inlineStr">
        <is>
          <t>QP</t>
        </is>
      </c>
      <c r="K136" s="19" t="inlineStr">
        <is>
          <t>MS</t>
        </is>
      </c>
      <c r="L136" s="19" t="inlineStr">
        <is>
          <t>Ans</t>
        </is>
      </c>
      <c r="M136" t="inlineStr">
        <is>
          <t>P8</t>
        </is>
      </c>
      <c r="N136" t="inlineStr">
        <is>
          <t>Pure</t>
        </is>
      </c>
    </row>
    <row r="137">
      <c r="A137" s="15" t="inlineStr">
        <is>
          <t>P8.2</t>
        </is>
      </c>
      <c r="B137" s="15" t="n">
        <v>1</v>
      </c>
      <c r="C137" s="16" t="inlineStr">
        <is>
          <t>Integrating xⁿ and sums of terms</t>
        </is>
      </c>
      <c r="D137" s="17" t="n"/>
      <c r="E137" s="18" t="n"/>
      <c r="F137" s="19" t="inlineStr">
        <is>
          <t>open</t>
        </is>
      </c>
      <c r="G137" s="19" t="inlineStr">
        <is>
          <t>Qs</t>
        </is>
      </c>
      <c r="H137" s="19" t="inlineStr">
        <is>
          <t>Ans</t>
        </is>
      </c>
      <c r="I137" s="20" t="inlineStr">
        <is>
          <t>Basic Integration</t>
        </is>
      </c>
      <c r="J137" s="19" t="inlineStr">
        <is>
          <t>QP</t>
        </is>
      </c>
      <c r="K137" s="19" t="inlineStr">
        <is>
          <t>MS</t>
        </is>
      </c>
      <c r="L137" s="19" t="inlineStr">
        <is>
          <t>Ans</t>
        </is>
      </c>
      <c r="M137" t="inlineStr">
        <is>
          <t>P8</t>
        </is>
      </c>
      <c r="N137" t="inlineStr">
        <is>
          <t>Pure</t>
        </is>
      </c>
    </row>
    <row r="138">
      <c r="A138" s="15" t="inlineStr">
        <is>
          <t>P8.2</t>
        </is>
      </c>
      <c r="B138" s="15" t="n">
        <v>1</v>
      </c>
      <c r="C138" s="16" t="inlineStr">
        <is>
          <t>Finding a function from its derivative (finding c)</t>
        </is>
      </c>
      <c r="D138" s="17" t="n"/>
      <c r="E138" s="18" t="n"/>
      <c r="F138" s="19" t="inlineStr">
        <is>
          <t>open</t>
        </is>
      </c>
      <c r="G138" s="19" t="inlineStr">
        <is>
          <t>Qs</t>
        </is>
      </c>
      <c r="H138" s="19" t="inlineStr">
        <is>
          <t>Ans</t>
        </is>
      </c>
      <c r="I138" s="20" t="inlineStr">
        <is>
          <t>Basic Integration</t>
        </is>
      </c>
      <c r="J138" s="19" t="inlineStr">
        <is>
          <t>QP</t>
        </is>
      </c>
      <c r="K138" s="19" t="inlineStr">
        <is>
          <t>MS</t>
        </is>
      </c>
      <c r="L138" s="19" t="inlineStr">
        <is>
          <t>Ans</t>
        </is>
      </c>
      <c r="M138" t="inlineStr">
        <is>
          <t>P8</t>
        </is>
      </c>
      <c r="N138" t="inlineStr">
        <is>
          <t>Pure</t>
        </is>
      </c>
    </row>
    <row r="139">
      <c r="A139" s="15" t="inlineStr">
        <is>
          <t>P8.3</t>
        </is>
      </c>
      <c r="B139" s="15" t="n">
        <v>1</v>
      </c>
      <c r="C139" s="16" t="inlineStr">
        <is>
          <t>Definite integrals</t>
        </is>
      </c>
      <c r="D139" s="17" t="n"/>
      <c r="E139" s="18" t="n"/>
      <c r="F139" s="19" t="inlineStr">
        <is>
          <t>open</t>
        </is>
      </c>
      <c r="G139" s="19" t="inlineStr">
        <is>
          <t>Qs</t>
        </is>
      </c>
      <c r="H139" s="19" t="inlineStr">
        <is>
          <t>Ans</t>
        </is>
      </c>
      <c r="I139" s="20" t="inlineStr">
        <is>
          <t>Definite Integration</t>
        </is>
      </c>
      <c r="J139" s="19" t="inlineStr">
        <is>
          <t>QP</t>
        </is>
      </c>
      <c r="K139" s="19" t="inlineStr">
        <is>
          <t>MS</t>
        </is>
      </c>
      <c r="L139" s="19" t="inlineStr">
        <is>
          <t>Ans</t>
        </is>
      </c>
      <c r="M139" t="inlineStr">
        <is>
          <t>P8</t>
        </is>
      </c>
      <c r="N139" t="inlineStr">
        <is>
          <t>Pure</t>
        </is>
      </c>
    </row>
    <row r="140">
      <c r="A140" s="15" t="inlineStr">
        <is>
          <t>P8.3</t>
        </is>
      </c>
      <c r="B140" s="15" t="n">
        <v>1</v>
      </c>
      <c r="C140" s="16" t="inlineStr">
        <is>
          <t>Areas under curves (incl. below the x-axis)</t>
        </is>
      </c>
      <c r="D140" s="17" t="n"/>
      <c r="E140" s="18" t="n"/>
      <c r="F140" s="19" t="inlineStr">
        <is>
          <t>open</t>
        </is>
      </c>
      <c r="G140" s="19" t="inlineStr">
        <is>
          <t>Qs</t>
        </is>
      </c>
      <c r="H140" s="19" t="inlineStr">
        <is>
          <t>Ans</t>
        </is>
      </c>
      <c r="I140" s="20" t="inlineStr">
        <is>
          <t>Finding Area using Integration</t>
        </is>
      </c>
      <c r="J140" s="19" t="inlineStr">
        <is>
          <t>QP</t>
        </is>
      </c>
      <c r="K140" s="19" t="inlineStr">
        <is>
          <t>MS</t>
        </is>
      </c>
      <c r="L140" s="19" t="inlineStr">
        <is>
          <t>Ans</t>
        </is>
      </c>
      <c r="M140" t="inlineStr">
        <is>
          <t>P8</t>
        </is>
      </c>
      <c r="N140" t="inlineStr">
        <is>
          <t>Pure</t>
        </is>
      </c>
    </row>
    <row r="141">
      <c r="A141" s="15" t="inlineStr">
        <is>
          <t>P8.3</t>
        </is>
      </c>
      <c r="B141" s="15" t="n">
        <v>1</v>
      </c>
      <c r="C141" s="16" t="inlineStr">
        <is>
          <t>Areas between curves and lines</t>
        </is>
      </c>
      <c r="D141" s="17" t="n"/>
      <c r="E141" s="18" t="n"/>
      <c r="F141" s="19" t="inlineStr">
        <is>
          <t>open</t>
        </is>
      </c>
      <c r="G141" s="19" t="inlineStr">
        <is>
          <t>Qs</t>
        </is>
      </c>
      <c r="H141" s="19" t="inlineStr">
        <is>
          <t>Ans</t>
        </is>
      </c>
      <c r="I141" s="20" t="inlineStr">
        <is>
          <t>Finding Area using Integration</t>
        </is>
      </c>
      <c r="J141" s="19" t="inlineStr">
        <is>
          <t>QP</t>
        </is>
      </c>
      <c r="K141" s="19" t="inlineStr">
        <is>
          <t>MS</t>
        </is>
      </c>
      <c r="L141" s="19" t="inlineStr">
        <is>
          <t>Ans</t>
        </is>
      </c>
      <c r="M141" t="inlineStr">
        <is>
          <t>P8</t>
        </is>
      </c>
      <c r="N141" t="inlineStr">
        <is>
          <t>Pure</t>
        </is>
      </c>
    </row>
    <row r="142">
      <c r="A142" s="15" t="inlineStr">
        <is>
          <t>P8.2</t>
        </is>
      </c>
      <c r="B142" s="15" t="n">
        <v>2</v>
      </c>
      <c r="C142" s="16" t="inlineStr">
        <is>
          <t>Integrating standard functions (eˣ, 1/x, sin, cos, sec² …)</t>
        </is>
      </c>
      <c r="D142" s="17" t="n"/>
      <c r="E142" s="18" t="n"/>
      <c r="F142" s="19" t="inlineStr">
        <is>
          <t>open</t>
        </is>
      </c>
      <c r="G142" s="19" t="inlineStr">
        <is>
          <t>Qs</t>
        </is>
      </c>
      <c r="H142" s="19" t="inlineStr">
        <is>
          <t>Ans</t>
        </is>
      </c>
      <c r="I142" s="20" t="inlineStr">
        <is>
          <t>Definite Integration (Yr 2 set)</t>
        </is>
      </c>
      <c r="J142" s="19" t="inlineStr">
        <is>
          <t>QP</t>
        </is>
      </c>
      <c r="K142" s="19" t="inlineStr">
        <is>
          <t>MS</t>
        </is>
      </c>
      <c r="L142" s="19" t="inlineStr">
        <is>
          <t>Ans</t>
        </is>
      </c>
      <c r="M142" t="inlineStr">
        <is>
          <t>P8</t>
        </is>
      </c>
      <c r="N142" t="inlineStr">
        <is>
          <t>Pure</t>
        </is>
      </c>
    </row>
    <row r="143">
      <c r="A143" s="15" t="inlineStr">
        <is>
          <t>P8.5</t>
        </is>
      </c>
      <c r="B143" s="15" t="n">
        <v>2</v>
      </c>
      <c r="C143" s="16" t="inlineStr">
        <is>
          <t>Integrating f(ax + b)</t>
        </is>
      </c>
      <c r="D143" s="17" t="n"/>
      <c r="E143" s="18" t="n"/>
      <c r="F143" s="19" t="inlineStr">
        <is>
          <t>open</t>
        </is>
      </c>
      <c r="G143" s="19" t="inlineStr">
        <is>
          <t>Qs</t>
        </is>
      </c>
      <c r="H143" s="19" t="inlineStr">
        <is>
          <t>Ans</t>
        </is>
      </c>
      <c r="I143" s="20" t="inlineStr">
        <is>
          <t>Definite Integration (Yr 2 set)</t>
        </is>
      </c>
      <c r="J143" s="19" t="inlineStr">
        <is>
          <t>QP</t>
        </is>
      </c>
      <c r="K143" s="19" t="inlineStr">
        <is>
          <t>MS</t>
        </is>
      </c>
      <c r="L143" s="19" t="inlineStr">
        <is>
          <t>Ans</t>
        </is>
      </c>
      <c r="M143" t="inlineStr">
        <is>
          <t>P8</t>
        </is>
      </c>
      <c r="N143" t="inlineStr">
        <is>
          <t>Pure</t>
        </is>
      </c>
    </row>
    <row r="144">
      <c r="A144" s="15" t="inlineStr">
        <is>
          <t>P8.5</t>
        </is>
      </c>
      <c r="B144" s="15" t="n">
        <v>2</v>
      </c>
      <c r="C144" s="16" t="inlineStr">
        <is>
          <t>Integration using trig identities</t>
        </is>
      </c>
      <c r="D144" s="17" t="n"/>
      <c r="E144" s="18" t="n"/>
      <c r="F144" s="19" t="inlineStr">
        <is>
          <t>open</t>
        </is>
      </c>
      <c r="G144" s="19" t="inlineStr">
        <is>
          <t>Qs</t>
        </is>
      </c>
      <c r="H144" s="19" t="inlineStr">
        <is>
          <t>Ans</t>
        </is>
      </c>
      <c r="I144" s="20" t="inlineStr">
        <is>
          <t>Definite Integration (Yr 2 set)</t>
        </is>
      </c>
      <c r="J144" s="19" t="inlineStr">
        <is>
          <t>QP</t>
        </is>
      </c>
      <c r="K144" s="19" t="inlineStr">
        <is>
          <t>MS</t>
        </is>
      </c>
      <c r="L144" s="19" t="inlineStr">
        <is>
          <t>Ans</t>
        </is>
      </c>
      <c r="M144" t="inlineStr">
        <is>
          <t>P8</t>
        </is>
      </c>
      <c r="N144" t="inlineStr">
        <is>
          <t>Pure</t>
        </is>
      </c>
    </row>
    <row r="145">
      <c r="A145" s="15" t="inlineStr">
        <is>
          <t>P8.5</t>
        </is>
      </c>
      <c r="B145" s="15" t="n">
        <v>2</v>
      </c>
      <c r="C145" s="16" t="inlineStr">
        <is>
          <t>Reverse chain rule (f′(x)/f(x) and f′(x)[f(x)]ⁿ)</t>
        </is>
      </c>
      <c r="D145" s="17" t="n"/>
      <c r="E145" s="18" t="n"/>
      <c r="F145" s="19" t="inlineStr">
        <is>
          <t>open</t>
        </is>
      </c>
      <c r="G145" s="19" t="inlineStr">
        <is>
          <t>Qs</t>
        </is>
      </c>
      <c r="H145" s="19" t="inlineStr">
        <is>
          <t>Ans</t>
        </is>
      </c>
      <c r="I145" s="20" t="inlineStr">
        <is>
          <t>Integration by Substitution (Yr 2 set)</t>
        </is>
      </c>
      <c r="J145" s="19" t="inlineStr">
        <is>
          <t>QP</t>
        </is>
      </c>
      <c r="K145" s="19" t="inlineStr">
        <is>
          <t>MS</t>
        </is>
      </c>
      <c r="L145" s="19" t="inlineStr">
        <is>
          <t>Ans</t>
        </is>
      </c>
      <c r="M145" t="inlineStr">
        <is>
          <t>P8</t>
        </is>
      </c>
      <c r="N145" t="inlineStr">
        <is>
          <t>Pure</t>
        </is>
      </c>
    </row>
    <row r="146">
      <c r="A146" s="15" t="inlineStr">
        <is>
          <t>P8.5</t>
        </is>
      </c>
      <c r="B146" s="15" t="n">
        <v>2</v>
      </c>
      <c r="C146" s="16" t="inlineStr">
        <is>
          <t>Integration by substitution</t>
        </is>
      </c>
      <c r="D146" s="17" t="n"/>
      <c r="E146" s="18" t="n"/>
      <c r="F146" s="19" t="inlineStr">
        <is>
          <t>open</t>
        </is>
      </c>
      <c r="G146" s="19" t="inlineStr">
        <is>
          <t>Qs</t>
        </is>
      </c>
      <c r="H146" s="19" t="inlineStr">
        <is>
          <t>Ans</t>
        </is>
      </c>
      <c r="I146" s="20" t="inlineStr">
        <is>
          <t>Integration by Substitution (Yr 2 set)</t>
        </is>
      </c>
      <c r="J146" s="19" t="inlineStr">
        <is>
          <t>QP</t>
        </is>
      </c>
      <c r="K146" s="19" t="inlineStr">
        <is>
          <t>MS</t>
        </is>
      </c>
      <c r="L146" s="19" t="inlineStr">
        <is>
          <t>Ans</t>
        </is>
      </c>
      <c r="M146" t="inlineStr">
        <is>
          <t>P8</t>
        </is>
      </c>
      <c r="N146" t="inlineStr">
        <is>
          <t>Pure</t>
        </is>
      </c>
    </row>
    <row r="147">
      <c r="A147" s="15" t="inlineStr">
        <is>
          <t>P8.5</t>
        </is>
      </c>
      <c r="B147" s="15" t="n">
        <v>2</v>
      </c>
      <c r="C147" s="16" t="inlineStr">
        <is>
          <t>Integration by parts</t>
        </is>
      </c>
      <c r="D147" s="17" t="n"/>
      <c r="E147" s="18" t="n"/>
      <c r="F147" s="19" t="inlineStr">
        <is>
          <t>open</t>
        </is>
      </c>
      <c r="G147" s="19" t="inlineStr">
        <is>
          <t>Qs</t>
        </is>
      </c>
      <c r="H147" s="19" t="inlineStr">
        <is>
          <t>Ans</t>
        </is>
      </c>
      <c r="I147" s="20" t="inlineStr">
        <is>
          <t>Integration by Parts (Yr 2 set)</t>
        </is>
      </c>
      <c r="J147" s="19" t="inlineStr">
        <is>
          <t>QP</t>
        </is>
      </c>
      <c r="K147" s="19" t="inlineStr">
        <is>
          <t>MS</t>
        </is>
      </c>
      <c r="L147" s="19" t="inlineStr">
        <is>
          <t>Ans</t>
        </is>
      </c>
      <c r="M147" t="inlineStr">
        <is>
          <t>P8</t>
        </is>
      </c>
      <c r="N147" t="inlineStr">
        <is>
          <t>Pure</t>
        </is>
      </c>
    </row>
    <row r="148">
      <c r="A148" s="15" t="inlineStr">
        <is>
          <t>P8.6</t>
        </is>
      </c>
      <c r="B148" s="15" t="n">
        <v>2</v>
      </c>
      <c r="C148" s="16" t="inlineStr">
        <is>
          <t>Integration using partial fractions</t>
        </is>
      </c>
      <c r="D148" s="17" t="n"/>
      <c r="E148" s="18" t="n"/>
      <c r="F148" s="19" t="inlineStr">
        <is>
          <t>open</t>
        </is>
      </c>
      <c r="G148" s="19" t="inlineStr">
        <is>
          <t>Qs</t>
        </is>
      </c>
      <c r="H148" s="19" t="inlineStr">
        <is>
          <t>Ans</t>
        </is>
      </c>
      <c r="I148" s="20" t="inlineStr">
        <is>
          <t>Definite Integration (Yr 2 set)</t>
        </is>
      </c>
      <c r="J148" s="19" t="inlineStr">
        <is>
          <t>QP</t>
        </is>
      </c>
      <c r="K148" s="19" t="inlineStr">
        <is>
          <t>MS</t>
        </is>
      </c>
      <c r="L148" s="19" t="inlineStr">
        <is>
          <t>Ans</t>
        </is>
      </c>
      <c r="M148" t="inlineStr">
        <is>
          <t>P8</t>
        </is>
      </c>
      <c r="N148" t="inlineStr">
        <is>
          <t>Pure</t>
        </is>
      </c>
    </row>
    <row r="149">
      <c r="A149" s="15" t="inlineStr">
        <is>
          <t>P8.4</t>
        </is>
      </c>
      <c r="B149" s="15" t="n">
        <v>2</v>
      </c>
      <c r="C149" s="16" t="inlineStr">
        <is>
          <t>Areas between two curves; integration as the limit of a sum</t>
        </is>
      </c>
      <c r="D149" s="17" t="n"/>
      <c r="E149" s="18" t="n"/>
      <c r="F149" s="19" t="inlineStr">
        <is>
          <t>open</t>
        </is>
      </c>
      <c r="G149" s="19" t="inlineStr">
        <is>
          <t>Qs</t>
        </is>
      </c>
      <c r="H149" s="19" t="inlineStr">
        <is>
          <t>Ans</t>
        </is>
      </c>
      <c r="I149" s="20" t="inlineStr">
        <is>
          <t>Finding Area using Integration (Yr 2 set)</t>
        </is>
      </c>
      <c r="J149" s="19" t="inlineStr">
        <is>
          <t>QP</t>
        </is>
      </c>
      <c r="K149" s="19" t="inlineStr">
        <is>
          <t>MS</t>
        </is>
      </c>
      <c r="L149" s="19" t="inlineStr">
        <is>
          <t>Ans</t>
        </is>
      </c>
      <c r="M149" t="inlineStr">
        <is>
          <t>P8</t>
        </is>
      </c>
      <c r="N149" t="inlineStr">
        <is>
          <t>Pure</t>
        </is>
      </c>
    </row>
    <row r="150">
      <c r="A150" s="15" t="inlineStr">
        <is>
          <t>P8.4</t>
        </is>
      </c>
      <c r="B150" s="15" t="n">
        <v>2</v>
      </c>
      <c r="C150" s="16" t="inlineStr">
        <is>
          <t>Area under a parametric curve</t>
        </is>
      </c>
      <c r="D150" s="17" t="n"/>
      <c r="E150" s="18" t="n"/>
      <c r="F150" s="19" t="inlineStr">
        <is>
          <t>open</t>
        </is>
      </c>
      <c r="G150" s="19" t="inlineStr">
        <is>
          <t>Qs</t>
        </is>
      </c>
      <c r="H150" s="19" t="inlineStr">
        <is>
          <t>Ans</t>
        </is>
      </c>
      <c r="I150" s="20" t="inlineStr">
        <is>
          <t>Parametric Integration (Yr 2 set)</t>
        </is>
      </c>
      <c r="J150" s="19" t="inlineStr">
        <is>
          <t>QP</t>
        </is>
      </c>
      <c r="K150" s="19" t="inlineStr">
        <is>
          <t>MS</t>
        </is>
      </c>
      <c r="L150" s="19" t="inlineStr">
        <is>
          <t>Ans</t>
        </is>
      </c>
      <c r="M150" t="inlineStr">
        <is>
          <t>P8</t>
        </is>
      </c>
      <c r="N150" t="inlineStr">
        <is>
          <t>Pure</t>
        </is>
      </c>
    </row>
    <row r="151">
      <c r="A151" s="15" t="inlineStr">
        <is>
          <t>P8.7</t>
        </is>
      </c>
      <c r="B151" s="15" t="n">
        <v>2</v>
      </c>
      <c r="C151" s="16" t="inlineStr">
        <is>
          <t>Solving separable differential equations</t>
        </is>
      </c>
      <c r="D151" s="17" t="n"/>
      <c r="E151" s="18" t="n"/>
      <c r="F151" s="19" t="inlineStr">
        <is>
          <t>open</t>
        </is>
      </c>
      <c r="G151" s="19" t="inlineStr">
        <is>
          <t>Qs</t>
        </is>
      </c>
      <c r="H151" s="19" t="inlineStr">
        <is>
          <t>Ans</t>
        </is>
      </c>
      <c r="I151" s="20" t="inlineStr">
        <is>
          <t>Solving Differential Equations (Yr 2 set)</t>
        </is>
      </c>
      <c r="J151" s="19" t="inlineStr">
        <is>
          <t>QP</t>
        </is>
      </c>
      <c r="K151" s="19" t="inlineStr">
        <is>
          <t>MS</t>
        </is>
      </c>
      <c r="L151" s="19" t="inlineStr">
        <is>
          <t>Ans</t>
        </is>
      </c>
      <c r="M151" t="inlineStr">
        <is>
          <t>P8</t>
        </is>
      </c>
      <c r="N151" t="inlineStr">
        <is>
          <t>Pure</t>
        </is>
      </c>
    </row>
    <row r="152">
      <c r="A152" s="15" t="inlineStr">
        <is>
          <t>P8.8</t>
        </is>
      </c>
      <c r="B152" s="15" t="n">
        <v>2</v>
      </c>
      <c r="C152" s="16" t="inlineStr">
        <is>
          <t>Modelling with differential equations (interpreting solutions)</t>
        </is>
      </c>
      <c r="D152" s="17" t="n"/>
      <c r="E152" s="18" t="n"/>
      <c r="F152" s="19" t="inlineStr">
        <is>
          <t>open</t>
        </is>
      </c>
      <c r="G152" s="19" t="inlineStr">
        <is>
          <t>Qs</t>
        </is>
      </c>
      <c r="H152" s="19" t="inlineStr">
        <is>
          <t>Ans</t>
        </is>
      </c>
      <c r="I152" s="20" t="inlineStr">
        <is>
          <t>Solving Differential Equations (Yr 2 set)</t>
        </is>
      </c>
      <c r="J152" s="19" t="inlineStr">
        <is>
          <t>QP</t>
        </is>
      </c>
      <c r="K152" s="19" t="inlineStr">
        <is>
          <t>MS</t>
        </is>
      </c>
      <c r="L152" s="19" t="inlineStr">
        <is>
          <t>Ans</t>
        </is>
      </c>
      <c r="M152" t="inlineStr">
        <is>
          <t>P8</t>
        </is>
      </c>
      <c r="N152" t="inlineStr">
        <is>
          <t>Pure</t>
        </is>
      </c>
    </row>
    <row r="153" ht="24" customHeight="1">
      <c r="A153" s="13" t="n"/>
      <c r="B153" s="14" t="inlineStr">
        <is>
          <t>PURE 9   ·   Numerical methods   ·   Paper 1 &amp; 2   ·   5 topics (Yr 2: 5)</t>
        </is>
      </c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</row>
    <row r="154">
      <c r="A154" s="15" t="inlineStr">
        <is>
          <t>P9.1</t>
        </is>
      </c>
      <c r="B154" s="15" t="n">
        <v>2</v>
      </c>
      <c r="C154" s="16" t="inlineStr">
        <is>
          <t>Locating roots (change of sign) and when it fails</t>
        </is>
      </c>
      <c r="D154" s="17" t="n"/>
      <c r="E154" s="18" t="n"/>
      <c r="F154" s="19" t="inlineStr">
        <is>
          <t>open</t>
        </is>
      </c>
      <c r="G154" s="19" t="inlineStr">
        <is>
          <t>Qs</t>
        </is>
      </c>
      <c r="H154" s="19" t="inlineStr">
        <is>
          <t>Ans</t>
        </is>
      </c>
      <c r="I154" s="20" t="inlineStr">
        <is>
          <t>Location of Roots (Yr 2 set)</t>
        </is>
      </c>
      <c r="J154" s="19" t="inlineStr">
        <is>
          <t>QP</t>
        </is>
      </c>
      <c r="K154" s="19" t="inlineStr">
        <is>
          <t>MS</t>
        </is>
      </c>
      <c r="L154" s="19" t="inlineStr">
        <is>
          <t>Ans</t>
        </is>
      </c>
      <c r="M154" t="inlineStr">
        <is>
          <t>P9</t>
        </is>
      </c>
      <c r="N154" t="inlineStr">
        <is>
          <t>Pure</t>
        </is>
      </c>
    </row>
    <row r="155">
      <c r="A155" s="15" t="inlineStr">
        <is>
          <t>P9.2</t>
        </is>
      </c>
      <c r="B155" s="15" t="n">
        <v>2</v>
      </c>
      <c r="C155" s="16" t="inlineStr">
        <is>
          <t>Iteration xₙ₊₁ = g(xₙ), cobweb and staircase diagrams</t>
        </is>
      </c>
      <c r="D155" s="17" t="n"/>
      <c r="E155" s="18" t="n"/>
      <c r="F155" s="19" t="inlineStr">
        <is>
          <t>open</t>
        </is>
      </c>
      <c r="G155" s="19" t="inlineStr">
        <is>
          <t>Qs</t>
        </is>
      </c>
      <c r="H155" s="19" t="inlineStr">
        <is>
          <t>Ans</t>
        </is>
      </c>
      <c r="I155" s="20" t="inlineStr">
        <is>
          <t>Iterative Equations (Yr 2 set)</t>
        </is>
      </c>
      <c r="J155" s="19" t="inlineStr">
        <is>
          <t>QP</t>
        </is>
      </c>
      <c r="K155" s="19" t="inlineStr">
        <is>
          <t>MS</t>
        </is>
      </c>
      <c r="L155" s="19" t="inlineStr">
        <is>
          <t>Ans</t>
        </is>
      </c>
      <c r="M155" t="inlineStr">
        <is>
          <t>P9</t>
        </is>
      </c>
      <c r="N155" t="inlineStr">
        <is>
          <t>Pure</t>
        </is>
      </c>
    </row>
    <row r="156">
      <c r="A156" s="15" t="inlineStr">
        <is>
          <t>P9.3</t>
        </is>
      </c>
      <c r="B156" s="15" t="n">
        <v>2</v>
      </c>
      <c r="C156" s="16" t="inlineStr">
        <is>
          <t>The Newton-Raphson method</t>
        </is>
      </c>
      <c r="D156" s="17" t="n"/>
      <c r="E156" s="18" t="n"/>
      <c r="F156" s="19" t="inlineStr">
        <is>
          <t>open</t>
        </is>
      </c>
      <c r="G156" s="19" t="inlineStr">
        <is>
          <t>Qs</t>
        </is>
      </c>
      <c r="H156" s="19" t="inlineStr">
        <is>
          <t>Ans</t>
        </is>
      </c>
      <c r="I156" s="20" t="inlineStr">
        <is>
          <t>Newton Raphson (Yr 2 set)</t>
        </is>
      </c>
      <c r="J156" s="19" t="inlineStr">
        <is>
          <t>QP</t>
        </is>
      </c>
      <c r="K156" s="19" t="inlineStr">
        <is>
          <t>MS</t>
        </is>
      </c>
      <c r="L156" s="19" t="inlineStr">
        <is>
          <t>Ans</t>
        </is>
      </c>
      <c r="M156" t="inlineStr">
        <is>
          <t>P9</t>
        </is>
      </c>
      <c r="N156" t="inlineStr">
        <is>
          <t>Pure</t>
        </is>
      </c>
    </row>
    <row r="157">
      <c r="A157" s="15" t="inlineStr">
        <is>
          <t>P9.4</t>
        </is>
      </c>
      <c r="B157" s="15" t="n">
        <v>2</v>
      </c>
      <c r="C157" s="16" t="inlineStr">
        <is>
          <t>The trapezium rule (over- and under-estimates)</t>
        </is>
      </c>
      <c r="D157" s="17" t="n"/>
      <c r="E157" s="18" t="n"/>
      <c r="F157" s="19" t="inlineStr">
        <is>
          <t>open</t>
        </is>
      </c>
      <c r="G157" s="19" t="inlineStr">
        <is>
          <t>Qs</t>
        </is>
      </c>
      <c r="H157" s="19" t="inlineStr">
        <is>
          <t>Ans</t>
        </is>
      </c>
      <c r="I157" s="20" t="inlineStr">
        <is>
          <t>Trapezium Rule (Yr 2 set)</t>
        </is>
      </c>
      <c r="J157" s="19" t="inlineStr">
        <is>
          <t>QP</t>
        </is>
      </c>
      <c r="K157" s="19" t="inlineStr">
        <is>
          <t>MS</t>
        </is>
      </c>
      <c r="L157" s="19" t="inlineStr">
        <is>
          <t>Ans</t>
        </is>
      </c>
      <c r="M157" t="inlineStr">
        <is>
          <t>P9</t>
        </is>
      </c>
      <c r="N157" t="inlineStr">
        <is>
          <t>Pure</t>
        </is>
      </c>
    </row>
    <row r="158">
      <c r="A158" s="15" t="inlineStr">
        <is>
          <t>P9.5</t>
        </is>
      </c>
      <c r="B158" s="15" t="n">
        <v>2</v>
      </c>
      <c r="C158" s="16" t="inlineStr">
        <is>
          <t>Numerical methods in context</t>
        </is>
      </c>
      <c r="D158" s="17" t="n"/>
      <c r="E158" s="18" t="n"/>
      <c r="F158" s="19" t="inlineStr">
        <is>
          <t>open</t>
        </is>
      </c>
      <c r="G158" s="19" t="inlineStr">
        <is>
          <t>Qs</t>
        </is>
      </c>
      <c r="H158" s="19" t="inlineStr">
        <is>
          <t>Ans</t>
        </is>
      </c>
      <c r="I158" s="20" t="inlineStr">
        <is>
          <t>Location of Roots (Yr 2 set)</t>
        </is>
      </c>
      <c r="J158" s="19" t="inlineStr">
        <is>
          <t>QP</t>
        </is>
      </c>
      <c r="K158" s="19" t="inlineStr">
        <is>
          <t>MS</t>
        </is>
      </c>
      <c r="L158" s="19" t="inlineStr">
        <is>
          <t>Ans</t>
        </is>
      </c>
      <c r="M158" t="inlineStr">
        <is>
          <t>P9</t>
        </is>
      </c>
      <c r="N158" t="inlineStr">
        <is>
          <t>Pure</t>
        </is>
      </c>
    </row>
    <row r="159" ht="24" customHeight="1">
      <c r="A159" s="13" t="n"/>
      <c r="B159" s="14" t="inlineStr">
        <is>
          <t>PURE 10   ·   Vectors   ·   Paper 1 &amp; 2   ·   8 topics (Yr 1: 5 · Yr 2: 3)</t>
        </is>
      </c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</row>
    <row r="160">
      <c r="A160" s="15" t="inlineStr">
        <is>
          <t>P10.1</t>
        </is>
      </c>
      <c r="B160" s="15" t="n">
        <v>1</v>
      </c>
      <c r="C160" s="16" t="inlineStr">
        <is>
          <t>Vectors in 2D: i, j and column notation; adding and scalar multiples</t>
        </is>
      </c>
      <c r="D160" s="17" t="n"/>
      <c r="E160" s="18" t="n"/>
      <c r="F160" s="19" t="inlineStr">
        <is>
          <t>open</t>
        </is>
      </c>
      <c r="G160" s="19" t="inlineStr">
        <is>
          <t>Qs</t>
        </is>
      </c>
      <c r="H160" s="19" t="inlineStr">
        <is>
          <t>Ans</t>
        </is>
      </c>
      <c r="I160" s="20" t="inlineStr">
        <is>
          <t>Vectors</t>
        </is>
      </c>
      <c r="J160" s="19" t="inlineStr">
        <is>
          <t>QP</t>
        </is>
      </c>
      <c r="K160" s="19" t="inlineStr">
        <is>
          <t>MS</t>
        </is>
      </c>
      <c r="L160" s="19" t="inlineStr">
        <is>
          <t>Ans</t>
        </is>
      </c>
      <c r="M160" t="inlineStr">
        <is>
          <t>P10</t>
        </is>
      </c>
      <c r="N160" t="inlineStr">
        <is>
          <t>Pure</t>
        </is>
      </c>
    </row>
    <row r="161">
      <c r="A161" s="15" t="inlineStr">
        <is>
          <t>P10.2</t>
        </is>
      </c>
      <c r="B161" s="15" t="n">
        <v>1</v>
      </c>
      <c r="C161" s="16" t="inlineStr">
        <is>
          <t>Magnitude and direction of a vector</t>
        </is>
      </c>
      <c r="D161" s="17" t="n"/>
      <c r="E161" s="18" t="n"/>
      <c r="F161" s="19" t="inlineStr">
        <is>
          <t>open</t>
        </is>
      </c>
      <c r="G161" s="19" t="inlineStr">
        <is>
          <t>Qs</t>
        </is>
      </c>
      <c r="H161" s="19" t="inlineStr">
        <is>
          <t>Ans</t>
        </is>
      </c>
      <c r="I161" s="20" t="inlineStr">
        <is>
          <t>Vectors</t>
        </is>
      </c>
      <c r="J161" s="19" t="inlineStr">
        <is>
          <t>QP</t>
        </is>
      </c>
      <c r="K161" s="19" t="inlineStr">
        <is>
          <t>MS</t>
        </is>
      </c>
      <c r="L161" s="19" t="inlineStr">
        <is>
          <t>Ans</t>
        </is>
      </c>
      <c r="M161" t="inlineStr">
        <is>
          <t>P10</t>
        </is>
      </c>
      <c r="N161" t="inlineStr">
        <is>
          <t>Pure</t>
        </is>
      </c>
    </row>
    <row r="162">
      <c r="A162" s="15" t="inlineStr">
        <is>
          <t>P10.3</t>
        </is>
      </c>
      <c r="B162" s="15" t="n">
        <v>1</v>
      </c>
      <c r="C162" s="16" t="inlineStr">
        <is>
          <t>Position vectors and the distance between two points</t>
        </is>
      </c>
      <c r="D162" s="17" t="n"/>
      <c r="E162" s="18" t="n"/>
      <c r="F162" s="19" t="inlineStr">
        <is>
          <t>open</t>
        </is>
      </c>
      <c r="G162" s="19" t="inlineStr">
        <is>
          <t>Qs</t>
        </is>
      </c>
      <c r="H162" s="19" t="inlineStr">
        <is>
          <t>Ans</t>
        </is>
      </c>
      <c r="I162" s="20" t="inlineStr">
        <is>
          <t>Vectors</t>
        </is>
      </c>
      <c r="J162" s="19" t="inlineStr">
        <is>
          <t>QP</t>
        </is>
      </c>
      <c r="K162" s="19" t="inlineStr">
        <is>
          <t>MS</t>
        </is>
      </c>
      <c r="L162" s="19" t="inlineStr">
        <is>
          <t>Ans</t>
        </is>
      </c>
      <c r="M162" t="inlineStr">
        <is>
          <t>P10</t>
        </is>
      </c>
      <c r="N162" t="inlineStr">
        <is>
          <t>Pure</t>
        </is>
      </c>
    </row>
    <row r="163">
      <c r="A163" s="15" t="inlineStr">
        <is>
          <t>P10.5</t>
        </is>
      </c>
      <c r="B163" s="15" t="n">
        <v>1</v>
      </c>
      <c r="C163" s="16" t="inlineStr">
        <is>
          <t>Solving geometric problems with vectors</t>
        </is>
      </c>
      <c r="D163" s="17" t="n"/>
      <c r="E163" s="18" t="n"/>
      <c r="F163" s="19" t="inlineStr">
        <is>
          <t>open</t>
        </is>
      </c>
      <c r="G163" s="19" t="inlineStr">
        <is>
          <t>Qs</t>
        </is>
      </c>
      <c r="H163" s="19" t="inlineStr">
        <is>
          <t>Ans</t>
        </is>
      </c>
      <c r="I163" s="20" t="inlineStr">
        <is>
          <t>Vectors</t>
        </is>
      </c>
      <c r="J163" s="19" t="inlineStr">
        <is>
          <t>QP</t>
        </is>
      </c>
      <c r="K163" s="19" t="inlineStr">
        <is>
          <t>MS</t>
        </is>
      </c>
      <c r="L163" s="19" t="inlineStr">
        <is>
          <t>Ans</t>
        </is>
      </c>
      <c r="M163" t="inlineStr">
        <is>
          <t>P10</t>
        </is>
      </c>
      <c r="N163" t="inlineStr">
        <is>
          <t>Pure</t>
        </is>
      </c>
    </row>
    <row r="164">
      <c r="A164" s="15" t="inlineStr">
        <is>
          <t>P10.5</t>
        </is>
      </c>
      <c r="B164" s="15" t="n">
        <v>1</v>
      </c>
      <c r="C164" s="16" t="inlineStr">
        <is>
          <t>Modelling with vectors (e.g. velocity, forces)</t>
        </is>
      </c>
      <c r="D164" s="17" t="n"/>
      <c r="E164" s="18" t="n"/>
      <c r="F164" s="19" t="inlineStr">
        <is>
          <t>open</t>
        </is>
      </c>
      <c r="G164" s="19" t="inlineStr">
        <is>
          <t>Qs</t>
        </is>
      </c>
      <c r="H164" s="19" t="inlineStr">
        <is>
          <t>Ans</t>
        </is>
      </c>
      <c r="I164" s="20" t="inlineStr">
        <is>
          <t>Vectors</t>
        </is>
      </c>
      <c r="J164" s="19" t="inlineStr">
        <is>
          <t>QP</t>
        </is>
      </c>
      <c r="K164" s="19" t="inlineStr">
        <is>
          <t>MS</t>
        </is>
      </c>
      <c r="L164" s="19" t="inlineStr">
        <is>
          <t>Ans</t>
        </is>
      </c>
      <c r="M164" t="inlineStr">
        <is>
          <t>P10</t>
        </is>
      </c>
      <c r="N164" t="inlineStr">
        <is>
          <t>Pure</t>
        </is>
      </c>
    </row>
    <row r="165">
      <c r="A165" s="15" t="inlineStr">
        <is>
          <t>P10.1</t>
        </is>
      </c>
      <c r="B165" s="15" t="n">
        <v>2</v>
      </c>
      <c r="C165" s="16" t="inlineStr">
        <is>
          <t>3D coordinates and vectors in 3D (i, j, k)</t>
        </is>
      </c>
      <c r="D165" s="17" t="n"/>
      <c r="E165" s="18" t="n"/>
      <c r="F165" s="19" t="inlineStr">
        <is>
          <t>open</t>
        </is>
      </c>
      <c r="G165" s="19" t="inlineStr">
        <is>
          <t>Qs</t>
        </is>
      </c>
      <c r="H165" s="19" t="inlineStr">
        <is>
          <t>Ans</t>
        </is>
      </c>
      <c r="I165" s="20" t="inlineStr">
        <is>
          <t>Vectors (Yr 2 set)</t>
        </is>
      </c>
      <c r="J165" s="19" t="inlineStr">
        <is>
          <t>QP</t>
        </is>
      </c>
      <c r="K165" s="19" t="inlineStr">
        <is>
          <t>MS</t>
        </is>
      </c>
      <c r="L165" s="19" t="inlineStr">
        <is>
          <t>Ans</t>
        </is>
      </c>
      <c r="M165" t="inlineStr">
        <is>
          <t>P10</t>
        </is>
      </c>
      <c r="N165" t="inlineStr">
        <is>
          <t>Pure</t>
        </is>
      </c>
    </row>
    <row r="166">
      <c r="A166" s="15" t="inlineStr">
        <is>
          <t>P10.5</t>
        </is>
      </c>
      <c r="B166" s="15" t="n">
        <v>2</v>
      </c>
      <c r="C166" s="16" t="inlineStr">
        <is>
          <t>Solving geometric problems in 3D</t>
        </is>
      </c>
      <c r="D166" s="17" t="n"/>
      <c r="E166" s="18" t="n"/>
      <c r="F166" s="19" t="inlineStr">
        <is>
          <t>open</t>
        </is>
      </c>
      <c r="G166" s="19" t="inlineStr">
        <is>
          <t>Qs</t>
        </is>
      </c>
      <c r="H166" s="19" t="inlineStr">
        <is>
          <t>Ans</t>
        </is>
      </c>
      <c r="I166" s="20" t="inlineStr">
        <is>
          <t>Vectors (Yr 2 set)</t>
        </is>
      </c>
      <c r="J166" s="19" t="inlineStr">
        <is>
          <t>QP</t>
        </is>
      </c>
      <c r="K166" s="19" t="inlineStr">
        <is>
          <t>MS</t>
        </is>
      </c>
      <c r="L166" s="19" t="inlineStr">
        <is>
          <t>Ans</t>
        </is>
      </c>
      <c r="M166" t="inlineStr">
        <is>
          <t>P10</t>
        </is>
      </c>
      <c r="N166" t="inlineStr">
        <is>
          <t>Pure</t>
        </is>
      </c>
    </row>
    <row r="167">
      <c r="A167" s="15" t="inlineStr">
        <is>
          <t>P10.5</t>
        </is>
      </c>
      <c r="B167" s="15" t="n">
        <v>2</v>
      </c>
      <c r="C167" s="16" t="inlineStr">
        <is>
          <t>3D vectors applied to mechanics</t>
        </is>
      </c>
      <c r="D167" s="17" t="n"/>
      <c r="E167" s="18" t="n"/>
      <c r="F167" s="19" t="inlineStr">
        <is>
          <t>open</t>
        </is>
      </c>
      <c r="G167" s="19" t="inlineStr">
        <is>
          <t>Qs</t>
        </is>
      </c>
      <c r="H167" s="19" t="inlineStr">
        <is>
          <t>Ans</t>
        </is>
      </c>
      <c r="I167" s="20" t="inlineStr">
        <is>
          <t>Vectors (Yr 2 set)</t>
        </is>
      </c>
      <c r="J167" s="19" t="inlineStr">
        <is>
          <t>QP</t>
        </is>
      </c>
      <c r="K167" s="19" t="inlineStr">
        <is>
          <t>MS</t>
        </is>
      </c>
      <c r="L167" s="19" t="inlineStr">
        <is>
          <t>Ans</t>
        </is>
      </c>
      <c r="M167" t="inlineStr">
        <is>
          <t>P10</t>
        </is>
      </c>
      <c r="N167" t="inlineStr">
        <is>
          <t>Pure</t>
        </is>
      </c>
    </row>
    <row r="168" ht="24" customHeight="1">
      <c r="A168" s="13" t="n"/>
      <c r="B168" s="14" t="inlineStr">
        <is>
          <t>STATISTICS 1   ·   Statistical sampling   ·   Paper 3   ·   3 topics (Yr 1: 3)</t>
        </is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</row>
    <row r="169">
      <c r="A169" s="15" t="inlineStr">
        <is>
          <t>S1.1</t>
        </is>
      </c>
      <c r="B169" s="15" t="n">
        <v>1</v>
      </c>
      <c r="C169" s="16" t="inlineStr">
        <is>
          <t>Populations, samples and census</t>
        </is>
      </c>
      <c r="D169" s="17" t="n"/>
      <c r="E169" s="18" t="n"/>
      <c r="F169" s="19" t="inlineStr">
        <is>
          <t>open</t>
        </is>
      </c>
      <c r="G169" s="19" t="inlineStr">
        <is>
          <t>Qs</t>
        </is>
      </c>
      <c r="H169" s="19" t="inlineStr">
        <is>
          <t>Ans</t>
        </is>
      </c>
      <c r="I169" s="20" t="inlineStr">
        <is>
          <t>Sampling</t>
        </is>
      </c>
      <c r="J169" s="19" t="inlineStr">
        <is>
          <t>QP</t>
        </is>
      </c>
      <c r="K169" s="19" t="inlineStr">
        <is>
          <t>MS</t>
        </is>
      </c>
      <c r="L169" s="19" t="inlineStr">
        <is>
          <t>Ans</t>
        </is>
      </c>
      <c r="M169" t="inlineStr">
        <is>
          <t>S1</t>
        </is>
      </c>
      <c r="N169" t="inlineStr">
        <is>
          <t>Statistics</t>
        </is>
      </c>
    </row>
    <row r="170">
      <c r="A170" s="15" t="inlineStr">
        <is>
          <t>S1.1</t>
        </is>
      </c>
      <c r="B170" s="15" t="n">
        <v>1</v>
      </c>
      <c r="C170" s="16" t="inlineStr">
        <is>
          <t>Random sampling: simple random, systematic, stratified</t>
        </is>
      </c>
      <c r="D170" s="17" t="n"/>
      <c r="E170" s="18" t="n"/>
      <c r="F170" s="19" t="inlineStr">
        <is>
          <t>open</t>
        </is>
      </c>
      <c r="G170" s="19" t="inlineStr">
        <is>
          <t>Qs (topic)</t>
        </is>
      </c>
      <c r="H170" s="19" t="inlineStr">
        <is>
          <t>Ans</t>
        </is>
      </c>
      <c r="I170" s="20" t="inlineStr">
        <is>
          <t>Sampling</t>
        </is>
      </c>
      <c r="J170" s="19" t="inlineStr">
        <is>
          <t>QP</t>
        </is>
      </c>
      <c r="K170" s="19" t="inlineStr">
        <is>
          <t>MS</t>
        </is>
      </c>
      <c r="L170" s="19" t="inlineStr">
        <is>
          <t>Ans</t>
        </is>
      </c>
      <c r="M170" t="inlineStr">
        <is>
          <t>S1</t>
        </is>
      </c>
      <c r="N170" t="inlineStr">
        <is>
          <t>Statistics</t>
        </is>
      </c>
    </row>
    <row r="171">
      <c r="A171" s="15" t="inlineStr">
        <is>
          <t>S1.1</t>
        </is>
      </c>
      <c r="B171" s="15" t="n">
        <v>1</v>
      </c>
      <c r="C171" s="16" t="inlineStr">
        <is>
          <t>Non-random sampling: quota and opportunity</t>
        </is>
      </c>
      <c r="D171" s="17" t="n"/>
      <c r="E171" s="18" t="n"/>
      <c r="F171" s="19" t="inlineStr">
        <is>
          <t>open</t>
        </is>
      </c>
      <c r="G171" s="19" t="inlineStr">
        <is>
          <t>Qs</t>
        </is>
      </c>
      <c r="H171" s="19" t="inlineStr">
        <is>
          <t>Ans</t>
        </is>
      </c>
      <c r="I171" s="20" t="inlineStr">
        <is>
          <t>Sampling</t>
        </is>
      </c>
      <c r="J171" s="19" t="inlineStr">
        <is>
          <t>QP</t>
        </is>
      </c>
      <c r="K171" s="19" t="inlineStr">
        <is>
          <t>MS</t>
        </is>
      </c>
      <c r="L171" s="19" t="inlineStr">
        <is>
          <t>Ans</t>
        </is>
      </c>
      <c r="M171" t="inlineStr">
        <is>
          <t>S1</t>
        </is>
      </c>
      <c r="N171" t="inlineStr">
        <is>
          <t>Statistics</t>
        </is>
      </c>
    </row>
    <row r="172" ht="24" customHeight="1">
      <c r="A172" s="13" t="n"/>
      <c r="B172" s="14" t="inlineStr">
        <is>
          <t>STATISTICS 2   ·   Data presentation and interpretation   ·   Paper 3   ·   15 topics (Yr 1: 13 · Yr 2: 2)</t>
        </is>
      </c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</row>
    <row r="173">
      <c r="A173" s="15" t="inlineStr">
        <is>
          <t>S2.1</t>
        </is>
      </c>
      <c r="B173" s="15" t="n">
        <v>1</v>
      </c>
      <c r="C173" s="16" t="inlineStr">
        <is>
          <t>Types of data (qualitative, discrete, continuous, grouped)</t>
        </is>
      </c>
      <c r="D173" s="17" t="n"/>
      <c r="E173" s="18" t="n"/>
      <c r="F173" s="19" t="inlineStr">
        <is>
          <t>open</t>
        </is>
      </c>
      <c r="G173" s="19" t="inlineStr">
        <is>
          <t>Qs</t>
        </is>
      </c>
      <c r="H173" s="19" t="inlineStr">
        <is>
          <t>Ans</t>
        </is>
      </c>
      <c r="I173" s="20" t="inlineStr">
        <is>
          <t>Data Presentation and Interpretation</t>
        </is>
      </c>
      <c r="J173" s="19" t="inlineStr">
        <is>
          <t>QP</t>
        </is>
      </c>
      <c r="K173" s="19" t="inlineStr">
        <is>
          <t>MS</t>
        </is>
      </c>
      <c r="L173" s="19" t="inlineStr">
        <is>
          <t>Ans</t>
        </is>
      </c>
      <c r="M173" t="inlineStr">
        <is>
          <t>S2</t>
        </is>
      </c>
      <c r="N173" t="inlineStr">
        <is>
          <t>Statistics</t>
        </is>
      </c>
    </row>
    <row r="174">
      <c r="A174" s="15" t="inlineStr">
        <is>
          <t>S2.3</t>
        </is>
      </c>
      <c r="B174" s="15" t="n">
        <v>1</v>
      </c>
      <c r="C174" s="16" t="inlineStr">
        <is>
          <t>Mean, median and mode (incl. grouped data)</t>
        </is>
      </c>
      <c r="D174" s="17" t="n"/>
      <c r="E174" s="18" t="n"/>
      <c r="F174" s="19" t="inlineStr">
        <is>
          <t>open</t>
        </is>
      </c>
      <c r="G174" s="19" t="inlineStr">
        <is>
          <t>Qs</t>
        </is>
      </c>
      <c r="H174" s="19" t="inlineStr">
        <is>
          <t>Ans</t>
        </is>
      </c>
      <c r="I174" s="20" t="inlineStr">
        <is>
          <t>Data Presentation and Interpretation</t>
        </is>
      </c>
      <c r="J174" s="19" t="inlineStr">
        <is>
          <t>QP</t>
        </is>
      </c>
      <c r="K174" s="19" t="inlineStr">
        <is>
          <t>MS</t>
        </is>
      </c>
      <c r="L174" s="19" t="inlineStr">
        <is>
          <t>Ans</t>
        </is>
      </c>
      <c r="M174" t="inlineStr">
        <is>
          <t>S2</t>
        </is>
      </c>
      <c r="N174" t="inlineStr">
        <is>
          <t>Statistics</t>
        </is>
      </c>
    </row>
    <row r="175">
      <c r="A175" s="15" t="inlineStr">
        <is>
          <t>S2.3</t>
        </is>
      </c>
      <c r="B175" s="15" t="n">
        <v>1</v>
      </c>
      <c r="C175" s="16" t="inlineStr">
        <is>
          <t>Quartiles, percentiles and interpolation</t>
        </is>
      </c>
      <c r="D175" s="17" t="n"/>
      <c r="E175" s="18" t="n"/>
      <c r="F175" s="19" t="inlineStr">
        <is>
          <t>open</t>
        </is>
      </c>
      <c r="G175" s="19" t="inlineStr">
        <is>
          <t>Qs</t>
        </is>
      </c>
      <c r="H175" s="19" t="inlineStr">
        <is>
          <t>Ans</t>
        </is>
      </c>
      <c r="I175" s="20" t="inlineStr">
        <is>
          <t>Data Presentation and Interpretation</t>
        </is>
      </c>
      <c r="J175" s="19" t="inlineStr">
        <is>
          <t>QP</t>
        </is>
      </c>
      <c r="K175" s="19" t="inlineStr">
        <is>
          <t>MS</t>
        </is>
      </c>
      <c r="L175" s="19" t="inlineStr">
        <is>
          <t>Ans</t>
        </is>
      </c>
      <c r="M175" t="inlineStr">
        <is>
          <t>S2</t>
        </is>
      </c>
      <c r="N175" t="inlineStr">
        <is>
          <t>Statistics</t>
        </is>
      </c>
    </row>
    <row r="176">
      <c r="A176" s="15" t="inlineStr">
        <is>
          <t>S2.3</t>
        </is>
      </c>
      <c r="B176" s="15" t="n">
        <v>1</v>
      </c>
      <c r="C176" s="16" t="inlineStr">
        <is>
          <t>Range, IQR, variance and standard deviation</t>
        </is>
      </c>
      <c r="D176" s="17" t="n"/>
      <c r="E176" s="18" t="n"/>
      <c r="F176" s="19" t="inlineStr">
        <is>
          <t>open</t>
        </is>
      </c>
      <c r="G176" s="19" t="inlineStr">
        <is>
          <t>Qs (topic)</t>
        </is>
      </c>
      <c r="H176" s="19" t="inlineStr">
        <is>
          <t>Ans</t>
        </is>
      </c>
      <c r="I176" s="20" t="inlineStr">
        <is>
          <t>Data Presentation and Interpretation</t>
        </is>
      </c>
      <c r="J176" s="19" t="inlineStr">
        <is>
          <t>QP</t>
        </is>
      </c>
      <c r="K176" s="19" t="inlineStr">
        <is>
          <t>MS</t>
        </is>
      </c>
      <c r="L176" s="19" t="inlineStr">
        <is>
          <t>Ans</t>
        </is>
      </c>
      <c r="M176" t="inlineStr">
        <is>
          <t>S2</t>
        </is>
      </c>
      <c r="N176" t="inlineStr">
        <is>
          <t>Statistics</t>
        </is>
      </c>
    </row>
    <row r="177">
      <c r="A177" s="15" t="inlineStr">
        <is>
          <t>S2.3</t>
        </is>
      </c>
      <c r="B177" s="15" t="n">
        <v>1</v>
      </c>
      <c r="C177" s="16" t="inlineStr">
        <is>
          <t>Coding</t>
        </is>
      </c>
      <c r="D177" s="17" t="n"/>
      <c r="E177" s="18" t="n"/>
      <c r="F177" s="19" t="inlineStr">
        <is>
          <t>open</t>
        </is>
      </c>
      <c r="G177" s="19" t="inlineStr">
        <is>
          <t>Qs</t>
        </is>
      </c>
      <c r="H177" s="19" t="inlineStr">
        <is>
          <t>Ans</t>
        </is>
      </c>
      <c r="I177" s="20" t="inlineStr">
        <is>
          <t>Data Presentation and Interpretation</t>
        </is>
      </c>
      <c r="J177" s="19" t="inlineStr">
        <is>
          <t>QP</t>
        </is>
      </c>
      <c r="K177" s="19" t="inlineStr">
        <is>
          <t>MS</t>
        </is>
      </c>
      <c r="L177" s="19" t="inlineStr">
        <is>
          <t>Ans</t>
        </is>
      </c>
      <c r="M177" t="inlineStr">
        <is>
          <t>S2</t>
        </is>
      </c>
      <c r="N177" t="inlineStr">
        <is>
          <t>Statistics</t>
        </is>
      </c>
    </row>
    <row r="178">
      <c r="A178" s="15" t="inlineStr">
        <is>
          <t>S2.1</t>
        </is>
      </c>
      <c r="B178" s="15" t="n">
        <v>1</v>
      </c>
      <c r="C178" s="16" t="inlineStr">
        <is>
          <t>Box plots</t>
        </is>
      </c>
      <c r="D178" s="17" t="n"/>
      <c r="E178" s="18" t="n"/>
      <c r="F178" s="19" t="inlineStr">
        <is>
          <t>open</t>
        </is>
      </c>
      <c r="G178" s="19" t="inlineStr">
        <is>
          <t>Qs (topic)</t>
        </is>
      </c>
      <c r="H178" s="19" t="inlineStr">
        <is>
          <t>Ans</t>
        </is>
      </c>
      <c r="I178" s="20" t="inlineStr">
        <is>
          <t>Data Presentation and Interpretation</t>
        </is>
      </c>
      <c r="J178" s="19" t="inlineStr">
        <is>
          <t>QP</t>
        </is>
      </c>
      <c r="K178" s="19" t="inlineStr">
        <is>
          <t>MS</t>
        </is>
      </c>
      <c r="L178" s="19" t="inlineStr">
        <is>
          <t>Ans</t>
        </is>
      </c>
      <c r="M178" t="inlineStr">
        <is>
          <t>S2</t>
        </is>
      </c>
      <c r="N178" t="inlineStr">
        <is>
          <t>Statistics</t>
        </is>
      </c>
    </row>
    <row r="179">
      <c r="A179" s="15" t="inlineStr">
        <is>
          <t>S2.1</t>
        </is>
      </c>
      <c r="B179" s="15" t="n">
        <v>1</v>
      </c>
      <c r="C179" s="16" t="inlineStr">
        <is>
          <t>Cumulative frequency diagrams</t>
        </is>
      </c>
      <c r="D179" s="17" t="n"/>
      <c r="E179" s="18" t="n"/>
      <c r="F179" s="19" t="inlineStr">
        <is>
          <t>open</t>
        </is>
      </c>
      <c r="G179" s="19" t="inlineStr">
        <is>
          <t>Qs</t>
        </is>
      </c>
      <c r="H179" s="19" t="inlineStr">
        <is>
          <t>Ans</t>
        </is>
      </c>
      <c r="I179" s="20" t="inlineStr">
        <is>
          <t>Data Presentation and Interpretation</t>
        </is>
      </c>
      <c r="J179" s="19" t="inlineStr">
        <is>
          <t>QP</t>
        </is>
      </c>
      <c r="K179" s="19" t="inlineStr">
        <is>
          <t>MS</t>
        </is>
      </c>
      <c r="L179" s="19" t="inlineStr">
        <is>
          <t>Ans</t>
        </is>
      </c>
      <c r="M179" t="inlineStr">
        <is>
          <t>S2</t>
        </is>
      </c>
      <c r="N179" t="inlineStr">
        <is>
          <t>Statistics</t>
        </is>
      </c>
    </row>
    <row r="180">
      <c r="A180" s="15" t="inlineStr">
        <is>
          <t>S2.1</t>
        </is>
      </c>
      <c r="B180" s="15" t="n">
        <v>1</v>
      </c>
      <c r="C180" s="16" t="inlineStr">
        <is>
          <t>Histograms (frequency density)</t>
        </is>
      </c>
      <c r="D180" s="17" t="n"/>
      <c r="E180" s="18" t="n"/>
      <c r="F180" s="19" t="inlineStr">
        <is>
          <t>open</t>
        </is>
      </c>
      <c r="G180" s="19" t="inlineStr">
        <is>
          <t>Qs (topic)</t>
        </is>
      </c>
      <c r="H180" s="19" t="inlineStr">
        <is>
          <t>Ans</t>
        </is>
      </c>
      <c r="I180" s="20" t="inlineStr">
        <is>
          <t>Data Presentation and Interpretation</t>
        </is>
      </c>
      <c r="J180" s="19" t="inlineStr">
        <is>
          <t>QP</t>
        </is>
      </c>
      <c r="K180" s="19" t="inlineStr">
        <is>
          <t>MS</t>
        </is>
      </c>
      <c r="L180" s="19" t="inlineStr">
        <is>
          <t>Ans</t>
        </is>
      </c>
      <c r="M180" t="inlineStr">
        <is>
          <t>S2</t>
        </is>
      </c>
      <c r="N180" t="inlineStr">
        <is>
          <t>Statistics</t>
        </is>
      </c>
    </row>
    <row r="181">
      <c r="A181" s="15" t="inlineStr">
        <is>
          <t>S2.4</t>
        </is>
      </c>
      <c r="B181" s="15" t="n">
        <v>1</v>
      </c>
      <c r="C181" s="16" t="inlineStr">
        <is>
          <t>Outliers and cleaning data</t>
        </is>
      </c>
      <c r="D181" s="17" t="n"/>
      <c r="E181" s="18" t="n"/>
      <c r="F181" s="19" t="inlineStr">
        <is>
          <t>open</t>
        </is>
      </c>
      <c r="G181" s="19" t="inlineStr">
        <is>
          <t>Qs</t>
        </is>
      </c>
      <c r="H181" s="19" t="inlineStr">
        <is>
          <t>Ans</t>
        </is>
      </c>
      <c r="I181" s="20" t="inlineStr">
        <is>
          <t>Data Presentation and Interpretation</t>
        </is>
      </c>
      <c r="J181" s="19" t="inlineStr">
        <is>
          <t>QP</t>
        </is>
      </c>
      <c r="K181" s="19" t="inlineStr">
        <is>
          <t>MS</t>
        </is>
      </c>
      <c r="L181" s="19" t="inlineStr">
        <is>
          <t>Ans</t>
        </is>
      </c>
      <c r="M181" t="inlineStr">
        <is>
          <t>S2</t>
        </is>
      </c>
      <c r="N181" t="inlineStr">
        <is>
          <t>Statistics</t>
        </is>
      </c>
    </row>
    <row r="182">
      <c r="A182" s="15" t="inlineStr">
        <is>
          <t>S2.4</t>
        </is>
      </c>
      <c r="B182" s="15" t="n">
        <v>1</v>
      </c>
      <c r="C182" s="16" t="inlineStr">
        <is>
          <t>Comparing distributions</t>
        </is>
      </c>
      <c r="D182" s="17" t="n"/>
      <c r="E182" s="18" t="n"/>
      <c r="F182" s="19" t="inlineStr">
        <is>
          <t>open</t>
        </is>
      </c>
      <c r="G182" s="19" t="inlineStr">
        <is>
          <t>Qs</t>
        </is>
      </c>
      <c r="H182" s="19" t="inlineStr">
        <is>
          <t>Ans</t>
        </is>
      </c>
      <c r="I182" s="20" t="inlineStr">
        <is>
          <t>Data Presentation and Interpretation</t>
        </is>
      </c>
      <c r="J182" s="19" t="inlineStr">
        <is>
          <t>QP</t>
        </is>
      </c>
      <c r="K182" s="19" t="inlineStr">
        <is>
          <t>MS</t>
        </is>
      </c>
      <c r="L182" s="19" t="inlineStr">
        <is>
          <t>Ans</t>
        </is>
      </c>
      <c r="M182" t="inlineStr">
        <is>
          <t>S2</t>
        </is>
      </c>
      <c r="N182" t="inlineStr">
        <is>
          <t>Statistics</t>
        </is>
      </c>
    </row>
    <row r="183">
      <c r="A183" s="15" t="inlineStr">
        <is>
          <t>S2.2</t>
        </is>
      </c>
      <c r="B183" s="15" t="n">
        <v>1</v>
      </c>
      <c r="C183" s="16" t="inlineStr">
        <is>
          <t>Scatter diagrams and correlation (correlation vs causation)</t>
        </is>
      </c>
      <c r="D183" s="17" t="n"/>
      <c r="E183" s="18" t="n"/>
      <c r="F183" s="19" t="inlineStr">
        <is>
          <t>open</t>
        </is>
      </c>
      <c r="G183" s="19" t="inlineStr">
        <is>
          <t>Qs</t>
        </is>
      </c>
      <c r="H183" s="19" t="inlineStr">
        <is>
          <t>Ans</t>
        </is>
      </c>
      <c r="I183" s="20" t="inlineStr">
        <is>
          <t>Regression and Correlation</t>
        </is>
      </c>
      <c r="J183" s="19" t="inlineStr">
        <is>
          <t>QP</t>
        </is>
      </c>
      <c r="K183" s="19" t="inlineStr">
        <is>
          <t>MS</t>
        </is>
      </c>
      <c r="L183" s="19" t="inlineStr">
        <is>
          <t>Ans</t>
        </is>
      </c>
      <c r="M183" t="inlineStr">
        <is>
          <t>S2</t>
        </is>
      </c>
      <c r="N183" t="inlineStr">
        <is>
          <t>Statistics</t>
        </is>
      </c>
    </row>
    <row r="184">
      <c r="A184" s="15" t="inlineStr">
        <is>
          <t>S2.2</t>
        </is>
      </c>
      <c r="B184" s="15" t="n">
        <v>1</v>
      </c>
      <c r="C184" s="16" t="inlineStr">
        <is>
          <t>Linear regression lines (interpolation and extrapolation)</t>
        </is>
      </c>
      <c r="D184" s="17" t="n"/>
      <c r="E184" s="18" t="n"/>
      <c r="F184" s="19" t="inlineStr">
        <is>
          <t>open</t>
        </is>
      </c>
      <c r="G184" s="19" t="inlineStr">
        <is>
          <t>Qs</t>
        </is>
      </c>
      <c r="H184" s="19" t="inlineStr">
        <is>
          <t>Ans</t>
        </is>
      </c>
      <c r="I184" s="20" t="inlineStr">
        <is>
          <t>Regression and Correlation</t>
        </is>
      </c>
      <c r="J184" s="19" t="inlineStr">
        <is>
          <t>QP</t>
        </is>
      </c>
      <c r="K184" s="19" t="inlineStr">
        <is>
          <t>MS</t>
        </is>
      </c>
      <c r="L184" s="19" t="inlineStr">
        <is>
          <t>Ans</t>
        </is>
      </c>
      <c r="M184" t="inlineStr">
        <is>
          <t>S2</t>
        </is>
      </c>
      <c r="N184" t="inlineStr">
        <is>
          <t>Statistics</t>
        </is>
      </c>
    </row>
    <row r="185">
      <c r="A185" s="15" t="inlineStr">
        <is>
          <t>S2.2</t>
        </is>
      </c>
      <c r="B185" s="15" t="n">
        <v>2</v>
      </c>
      <c r="C185" s="16" t="inlineStr">
        <is>
          <t>Exponential models and log coding (y = axⁿ, y = kbˣ)</t>
        </is>
      </c>
      <c r="D185" s="17" t="n"/>
      <c r="E185" s="18" t="n"/>
      <c r="F185" s="19" t="inlineStr">
        <is>
          <t>open</t>
        </is>
      </c>
      <c r="G185" s="19" t="inlineStr">
        <is>
          <t>Qs</t>
        </is>
      </c>
      <c r="H185" s="19" t="inlineStr">
        <is>
          <t>Ans</t>
        </is>
      </c>
      <c r="I185" s="20" t="inlineStr">
        <is>
          <t>Regression and Correlation (Yr 2 set)</t>
        </is>
      </c>
      <c r="J185" s="19" t="inlineStr">
        <is>
          <t>QP</t>
        </is>
      </c>
      <c r="K185" s="19" t="inlineStr">
        <is>
          <t>MS</t>
        </is>
      </c>
      <c r="L185" s="19" t="inlineStr">
        <is>
          <t>Ans</t>
        </is>
      </c>
      <c r="M185" t="inlineStr">
        <is>
          <t>S2</t>
        </is>
      </c>
      <c r="N185" t="inlineStr">
        <is>
          <t>Statistics</t>
        </is>
      </c>
    </row>
    <row r="186">
      <c r="A186" s="15" t="inlineStr">
        <is>
          <t>S2.2</t>
        </is>
      </c>
      <c r="B186" s="15" t="n">
        <v>2</v>
      </c>
      <c r="C186" s="16" t="inlineStr">
        <is>
          <t>Product moment correlation coefficient (PMCC)</t>
        </is>
      </c>
      <c r="D186" s="17" t="n"/>
      <c r="E186" s="18" t="n"/>
      <c r="F186" s="19" t="inlineStr">
        <is>
          <t>open</t>
        </is>
      </c>
      <c r="G186" s="19" t="inlineStr">
        <is>
          <t>Qs</t>
        </is>
      </c>
      <c r="H186" s="19" t="inlineStr">
        <is>
          <t>Ans</t>
        </is>
      </c>
      <c r="I186" s="20" t="inlineStr">
        <is>
          <t>Regression and Correlation (Yr 2 set)</t>
        </is>
      </c>
      <c r="J186" s="19" t="inlineStr">
        <is>
          <t>QP</t>
        </is>
      </c>
      <c r="K186" s="19" t="inlineStr">
        <is>
          <t>MS</t>
        </is>
      </c>
      <c r="L186" s="19" t="inlineStr">
        <is>
          <t>Ans</t>
        </is>
      </c>
      <c r="M186" t="inlineStr">
        <is>
          <t>S2</t>
        </is>
      </c>
      <c r="N186" t="inlineStr">
        <is>
          <t>Statistics</t>
        </is>
      </c>
    </row>
    <row r="187">
      <c r="A187" s="15" t="inlineStr">
        <is>
          <t>S2.4</t>
        </is>
      </c>
      <c r="B187" s="15" t="n">
        <v>1</v>
      </c>
      <c r="C187" s="16" t="inlineStr">
        <is>
          <t>The large data set</t>
        </is>
      </c>
      <c r="D187" s="17" t="n"/>
      <c r="E187" s="18" t="n"/>
      <c r="F187" s="19" t="inlineStr">
        <is>
          <t>open</t>
        </is>
      </c>
      <c r="G187" s="19" t="inlineStr">
        <is>
          <t>Qs</t>
        </is>
      </c>
      <c r="H187" s="19" t="inlineStr">
        <is>
          <t>Ans</t>
        </is>
      </c>
      <c r="I187" s="20" t="inlineStr">
        <is>
          <t>Large data sets</t>
        </is>
      </c>
      <c r="J187" s="19" t="inlineStr">
        <is>
          <t>QP</t>
        </is>
      </c>
      <c r="K187" s="19" t="inlineStr">
        <is>
          <t>MS</t>
        </is>
      </c>
      <c r="L187" s="19" t="inlineStr">
        <is>
          <t>Ans</t>
        </is>
      </c>
      <c r="M187" t="inlineStr">
        <is>
          <t>S2</t>
        </is>
      </c>
      <c r="N187" t="inlineStr">
        <is>
          <t>Statistics</t>
        </is>
      </c>
    </row>
    <row r="188" ht="24" customHeight="1">
      <c r="A188" s="13" t="n"/>
      <c r="B188" s="14" t="inlineStr">
        <is>
          <t>STATISTICS 3   ·   Probability   ·   Paper 3   ·   9 topics (Yr 1: 4 · Yr 2: 5)</t>
        </is>
      </c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</row>
    <row r="189">
      <c r="A189" s="15" t="inlineStr">
        <is>
          <t>S3.1</t>
        </is>
      </c>
      <c r="B189" s="15" t="n">
        <v>1</v>
      </c>
      <c r="C189" s="16" t="inlineStr">
        <is>
          <t>Calculating probabilities and sample spaces</t>
        </is>
      </c>
      <c r="D189" s="17" t="n"/>
      <c r="E189" s="18" t="n"/>
      <c r="F189" s="19" t="inlineStr">
        <is>
          <t>open</t>
        </is>
      </c>
      <c r="G189" s="19" t="inlineStr">
        <is>
          <t>Qs</t>
        </is>
      </c>
      <c r="H189" s="19" t="inlineStr">
        <is>
          <t>Ans</t>
        </is>
      </c>
      <c r="I189" s="20" t="inlineStr">
        <is>
          <t>Probability</t>
        </is>
      </c>
      <c r="J189" s="19" t="inlineStr">
        <is>
          <t>QP</t>
        </is>
      </c>
      <c r="K189" s="19" t="inlineStr">
        <is>
          <t>MS</t>
        </is>
      </c>
      <c r="L189" s="19" t="inlineStr">
        <is>
          <t>Ans</t>
        </is>
      </c>
      <c r="M189" t="inlineStr">
        <is>
          <t>S3</t>
        </is>
      </c>
      <c r="N189" t="inlineStr">
        <is>
          <t>Statistics</t>
        </is>
      </c>
    </row>
    <row r="190">
      <c r="A190" s="15" t="inlineStr">
        <is>
          <t>S3.1</t>
        </is>
      </c>
      <c r="B190" s="15" t="n">
        <v>1</v>
      </c>
      <c r="C190" s="16" t="inlineStr">
        <is>
          <t>Venn diagrams</t>
        </is>
      </c>
      <c r="D190" s="17" t="n"/>
      <c r="E190" s="18" t="n"/>
      <c r="F190" s="19" t="inlineStr">
        <is>
          <t>open</t>
        </is>
      </c>
      <c r="G190" s="19" t="inlineStr">
        <is>
          <t>Qs</t>
        </is>
      </c>
      <c r="H190" s="19" t="inlineStr">
        <is>
          <t>Ans</t>
        </is>
      </c>
      <c r="I190" s="20" t="inlineStr">
        <is>
          <t>Probability</t>
        </is>
      </c>
      <c r="J190" s="19" t="inlineStr">
        <is>
          <t>QP</t>
        </is>
      </c>
      <c r="K190" s="19" t="inlineStr">
        <is>
          <t>MS</t>
        </is>
      </c>
      <c r="L190" s="19" t="inlineStr">
        <is>
          <t>Ans</t>
        </is>
      </c>
      <c r="M190" t="inlineStr">
        <is>
          <t>S3</t>
        </is>
      </c>
      <c r="N190" t="inlineStr">
        <is>
          <t>Statistics</t>
        </is>
      </c>
    </row>
    <row r="191">
      <c r="A191" s="15" t="inlineStr">
        <is>
          <t>S3.1</t>
        </is>
      </c>
      <c r="B191" s="15" t="n">
        <v>1</v>
      </c>
      <c r="C191" s="16" t="inlineStr">
        <is>
          <t>Mutually exclusive and independent events</t>
        </is>
      </c>
      <c r="D191" s="17" t="n"/>
      <c r="E191" s="18" t="n"/>
      <c r="F191" s="19" t="inlineStr">
        <is>
          <t>open</t>
        </is>
      </c>
      <c r="G191" s="19" t="inlineStr">
        <is>
          <t>Qs</t>
        </is>
      </c>
      <c r="H191" s="19" t="inlineStr">
        <is>
          <t>Ans</t>
        </is>
      </c>
      <c r="I191" s="20" t="inlineStr">
        <is>
          <t>Probability</t>
        </is>
      </c>
      <c r="J191" s="19" t="inlineStr">
        <is>
          <t>QP</t>
        </is>
      </c>
      <c r="K191" s="19" t="inlineStr">
        <is>
          <t>MS</t>
        </is>
      </c>
      <c r="L191" s="19" t="inlineStr">
        <is>
          <t>Ans</t>
        </is>
      </c>
      <c r="M191" t="inlineStr">
        <is>
          <t>S3</t>
        </is>
      </c>
      <c r="N191" t="inlineStr">
        <is>
          <t>Statistics</t>
        </is>
      </c>
    </row>
    <row r="192">
      <c r="A192" s="15" t="inlineStr">
        <is>
          <t>S3.1</t>
        </is>
      </c>
      <c r="B192" s="15" t="n">
        <v>1</v>
      </c>
      <c r="C192" s="16" t="inlineStr">
        <is>
          <t>Tree diagrams</t>
        </is>
      </c>
      <c r="D192" s="17" t="n"/>
      <c r="E192" s="18" t="n"/>
      <c r="F192" s="19" t="inlineStr">
        <is>
          <t>open</t>
        </is>
      </c>
      <c r="G192" s="19" t="inlineStr">
        <is>
          <t>Qs</t>
        </is>
      </c>
      <c r="H192" s="19" t="inlineStr">
        <is>
          <t>Ans</t>
        </is>
      </c>
      <c r="I192" s="20" t="inlineStr">
        <is>
          <t>Probability</t>
        </is>
      </c>
      <c r="J192" s="19" t="inlineStr">
        <is>
          <t>QP</t>
        </is>
      </c>
      <c r="K192" s="19" t="inlineStr">
        <is>
          <t>MS</t>
        </is>
      </c>
      <c r="L192" s="19" t="inlineStr">
        <is>
          <t>Ans</t>
        </is>
      </c>
      <c r="M192" t="inlineStr">
        <is>
          <t>S3</t>
        </is>
      </c>
      <c r="N192" t="inlineStr">
        <is>
          <t>Statistics</t>
        </is>
      </c>
    </row>
    <row r="193">
      <c r="A193" s="15" t="inlineStr">
        <is>
          <t>S3.2</t>
        </is>
      </c>
      <c r="B193" s="15" t="n">
        <v>2</v>
      </c>
      <c r="C193" s="16" t="inlineStr">
        <is>
          <t>Set notation for probability</t>
        </is>
      </c>
      <c r="D193" s="17" t="n"/>
      <c r="E193" s="18" t="n"/>
      <c r="F193" s="19" t="inlineStr">
        <is>
          <t>open</t>
        </is>
      </c>
      <c r="G193" s="19" t="inlineStr">
        <is>
          <t>Qs</t>
        </is>
      </c>
      <c r="H193" s="19" t="inlineStr">
        <is>
          <t>Ans</t>
        </is>
      </c>
      <c r="I193" s="20" t="inlineStr">
        <is>
          <t>Probability (Yr 2 set)</t>
        </is>
      </c>
      <c r="J193" s="19" t="inlineStr">
        <is>
          <t>QP</t>
        </is>
      </c>
      <c r="K193" s="19" t="inlineStr">
        <is>
          <t>MS</t>
        </is>
      </c>
      <c r="L193" s="19" t="inlineStr">
        <is>
          <t>Ans</t>
        </is>
      </c>
      <c r="M193" t="inlineStr">
        <is>
          <t>S3</t>
        </is>
      </c>
      <c r="N193" t="inlineStr">
        <is>
          <t>Statistics</t>
        </is>
      </c>
    </row>
    <row r="194">
      <c r="A194" s="15" t="inlineStr">
        <is>
          <t>S3.2</t>
        </is>
      </c>
      <c r="B194" s="15" t="n">
        <v>2</v>
      </c>
      <c r="C194" s="16" t="inlineStr">
        <is>
          <t>Conditional probability (incl. two-way tables)</t>
        </is>
      </c>
      <c r="D194" s="17" t="n"/>
      <c r="E194" s="18" t="n"/>
      <c r="F194" s="19" t="inlineStr">
        <is>
          <t>open</t>
        </is>
      </c>
      <c r="G194" s="19" t="inlineStr">
        <is>
          <t>Qs</t>
        </is>
      </c>
      <c r="H194" s="19" t="inlineStr">
        <is>
          <t>Ans</t>
        </is>
      </c>
      <c r="I194" s="20" t="inlineStr">
        <is>
          <t>Conditional Probability (Yr 2 set)</t>
        </is>
      </c>
      <c r="J194" s="19" t="inlineStr">
        <is>
          <t>QP</t>
        </is>
      </c>
      <c r="K194" s="19" t="inlineStr">
        <is>
          <t>MS</t>
        </is>
      </c>
      <c r="L194" s="19" t="inlineStr">
        <is>
          <t>Ans</t>
        </is>
      </c>
      <c r="M194" t="inlineStr">
        <is>
          <t>S3</t>
        </is>
      </c>
      <c r="N194" t="inlineStr">
        <is>
          <t>Statistics</t>
        </is>
      </c>
    </row>
    <row r="195">
      <c r="A195" s="15" t="inlineStr">
        <is>
          <t>S3.2</t>
        </is>
      </c>
      <c r="B195" s="15" t="n">
        <v>2</v>
      </c>
      <c r="C195" s="16" t="inlineStr">
        <is>
          <t>Conditional probability with Venn diagrams</t>
        </is>
      </c>
      <c r="D195" s="17" t="n"/>
      <c r="E195" s="18" t="n"/>
      <c r="F195" s="19" t="inlineStr">
        <is>
          <t>open</t>
        </is>
      </c>
      <c r="G195" s="19" t="inlineStr">
        <is>
          <t>Qs</t>
        </is>
      </c>
      <c r="H195" s="19" t="inlineStr">
        <is>
          <t>Ans</t>
        </is>
      </c>
      <c r="I195" s="20" t="inlineStr">
        <is>
          <t>Conditional Probability (Yr 2 set)</t>
        </is>
      </c>
      <c r="J195" s="19" t="inlineStr">
        <is>
          <t>QP</t>
        </is>
      </c>
      <c r="K195" s="19" t="inlineStr">
        <is>
          <t>MS</t>
        </is>
      </c>
      <c r="L195" s="19" t="inlineStr">
        <is>
          <t>Ans</t>
        </is>
      </c>
      <c r="M195" t="inlineStr">
        <is>
          <t>S3</t>
        </is>
      </c>
      <c r="N195" t="inlineStr">
        <is>
          <t>Statistics</t>
        </is>
      </c>
    </row>
    <row r="196">
      <c r="A196" s="15" t="inlineStr">
        <is>
          <t>S3.2</t>
        </is>
      </c>
      <c r="B196" s="15" t="n">
        <v>2</v>
      </c>
      <c r="C196" s="16" t="inlineStr">
        <is>
          <t>Probability formulae: P(A ∪ B) and P(A | B)</t>
        </is>
      </c>
      <c r="D196" s="17" t="n"/>
      <c r="E196" s="18" t="n"/>
      <c r="F196" s="19" t="inlineStr">
        <is>
          <t>open</t>
        </is>
      </c>
      <c r="G196" s="19" t="inlineStr">
        <is>
          <t>Qs</t>
        </is>
      </c>
      <c r="H196" s="19" t="inlineStr">
        <is>
          <t>Ans</t>
        </is>
      </c>
      <c r="I196" s="20" t="inlineStr">
        <is>
          <t>Conditional Probability (Yr 2 set)</t>
        </is>
      </c>
      <c r="J196" s="19" t="inlineStr">
        <is>
          <t>QP</t>
        </is>
      </c>
      <c r="K196" s="19" t="inlineStr">
        <is>
          <t>MS</t>
        </is>
      </c>
      <c r="L196" s="19" t="inlineStr">
        <is>
          <t>Ans</t>
        </is>
      </c>
      <c r="M196" t="inlineStr">
        <is>
          <t>S3</t>
        </is>
      </c>
      <c r="N196" t="inlineStr">
        <is>
          <t>Statistics</t>
        </is>
      </c>
    </row>
    <row r="197">
      <c r="A197" s="15" t="inlineStr">
        <is>
          <t>S3.2</t>
        </is>
      </c>
      <c r="B197" s="15" t="n">
        <v>2</v>
      </c>
      <c r="C197" s="16" t="inlineStr">
        <is>
          <t>Conditional probability with tree diagrams</t>
        </is>
      </c>
      <c r="D197" s="17" t="n"/>
      <c r="E197" s="18" t="n"/>
      <c r="F197" s="19" t="inlineStr">
        <is>
          <t>open</t>
        </is>
      </c>
      <c r="G197" s="19" t="inlineStr">
        <is>
          <t>Qs</t>
        </is>
      </c>
      <c r="H197" s="19" t="inlineStr">
        <is>
          <t>Ans</t>
        </is>
      </c>
      <c r="I197" s="20" t="inlineStr">
        <is>
          <t>Conditional Probability (Yr 2 set)</t>
        </is>
      </c>
      <c r="J197" s="19" t="inlineStr">
        <is>
          <t>QP</t>
        </is>
      </c>
      <c r="K197" s="19" t="inlineStr">
        <is>
          <t>MS</t>
        </is>
      </c>
      <c r="L197" s="19" t="inlineStr">
        <is>
          <t>Ans</t>
        </is>
      </c>
      <c r="M197" t="inlineStr">
        <is>
          <t>S3</t>
        </is>
      </c>
      <c r="N197" t="inlineStr">
        <is>
          <t>Statistics</t>
        </is>
      </c>
    </row>
    <row r="198" ht="24" customHeight="1">
      <c r="A198" s="13" t="n"/>
      <c r="B198" s="14" t="inlineStr">
        <is>
          <t>STATISTICS 4   ·   Statistical distributions   ·   Paper 3   ·   7 topics (Yr 1: 3 · Yr 2: 4)</t>
        </is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</row>
    <row r="199">
      <c r="A199" s="15" t="inlineStr">
        <is>
          <t>S4.1</t>
        </is>
      </c>
      <c r="B199" s="15" t="n">
        <v>1</v>
      </c>
      <c r="C199" s="16" t="inlineStr">
        <is>
          <t>Discrete random variables and probability distributions</t>
        </is>
      </c>
      <c r="D199" s="17" t="n"/>
      <c r="E199" s="18" t="n"/>
      <c r="F199" s="19" t="inlineStr">
        <is>
          <t>open</t>
        </is>
      </c>
      <c r="G199" s="19" t="inlineStr">
        <is>
          <t>Qs</t>
        </is>
      </c>
      <c r="H199" s="19" t="inlineStr">
        <is>
          <t>Ans</t>
        </is>
      </c>
      <c r="I199" s="20" t="inlineStr">
        <is>
          <t>Discrete Distributions - Binomial</t>
        </is>
      </c>
      <c r="J199" s="19" t="inlineStr">
        <is>
          <t>QP</t>
        </is>
      </c>
      <c r="K199" s="19" t="inlineStr">
        <is>
          <t>MS</t>
        </is>
      </c>
      <c r="L199" s="19" t="inlineStr">
        <is>
          <t>Ans</t>
        </is>
      </c>
      <c r="M199" t="inlineStr">
        <is>
          <t>S4</t>
        </is>
      </c>
      <c r="N199" t="inlineStr">
        <is>
          <t>Statistics</t>
        </is>
      </c>
    </row>
    <row r="200">
      <c r="A200" s="15" t="inlineStr">
        <is>
          <t>S4.1</t>
        </is>
      </c>
      <c r="B200" s="15" t="n">
        <v>1</v>
      </c>
      <c r="C200" s="16" t="inlineStr">
        <is>
          <t>The binomial distribution B(n, p)</t>
        </is>
      </c>
      <c r="D200" s="17" t="n"/>
      <c r="E200" s="18" t="n"/>
      <c r="F200" s="19" t="inlineStr">
        <is>
          <t>open</t>
        </is>
      </c>
      <c r="G200" s="19" t="inlineStr">
        <is>
          <t>Qs</t>
        </is>
      </c>
      <c r="H200" s="19" t="inlineStr">
        <is>
          <t>Ans</t>
        </is>
      </c>
      <c r="I200" s="20" t="inlineStr">
        <is>
          <t>Discrete Distributions - Binomial</t>
        </is>
      </c>
      <c r="J200" s="19" t="inlineStr">
        <is>
          <t>QP</t>
        </is>
      </c>
      <c r="K200" s="19" t="inlineStr">
        <is>
          <t>MS</t>
        </is>
      </c>
      <c r="L200" s="19" t="inlineStr">
        <is>
          <t>Ans</t>
        </is>
      </c>
      <c r="M200" t="inlineStr">
        <is>
          <t>S4</t>
        </is>
      </c>
      <c r="N200" t="inlineStr">
        <is>
          <t>Statistics</t>
        </is>
      </c>
    </row>
    <row r="201">
      <c r="A201" s="15" t="inlineStr">
        <is>
          <t>S4.1</t>
        </is>
      </c>
      <c r="B201" s="15" t="n">
        <v>1</v>
      </c>
      <c r="C201" s="16" t="inlineStr">
        <is>
          <t>Cumulative binomial probabilities</t>
        </is>
      </c>
      <c r="D201" s="17" t="n"/>
      <c r="E201" s="18" t="n"/>
      <c r="F201" s="19" t="inlineStr">
        <is>
          <t>open</t>
        </is>
      </c>
      <c r="G201" s="19" t="inlineStr">
        <is>
          <t>Qs</t>
        </is>
      </c>
      <c r="H201" s="19" t="inlineStr">
        <is>
          <t>Ans</t>
        </is>
      </c>
      <c r="I201" s="20" t="inlineStr">
        <is>
          <t>Discrete Distributions - Binomial</t>
        </is>
      </c>
      <c r="J201" s="19" t="inlineStr">
        <is>
          <t>QP</t>
        </is>
      </c>
      <c r="K201" s="19" t="inlineStr">
        <is>
          <t>MS</t>
        </is>
      </c>
      <c r="L201" s="19" t="inlineStr">
        <is>
          <t>Ans</t>
        </is>
      </c>
      <c r="M201" t="inlineStr">
        <is>
          <t>S4</t>
        </is>
      </c>
      <c r="N201" t="inlineStr">
        <is>
          <t>Statistics</t>
        </is>
      </c>
    </row>
    <row r="202">
      <c r="A202" s="15" t="inlineStr">
        <is>
          <t>S4.2</t>
        </is>
      </c>
      <c r="B202" s="15" t="n">
        <v>2</v>
      </c>
      <c r="C202" s="16" t="inlineStr">
        <is>
          <t>The normal distribution: properties and finding probabilities</t>
        </is>
      </c>
      <c r="D202" s="17" t="n"/>
      <c r="E202" s="18" t="n"/>
      <c r="F202" s="19" t="inlineStr">
        <is>
          <t>open</t>
        </is>
      </c>
      <c r="G202" s="19" t="inlineStr">
        <is>
          <t>Qs</t>
        </is>
      </c>
      <c r="H202" s="19" t="inlineStr">
        <is>
          <t>Ans</t>
        </is>
      </c>
      <c r="I202" s="20" t="inlineStr">
        <is>
          <t>Normal Distribution (Yr 2 set)</t>
        </is>
      </c>
      <c r="J202" s="19" t="inlineStr">
        <is>
          <t>QP</t>
        </is>
      </c>
      <c r="K202" s="19" t="inlineStr">
        <is>
          <t>MS</t>
        </is>
      </c>
      <c r="L202" s="19" t="inlineStr">
        <is>
          <t>Ans</t>
        </is>
      </c>
      <c r="M202" t="inlineStr">
        <is>
          <t>S4</t>
        </is>
      </c>
      <c r="N202" t="inlineStr">
        <is>
          <t>Statistics</t>
        </is>
      </c>
    </row>
    <row r="203">
      <c r="A203" s="15" t="inlineStr">
        <is>
          <t>S4.2</t>
        </is>
      </c>
      <c r="B203" s="15" t="n">
        <v>2</v>
      </c>
      <c r="C203" s="16" t="inlineStr">
        <is>
          <t>The inverse normal distribution</t>
        </is>
      </c>
      <c r="D203" s="17" t="n"/>
      <c r="E203" s="18" t="n"/>
      <c r="F203" s="19" t="inlineStr">
        <is>
          <t>open</t>
        </is>
      </c>
      <c r="G203" s="19" t="inlineStr">
        <is>
          <t>Qs</t>
        </is>
      </c>
      <c r="H203" s="19" t="inlineStr">
        <is>
          <t>Ans</t>
        </is>
      </c>
      <c r="I203" s="20" t="inlineStr">
        <is>
          <t>Normal Distribution (Yr 2 set)</t>
        </is>
      </c>
      <c r="J203" s="19" t="inlineStr">
        <is>
          <t>QP</t>
        </is>
      </c>
      <c r="K203" s="19" t="inlineStr">
        <is>
          <t>MS</t>
        </is>
      </c>
      <c r="L203" s="19" t="inlineStr">
        <is>
          <t>Ans</t>
        </is>
      </c>
      <c r="M203" t="inlineStr">
        <is>
          <t>S4</t>
        </is>
      </c>
      <c r="N203" t="inlineStr">
        <is>
          <t>Statistics</t>
        </is>
      </c>
    </row>
    <row r="204">
      <c r="A204" s="15" t="inlineStr">
        <is>
          <t>S4.2</t>
        </is>
      </c>
      <c r="B204" s="15" t="n">
        <v>2</v>
      </c>
      <c r="C204" s="16" t="inlineStr">
        <is>
          <t>Standard normal Z and finding an unknown mean or standard deviation</t>
        </is>
      </c>
      <c r="D204" s="17" t="n"/>
      <c r="E204" s="18" t="n"/>
      <c r="F204" s="19" t="inlineStr">
        <is>
          <t>open</t>
        </is>
      </c>
      <c r="G204" s="19" t="inlineStr">
        <is>
          <t>Qs</t>
        </is>
      </c>
      <c r="H204" s="19" t="inlineStr">
        <is>
          <t>Ans</t>
        </is>
      </c>
      <c r="I204" s="20" t="inlineStr">
        <is>
          <t>Normal Distribution (Yr 2 set)</t>
        </is>
      </c>
      <c r="J204" s="19" t="inlineStr">
        <is>
          <t>QP</t>
        </is>
      </c>
      <c r="K204" s="19" t="inlineStr">
        <is>
          <t>MS</t>
        </is>
      </c>
      <c r="L204" s="19" t="inlineStr">
        <is>
          <t>Ans</t>
        </is>
      </c>
      <c r="M204" t="inlineStr">
        <is>
          <t>S4</t>
        </is>
      </c>
      <c r="N204" t="inlineStr">
        <is>
          <t>Statistics</t>
        </is>
      </c>
    </row>
    <row r="205">
      <c r="A205" s="15" t="inlineStr">
        <is>
          <t>S4.3</t>
        </is>
      </c>
      <c r="B205" s="15" t="n">
        <v>2</v>
      </c>
      <c r="C205" s="16" t="inlineStr">
        <is>
          <t>Choosing a model; normal approximation to the binomial</t>
        </is>
      </c>
      <c r="D205" s="17" t="n"/>
      <c r="E205" s="18" t="n"/>
      <c r="F205" s="19" t="inlineStr">
        <is>
          <t>open</t>
        </is>
      </c>
      <c r="G205" s="19" t="inlineStr">
        <is>
          <t>Qs</t>
        </is>
      </c>
      <c r="H205" s="19" t="inlineStr">
        <is>
          <t>Ans</t>
        </is>
      </c>
      <c r="I205" s="20" t="inlineStr">
        <is>
          <t>Normal Distribution (Yr 2 set)</t>
        </is>
      </c>
      <c r="J205" s="19" t="inlineStr">
        <is>
          <t>QP</t>
        </is>
      </c>
      <c r="K205" s="19" t="inlineStr">
        <is>
          <t>MS</t>
        </is>
      </c>
      <c r="L205" s="19" t="inlineStr">
        <is>
          <t>Ans</t>
        </is>
      </c>
      <c r="M205" t="inlineStr">
        <is>
          <t>S4</t>
        </is>
      </c>
      <c r="N205" t="inlineStr">
        <is>
          <t>Statistics</t>
        </is>
      </c>
    </row>
    <row r="206" ht="24" customHeight="1">
      <c r="A206" s="13" t="n"/>
      <c r="B206" s="14" t="inlineStr">
        <is>
          <t>STATISTICS 5   ·   Statistical hypothesis testing   ·   Paper 3   ·   6 topics (Yr 1: 4 · Yr 2: 2)</t>
        </is>
      </c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</row>
    <row r="207">
      <c r="A207" s="15" t="inlineStr">
        <is>
          <t>S5.1</t>
        </is>
      </c>
      <c r="B207" s="15" t="n">
        <v>1</v>
      </c>
      <c r="C207" s="16" t="inlineStr">
        <is>
          <t>Language of hypothesis testing (H₀, H₁, significance level, p-value)</t>
        </is>
      </c>
      <c r="D207" s="17" t="n"/>
      <c r="E207" s="18" t="n"/>
      <c r="F207" s="19" t="inlineStr">
        <is>
          <t>open</t>
        </is>
      </c>
      <c r="G207" s="19" t="inlineStr">
        <is>
          <t>Qs</t>
        </is>
      </c>
      <c r="H207" s="19" t="inlineStr">
        <is>
          <t>Ans</t>
        </is>
      </c>
      <c r="I207" s="20" t="inlineStr">
        <is>
          <t>Tests on Binomial</t>
        </is>
      </c>
      <c r="J207" s="19" t="inlineStr">
        <is>
          <t>QP</t>
        </is>
      </c>
      <c r="K207" s="19" t="inlineStr">
        <is>
          <t>MS</t>
        </is>
      </c>
      <c r="L207" s="19" t="inlineStr">
        <is>
          <t>Ans</t>
        </is>
      </c>
      <c r="M207" t="inlineStr">
        <is>
          <t>S5</t>
        </is>
      </c>
      <c r="N207" t="inlineStr">
        <is>
          <t>Statistics</t>
        </is>
      </c>
    </row>
    <row r="208">
      <c r="A208" s="15" t="inlineStr">
        <is>
          <t>S5.1</t>
        </is>
      </c>
      <c r="B208" s="15" t="n">
        <v>1</v>
      </c>
      <c r="C208" s="16" t="inlineStr">
        <is>
          <t>Critical values, critical regions and actual significance level</t>
        </is>
      </c>
      <c r="D208" s="17" t="n"/>
      <c r="E208" s="18" t="n"/>
      <c r="F208" s="19" t="inlineStr">
        <is>
          <t>open</t>
        </is>
      </c>
      <c r="G208" s="19" t="inlineStr">
        <is>
          <t>Qs</t>
        </is>
      </c>
      <c r="H208" s="19" t="inlineStr">
        <is>
          <t>Ans</t>
        </is>
      </c>
      <c r="I208" s="20" t="inlineStr">
        <is>
          <t>Tests on Binomial</t>
        </is>
      </c>
      <c r="J208" s="19" t="inlineStr">
        <is>
          <t>QP</t>
        </is>
      </c>
      <c r="K208" s="19" t="inlineStr">
        <is>
          <t>MS</t>
        </is>
      </c>
      <c r="L208" s="19" t="inlineStr">
        <is>
          <t>Ans</t>
        </is>
      </c>
      <c r="M208" t="inlineStr">
        <is>
          <t>S5</t>
        </is>
      </c>
      <c r="N208" t="inlineStr">
        <is>
          <t>Statistics</t>
        </is>
      </c>
    </row>
    <row r="209">
      <c r="A209" s="15" t="inlineStr">
        <is>
          <t>S5.2</t>
        </is>
      </c>
      <c r="B209" s="15" t="n">
        <v>1</v>
      </c>
      <c r="C209" s="16" t="inlineStr">
        <is>
          <t>One-tailed binomial tests</t>
        </is>
      </c>
      <c r="D209" s="17" t="n"/>
      <c r="E209" s="18" t="n"/>
      <c r="F209" s="19" t="inlineStr">
        <is>
          <t>open</t>
        </is>
      </c>
      <c r="G209" s="19" t="inlineStr">
        <is>
          <t>Qs</t>
        </is>
      </c>
      <c r="H209" s="19" t="inlineStr">
        <is>
          <t>Ans</t>
        </is>
      </c>
      <c r="I209" s="20" t="inlineStr">
        <is>
          <t>Tests on Binomial</t>
        </is>
      </c>
      <c r="J209" s="19" t="inlineStr">
        <is>
          <t>QP</t>
        </is>
      </c>
      <c r="K209" s="19" t="inlineStr">
        <is>
          <t>MS</t>
        </is>
      </c>
      <c r="L209" s="19" t="inlineStr">
        <is>
          <t>Ans</t>
        </is>
      </c>
      <c r="M209" t="inlineStr">
        <is>
          <t>S5</t>
        </is>
      </c>
      <c r="N209" t="inlineStr">
        <is>
          <t>Statistics</t>
        </is>
      </c>
    </row>
    <row r="210">
      <c r="A210" s="15" t="inlineStr">
        <is>
          <t>S5.2</t>
        </is>
      </c>
      <c r="B210" s="15" t="n">
        <v>1</v>
      </c>
      <c r="C210" s="16" t="inlineStr">
        <is>
          <t>Two-tailed binomial tests</t>
        </is>
      </c>
      <c r="D210" s="17" t="n"/>
      <c r="E210" s="18" t="n"/>
      <c r="F210" s="19" t="inlineStr">
        <is>
          <t>open</t>
        </is>
      </c>
      <c r="G210" s="19" t="inlineStr">
        <is>
          <t>Qs</t>
        </is>
      </c>
      <c r="H210" s="19" t="inlineStr">
        <is>
          <t>Ans</t>
        </is>
      </c>
      <c r="I210" s="20" t="inlineStr">
        <is>
          <t>Tests on Binomial</t>
        </is>
      </c>
      <c r="J210" s="19" t="inlineStr">
        <is>
          <t>QP</t>
        </is>
      </c>
      <c r="K210" s="19" t="inlineStr">
        <is>
          <t>MS</t>
        </is>
      </c>
      <c r="L210" s="19" t="inlineStr">
        <is>
          <t>Ans</t>
        </is>
      </c>
      <c r="M210" t="inlineStr">
        <is>
          <t>S5</t>
        </is>
      </c>
      <c r="N210" t="inlineStr">
        <is>
          <t>Statistics</t>
        </is>
      </c>
    </row>
    <row r="211">
      <c r="A211" s="15" t="inlineStr">
        <is>
          <t>S5.2</t>
        </is>
      </c>
      <c r="B211" s="15" t="n">
        <v>2</v>
      </c>
      <c r="C211" s="16" t="inlineStr">
        <is>
          <t>Hypothesis test for zero correlation (PMCC)</t>
        </is>
      </c>
      <c r="D211" s="17" t="n"/>
      <c r="E211" s="18" t="n"/>
      <c r="F211" s="19" t="inlineStr">
        <is>
          <t>open</t>
        </is>
      </c>
      <c r="G211" s="19" t="inlineStr">
        <is>
          <t>Qs</t>
        </is>
      </c>
      <c r="H211" s="19" t="inlineStr">
        <is>
          <t>Ans</t>
        </is>
      </c>
      <c r="I211" s="20" t="inlineStr">
        <is>
          <t>Regression (Yr 2 set)</t>
        </is>
      </c>
      <c r="J211" s="19" t="inlineStr">
        <is>
          <t>QP</t>
        </is>
      </c>
      <c r="K211" s="19" t="inlineStr">
        <is>
          <t>MS</t>
        </is>
      </c>
      <c r="L211" s="19" t="inlineStr">
        <is>
          <t>Ans</t>
        </is>
      </c>
      <c r="M211" t="inlineStr">
        <is>
          <t>S5</t>
        </is>
      </c>
      <c r="N211" t="inlineStr">
        <is>
          <t>Statistics</t>
        </is>
      </c>
    </row>
    <row r="212">
      <c r="A212" s="15" t="inlineStr">
        <is>
          <t>S5.3</t>
        </is>
      </c>
      <c r="B212" s="15" t="n">
        <v>2</v>
      </c>
      <c r="C212" s="16" t="inlineStr">
        <is>
          <t>Hypothesis test for the mean of a normal distribution</t>
        </is>
      </c>
      <c r="D212" s="17" t="n"/>
      <c r="E212" s="18" t="n"/>
      <c r="F212" s="19" t="inlineStr">
        <is>
          <t>open</t>
        </is>
      </c>
      <c r="G212" s="19" t="inlineStr">
        <is>
          <t>Qs</t>
        </is>
      </c>
      <c r="H212" s="19" t="inlineStr">
        <is>
          <t>Ans</t>
        </is>
      </c>
      <c r="I212" s="20" t="inlineStr">
        <is>
          <t>Tests on Normal (Yr 2 set)</t>
        </is>
      </c>
      <c r="J212" s="19" t="inlineStr">
        <is>
          <t>QP</t>
        </is>
      </c>
      <c r="K212" s="19" t="inlineStr">
        <is>
          <t>MS</t>
        </is>
      </c>
      <c r="L212" s="19" t="inlineStr">
        <is>
          <t>Ans</t>
        </is>
      </c>
      <c r="M212" t="inlineStr">
        <is>
          <t>S5</t>
        </is>
      </c>
      <c r="N212" t="inlineStr">
        <is>
          <t>Statistics</t>
        </is>
      </c>
    </row>
    <row r="213" ht="24" customHeight="1">
      <c r="A213" s="13" t="n"/>
      <c r="B213" s="14" t="inlineStr">
        <is>
          <t>MECHANICS 6   ·   Quantities and units in mechanics   ·   Paper 3   ·   1 topics (Yr 1: 1)</t>
        </is>
      </c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</row>
    <row r="214">
      <c r="A214" s="15" t="inlineStr">
        <is>
          <t>M6.1</t>
        </is>
      </c>
      <c r="B214" s="15" t="n">
        <v>1</v>
      </c>
      <c r="C214" s="16" t="inlineStr">
        <is>
          <t>SI units, derived quantities and modelling assumptions</t>
        </is>
      </c>
      <c r="D214" s="17" t="n"/>
      <c r="E214" s="18" t="n"/>
      <c r="F214" s="19" t="inlineStr">
        <is>
          <t>open</t>
        </is>
      </c>
      <c r="G214" s="19" t="inlineStr">
        <is>
          <t>Qs (topic)</t>
        </is>
      </c>
      <c r="H214" s="19" t="inlineStr">
        <is>
          <t>Ans</t>
        </is>
      </c>
      <c r="I214" s="21" t="inlineStr">
        <is>
          <t>no PMT sheet</t>
        </is>
      </c>
      <c r="J214" s="22" t="n"/>
      <c r="K214" s="22" t="n"/>
      <c r="L214" s="22" t="n"/>
      <c r="M214" t="inlineStr">
        <is>
          <t>M6</t>
        </is>
      </c>
      <c r="N214" t="inlineStr">
        <is>
          <t>Mechanics</t>
        </is>
      </c>
    </row>
    <row r="215" ht="24" customHeight="1">
      <c r="A215" s="13" t="n"/>
      <c r="B215" s="14" t="inlineStr">
        <is>
          <t>MECHANICS 7   ·   Kinematics   ·   Paper 3   ·   15 topics (Yr 1: 10 · Yr 2: 5)</t>
        </is>
      </c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</row>
    <row r="216">
      <c r="A216" s="15" t="inlineStr">
        <is>
          <t>M7.1</t>
        </is>
      </c>
      <c r="B216" s="15" t="n">
        <v>1</v>
      </c>
      <c r="C216" s="16" t="inlineStr">
        <is>
          <t>Language of kinematics: displacement, velocity, speed, acceleration</t>
        </is>
      </c>
      <c r="D216" s="17" t="n"/>
      <c r="E216" s="18" t="n"/>
      <c r="F216" s="19" t="inlineStr">
        <is>
          <t>open</t>
        </is>
      </c>
      <c r="G216" s="19" t="inlineStr">
        <is>
          <t>Qs (topic)</t>
        </is>
      </c>
      <c r="H216" s="19" t="inlineStr">
        <is>
          <t>Ans</t>
        </is>
      </c>
      <c r="I216" s="20" t="inlineStr">
        <is>
          <t>Uniform Acceleration Formulae</t>
        </is>
      </c>
      <c r="J216" s="19" t="inlineStr">
        <is>
          <t>QP</t>
        </is>
      </c>
      <c r="K216" s="19" t="inlineStr">
        <is>
          <t>MS</t>
        </is>
      </c>
      <c r="L216" s="19" t="inlineStr">
        <is>
          <t>Ans</t>
        </is>
      </c>
      <c r="M216" t="inlineStr">
        <is>
          <t>M7</t>
        </is>
      </c>
      <c r="N216" t="inlineStr">
        <is>
          <t>Mechanics</t>
        </is>
      </c>
    </row>
    <row r="217">
      <c r="A217" s="15" t="inlineStr">
        <is>
          <t>M7.2</t>
        </is>
      </c>
      <c r="B217" s="15" t="n">
        <v>1</v>
      </c>
      <c r="C217" s="16" t="inlineStr">
        <is>
          <t>Displacement-time graphs</t>
        </is>
      </c>
      <c r="D217" s="17" t="n"/>
      <c r="E217" s="18" t="n"/>
      <c r="F217" s="19" t="inlineStr">
        <is>
          <t>open</t>
        </is>
      </c>
      <c r="G217" s="19" t="inlineStr">
        <is>
          <t>Qs</t>
        </is>
      </c>
      <c r="H217" s="19" t="inlineStr">
        <is>
          <t>Ans</t>
        </is>
      </c>
      <c r="I217" s="20" t="inlineStr">
        <is>
          <t>by Graphical Methods</t>
        </is>
      </c>
      <c r="J217" s="19" t="inlineStr">
        <is>
          <t>QP</t>
        </is>
      </c>
      <c r="K217" s="19" t="inlineStr">
        <is>
          <t>MS</t>
        </is>
      </c>
      <c r="L217" s="19" t="inlineStr">
        <is>
          <t>Ans</t>
        </is>
      </c>
      <c r="M217" t="inlineStr">
        <is>
          <t>M7</t>
        </is>
      </c>
      <c r="N217" t="inlineStr">
        <is>
          <t>Mechanics</t>
        </is>
      </c>
    </row>
    <row r="218">
      <c r="A218" s="15" t="inlineStr">
        <is>
          <t>M7.2</t>
        </is>
      </c>
      <c r="B218" s="15" t="n">
        <v>1</v>
      </c>
      <c r="C218" s="16" t="inlineStr">
        <is>
          <t>Velocity-time graphs (gradient and area)</t>
        </is>
      </c>
      <c r="D218" s="17" t="n"/>
      <c r="E218" s="18" t="n"/>
      <c r="F218" s="19" t="inlineStr">
        <is>
          <t>open</t>
        </is>
      </c>
      <c r="G218" s="19" t="inlineStr">
        <is>
          <t>Qs (topic)</t>
        </is>
      </c>
      <c r="H218" s="19" t="inlineStr">
        <is>
          <t>Ans</t>
        </is>
      </c>
      <c r="I218" s="20" t="inlineStr">
        <is>
          <t>by Graphical Methods</t>
        </is>
      </c>
      <c r="J218" s="19" t="inlineStr">
        <is>
          <t>QP</t>
        </is>
      </c>
      <c r="K218" s="19" t="inlineStr">
        <is>
          <t>MS</t>
        </is>
      </c>
      <c r="L218" s="19" t="inlineStr">
        <is>
          <t>Ans</t>
        </is>
      </c>
      <c r="M218" t="inlineStr">
        <is>
          <t>M7</t>
        </is>
      </c>
      <c r="N218" t="inlineStr">
        <is>
          <t>Mechanics</t>
        </is>
      </c>
    </row>
    <row r="219">
      <c r="A219" s="15" t="inlineStr">
        <is>
          <t>M7.3</t>
        </is>
      </c>
      <c r="B219" s="15" t="n">
        <v>1</v>
      </c>
      <c r="C219" s="16" t="inlineStr">
        <is>
          <t>Constant acceleration (suvat) formulae</t>
        </is>
      </c>
      <c r="D219" s="17" t="n"/>
      <c r="E219" s="18" t="n"/>
      <c r="F219" s="19" t="inlineStr">
        <is>
          <t>open</t>
        </is>
      </c>
      <c r="G219" s="19" t="inlineStr">
        <is>
          <t>Qs</t>
        </is>
      </c>
      <c r="H219" s="19" t="inlineStr">
        <is>
          <t>Ans</t>
        </is>
      </c>
      <c r="I219" s="20" t="inlineStr">
        <is>
          <t>Uniform Acceleration Formulae</t>
        </is>
      </c>
      <c r="J219" s="19" t="inlineStr">
        <is>
          <t>QP</t>
        </is>
      </c>
      <c r="K219" s="19" t="inlineStr">
        <is>
          <t>MS</t>
        </is>
      </c>
      <c r="L219" s="19" t="inlineStr">
        <is>
          <t>Ans</t>
        </is>
      </c>
      <c r="M219" t="inlineStr">
        <is>
          <t>M7</t>
        </is>
      </c>
      <c r="N219" t="inlineStr">
        <is>
          <t>Mechanics</t>
        </is>
      </c>
    </row>
    <row r="220">
      <c r="A220" s="15" t="inlineStr">
        <is>
          <t>M7.3</t>
        </is>
      </c>
      <c r="B220" s="15" t="n">
        <v>1</v>
      </c>
      <c r="C220" s="16" t="inlineStr">
        <is>
          <t>suvat: multi-stage and two-particle problems</t>
        </is>
      </c>
      <c r="D220" s="17" t="n"/>
      <c r="E220" s="18" t="n"/>
      <c r="F220" s="19" t="inlineStr">
        <is>
          <t>open</t>
        </is>
      </c>
      <c r="G220" s="19" t="inlineStr">
        <is>
          <t>Qs</t>
        </is>
      </c>
      <c r="H220" s="19" t="inlineStr">
        <is>
          <t>Ans</t>
        </is>
      </c>
      <c r="I220" s="20" t="inlineStr">
        <is>
          <t>Uniform Acceleration Formulae</t>
        </is>
      </c>
      <c r="J220" s="19" t="inlineStr">
        <is>
          <t>QP</t>
        </is>
      </c>
      <c r="K220" s="19" t="inlineStr">
        <is>
          <t>MS</t>
        </is>
      </c>
      <c r="L220" s="19" t="inlineStr">
        <is>
          <t>Ans</t>
        </is>
      </c>
      <c r="M220" t="inlineStr">
        <is>
          <t>M7</t>
        </is>
      </c>
      <c r="N220" t="inlineStr">
        <is>
          <t>Mechanics</t>
        </is>
      </c>
    </row>
    <row r="221">
      <c r="A221" s="15" t="inlineStr">
        <is>
          <t>M7.5</t>
        </is>
      </c>
      <c r="B221" s="15" t="n">
        <v>1</v>
      </c>
      <c r="C221" s="16" t="inlineStr">
        <is>
          <t>Vertical motion under gravity</t>
        </is>
      </c>
      <c r="D221" s="17" t="n"/>
      <c r="E221" s="18" t="n"/>
      <c r="F221" s="19" t="inlineStr">
        <is>
          <t>open</t>
        </is>
      </c>
      <c r="G221" s="19" t="inlineStr">
        <is>
          <t>Qs</t>
        </is>
      </c>
      <c r="H221" s="19" t="inlineStr">
        <is>
          <t>Ans</t>
        </is>
      </c>
      <c r="I221" s="20" t="inlineStr">
        <is>
          <t>Uniform Acceleration Formulae</t>
        </is>
      </c>
      <c r="J221" s="19" t="inlineStr">
        <is>
          <t>QP</t>
        </is>
      </c>
      <c r="K221" s="19" t="inlineStr">
        <is>
          <t>MS</t>
        </is>
      </c>
      <c r="L221" s="19" t="inlineStr">
        <is>
          <t>Ans</t>
        </is>
      </c>
      <c r="M221" t="inlineStr">
        <is>
          <t>M7</t>
        </is>
      </c>
      <c r="N221" t="inlineStr">
        <is>
          <t>Mechanics</t>
        </is>
      </c>
    </row>
    <row r="222">
      <c r="A222" s="15" t="inlineStr">
        <is>
          <t>M7.4</t>
        </is>
      </c>
      <c r="B222" s="15" t="n">
        <v>1</v>
      </c>
      <c r="C222" s="16" t="inlineStr">
        <is>
          <t>Variable acceleration: using differentiation</t>
        </is>
      </c>
      <c r="D222" s="17" t="n"/>
      <c r="E222" s="18" t="n"/>
      <c r="F222" s="19" t="inlineStr">
        <is>
          <t>open</t>
        </is>
      </c>
      <c r="G222" s="19" t="inlineStr">
        <is>
          <t>Qs</t>
        </is>
      </c>
      <c r="H222" s="19" t="inlineStr">
        <is>
          <t>Ans</t>
        </is>
      </c>
      <c r="I222" s="20" t="inlineStr">
        <is>
          <t>Problems in Calculus</t>
        </is>
      </c>
      <c r="J222" s="19" t="inlineStr">
        <is>
          <t>QP</t>
        </is>
      </c>
      <c r="K222" s="19" t="inlineStr">
        <is>
          <t>MS</t>
        </is>
      </c>
      <c r="L222" s="19" t="inlineStr">
        <is>
          <t>Ans</t>
        </is>
      </c>
      <c r="M222" t="inlineStr">
        <is>
          <t>M7</t>
        </is>
      </c>
      <c r="N222" t="inlineStr">
        <is>
          <t>Mechanics</t>
        </is>
      </c>
    </row>
    <row r="223">
      <c r="A223" s="15" t="inlineStr">
        <is>
          <t>M7.4</t>
        </is>
      </c>
      <c r="B223" s="15" t="n">
        <v>1</v>
      </c>
      <c r="C223" s="16" t="inlineStr">
        <is>
          <t>Variable acceleration: maxima and minima</t>
        </is>
      </c>
      <c r="D223" s="17" t="n"/>
      <c r="E223" s="18" t="n"/>
      <c r="F223" s="19" t="inlineStr">
        <is>
          <t>open</t>
        </is>
      </c>
      <c r="G223" s="19" t="inlineStr">
        <is>
          <t>Qs</t>
        </is>
      </c>
      <c r="H223" s="19" t="inlineStr">
        <is>
          <t>Ans</t>
        </is>
      </c>
      <c r="I223" s="20" t="inlineStr">
        <is>
          <t>Problems in Calculus</t>
        </is>
      </c>
      <c r="J223" s="19" t="inlineStr">
        <is>
          <t>QP</t>
        </is>
      </c>
      <c r="K223" s="19" t="inlineStr">
        <is>
          <t>MS</t>
        </is>
      </c>
      <c r="L223" s="19" t="inlineStr">
        <is>
          <t>Ans</t>
        </is>
      </c>
      <c r="M223" t="inlineStr">
        <is>
          <t>M7</t>
        </is>
      </c>
      <c r="N223" t="inlineStr">
        <is>
          <t>Mechanics</t>
        </is>
      </c>
    </row>
    <row r="224">
      <c r="A224" s="15" t="inlineStr">
        <is>
          <t>M7.4</t>
        </is>
      </c>
      <c r="B224" s="15" t="n">
        <v>1</v>
      </c>
      <c r="C224" s="16" t="inlineStr">
        <is>
          <t>Variable acceleration: using integration</t>
        </is>
      </c>
      <c r="D224" s="17" t="n"/>
      <c r="E224" s="18" t="n"/>
      <c r="F224" s="19" t="inlineStr">
        <is>
          <t>open</t>
        </is>
      </c>
      <c r="G224" s="19" t="inlineStr">
        <is>
          <t>Qs</t>
        </is>
      </c>
      <c r="H224" s="19" t="inlineStr">
        <is>
          <t>Ans</t>
        </is>
      </c>
      <c r="I224" s="20" t="inlineStr">
        <is>
          <t>Problems in Calculus</t>
        </is>
      </c>
      <c r="J224" s="19" t="inlineStr">
        <is>
          <t>QP</t>
        </is>
      </c>
      <c r="K224" s="19" t="inlineStr">
        <is>
          <t>MS</t>
        </is>
      </c>
      <c r="L224" s="19" t="inlineStr">
        <is>
          <t>Ans</t>
        </is>
      </c>
      <c r="M224" t="inlineStr">
        <is>
          <t>M7</t>
        </is>
      </c>
      <c r="N224" t="inlineStr">
        <is>
          <t>Mechanics</t>
        </is>
      </c>
    </row>
    <row r="225">
      <c r="A225" s="15" t="inlineStr">
        <is>
          <t>M7.4</t>
        </is>
      </c>
      <c r="B225" s="15" t="n">
        <v>1</v>
      </c>
      <c r="C225" s="16" t="inlineStr">
        <is>
          <t>Deriving the suvat formulae using calculus</t>
        </is>
      </c>
      <c r="D225" s="17" t="n"/>
      <c r="E225" s="18" t="n"/>
      <c r="F225" s="19" t="inlineStr">
        <is>
          <t>open</t>
        </is>
      </c>
      <c r="G225" s="19" t="inlineStr">
        <is>
          <t>Qs</t>
        </is>
      </c>
      <c r="H225" s="19" t="inlineStr">
        <is>
          <t>Ans</t>
        </is>
      </c>
      <c r="I225" s="20" t="inlineStr">
        <is>
          <t>Problems in Calculus</t>
        </is>
      </c>
      <c r="J225" s="19" t="inlineStr">
        <is>
          <t>QP</t>
        </is>
      </c>
      <c r="K225" s="19" t="inlineStr">
        <is>
          <t>MS</t>
        </is>
      </c>
      <c r="L225" s="19" t="inlineStr">
        <is>
          <t>Ans</t>
        </is>
      </c>
      <c r="M225" t="inlineStr">
        <is>
          <t>M7</t>
        </is>
      </c>
      <c r="N225" t="inlineStr">
        <is>
          <t>Mechanics</t>
        </is>
      </c>
    </row>
    <row r="226">
      <c r="A226" s="15" t="inlineStr">
        <is>
          <t>M7.3</t>
        </is>
      </c>
      <c r="B226" s="15" t="n">
        <v>2</v>
      </c>
      <c r="C226" s="16" t="inlineStr">
        <is>
          <t>Constant acceleration in 2D with vectors</t>
        </is>
      </c>
      <c r="D226" s="17" t="n"/>
      <c r="E226" s="18" t="n"/>
      <c r="F226" s="19" t="inlineStr">
        <is>
          <t>open</t>
        </is>
      </c>
      <c r="G226" s="19" t="inlineStr">
        <is>
          <t>Qs</t>
        </is>
      </c>
      <c r="H226" s="19" t="inlineStr">
        <is>
          <t>Ans</t>
        </is>
      </c>
      <c r="I226" s="20" t="inlineStr">
        <is>
          <t>Uniform Acceleration Formulae (Yr 2 set)</t>
        </is>
      </c>
      <c r="J226" s="19" t="inlineStr">
        <is>
          <t>QP</t>
        </is>
      </c>
      <c r="K226" s="19" t="inlineStr">
        <is>
          <t>MS</t>
        </is>
      </c>
      <c r="L226" s="19" t="inlineStr">
        <is>
          <t>Ans</t>
        </is>
      </c>
      <c r="M226" t="inlineStr">
        <is>
          <t>M7</t>
        </is>
      </c>
      <c r="N226" t="inlineStr">
        <is>
          <t>Mechanics</t>
        </is>
      </c>
    </row>
    <row r="227">
      <c r="A227" s="15" t="inlineStr">
        <is>
          <t>M7.4</t>
        </is>
      </c>
      <c r="B227" s="15" t="n">
        <v>2</v>
      </c>
      <c r="C227" s="16" t="inlineStr">
        <is>
          <t>Variable acceleration in 2D: differentiating and integrating vectors</t>
        </is>
      </c>
      <c r="D227" s="17" t="n"/>
      <c r="E227" s="18" t="n"/>
      <c r="F227" s="19" t="inlineStr">
        <is>
          <t>open</t>
        </is>
      </c>
      <c r="G227" s="19" t="inlineStr">
        <is>
          <t>Qs</t>
        </is>
      </c>
      <c r="H227" s="19" t="inlineStr">
        <is>
          <t>Ans</t>
        </is>
      </c>
      <c r="I227" s="20" t="inlineStr">
        <is>
          <t>Problems in Calculus (Yr 2 set)</t>
        </is>
      </c>
      <c r="J227" s="19" t="inlineStr">
        <is>
          <t>QP</t>
        </is>
      </c>
      <c r="K227" s="19" t="inlineStr">
        <is>
          <t>MS</t>
        </is>
      </c>
      <c r="L227" s="19" t="inlineStr">
        <is>
          <t>Ans</t>
        </is>
      </c>
      <c r="M227" t="inlineStr">
        <is>
          <t>M7</t>
        </is>
      </c>
      <c r="N227" t="inlineStr">
        <is>
          <t>Mechanics</t>
        </is>
      </c>
    </row>
    <row r="228">
      <c r="A228" s="15" t="inlineStr">
        <is>
          <t>M7.5</t>
        </is>
      </c>
      <c r="B228" s="15" t="n">
        <v>2</v>
      </c>
      <c r="C228" s="16" t="inlineStr">
        <is>
          <t>Projectiles: horizontal projection</t>
        </is>
      </c>
      <c r="D228" s="17" t="n"/>
      <c r="E228" s="18" t="n"/>
      <c r="F228" s="19" t="inlineStr">
        <is>
          <t>open</t>
        </is>
      </c>
      <c r="G228" s="19" t="inlineStr">
        <is>
          <t>Qs</t>
        </is>
      </c>
      <c r="H228" s="19" t="inlineStr">
        <is>
          <t>Ans</t>
        </is>
      </c>
      <c r="I228" s="20" t="inlineStr">
        <is>
          <t>Projectiles (Yr 2 set)</t>
        </is>
      </c>
      <c r="J228" s="19" t="inlineStr">
        <is>
          <t>QP</t>
        </is>
      </c>
      <c r="K228" s="19" t="inlineStr">
        <is>
          <t>MS</t>
        </is>
      </c>
      <c r="L228" s="19" t="inlineStr">
        <is>
          <t>Ans</t>
        </is>
      </c>
      <c r="M228" t="inlineStr">
        <is>
          <t>M7</t>
        </is>
      </c>
      <c r="N228" t="inlineStr">
        <is>
          <t>Mechanics</t>
        </is>
      </c>
    </row>
    <row r="229">
      <c r="A229" s="15" t="inlineStr">
        <is>
          <t>M7.5</t>
        </is>
      </c>
      <c r="B229" s="15" t="n">
        <v>2</v>
      </c>
      <c r="C229" s="16" t="inlineStr">
        <is>
          <t>Projectiles at any angle (horizontal and vertical components)</t>
        </is>
      </c>
      <c r="D229" s="17" t="n"/>
      <c r="E229" s="18" t="n"/>
      <c r="F229" s="19" t="inlineStr">
        <is>
          <t>open</t>
        </is>
      </c>
      <c r="G229" s="19" t="inlineStr">
        <is>
          <t>Qs</t>
        </is>
      </c>
      <c r="H229" s="19" t="inlineStr">
        <is>
          <t>Ans</t>
        </is>
      </c>
      <c r="I229" s="20" t="inlineStr">
        <is>
          <t>Projectiles (Yr 2 set)</t>
        </is>
      </c>
      <c r="J229" s="19" t="inlineStr">
        <is>
          <t>QP</t>
        </is>
      </c>
      <c r="K229" s="19" t="inlineStr">
        <is>
          <t>MS</t>
        </is>
      </c>
      <c r="L229" s="19" t="inlineStr">
        <is>
          <t>Ans</t>
        </is>
      </c>
      <c r="M229" t="inlineStr">
        <is>
          <t>M7</t>
        </is>
      </c>
      <c r="N229" t="inlineStr">
        <is>
          <t>Mechanics</t>
        </is>
      </c>
    </row>
    <row r="230">
      <c r="A230" s="15" t="inlineStr">
        <is>
          <t>M7.5</t>
        </is>
      </c>
      <c r="B230" s="15" t="n">
        <v>2</v>
      </c>
      <c r="C230" s="16" t="inlineStr">
        <is>
          <t>Projectile formulae: time of flight, range, maximum height</t>
        </is>
      </c>
      <c r="D230" s="17" t="n"/>
      <c r="E230" s="18" t="n"/>
      <c r="F230" s="19" t="inlineStr">
        <is>
          <t>open</t>
        </is>
      </c>
      <c r="G230" s="19" t="inlineStr">
        <is>
          <t>Qs</t>
        </is>
      </c>
      <c r="H230" s="19" t="inlineStr">
        <is>
          <t>Ans</t>
        </is>
      </c>
      <c r="I230" s="20" t="inlineStr">
        <is>
          <t>Projectiles (Yr 2 set)</t>
        </is>
      </c>
      <c r="J230" s="19" t="inlineStr">
        <is>
          <t>QP</t>
        </is>
      </c>
      <c r="K230" s="19" t="inlineStr">
        <is>
          <t>MS</t>
        </is>
      </c>
      <c r="L230" s="19" t="inlineStr">
        <is>
          <t>Ans</t>
        </is>
      </c>
      <c r="M230" t="inlineStr">
        <is>
          <t>M7</t>
        </is>
      </c>
      <c r="N230" t="inlineStr">
        <is>
          <t>Mechanics</t>
        </is>
      </c>
    </row>
    <row r="231" ht="24" customHeight="1">
      <c r="A231" s="13" t="n"/>
      <c r="B231" s="14" t="inlineStr">
        <is>
          <t>MECHANICS 8   ·   Forces and Newton's laws   ·   Paper 3   ·   13 topics (Yr 1: 6 · Yr 2: 7)</t>
        </is>
      </c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</row>
    <row r="232">
      <c r="A232" s="15" t="inlineStr">
        <is>
          <t>M8.1</t>
        </is>
      </c>
      <c r="B232" s="15" t="n">
        <v>1</v>
      </c>
      <c r="C232" s="16" t="inlineStr">
        <is>
          <t>Force diagrams and types of force</t>
        </is>
      </c>
      <c r="D232" s="17" t="n"/>
      <c r="E232" s="18" t="n"/>
      <c r="F232" s="19" t="inlineStr">
        <is>
          <t>open</t>
        </is>
      </c>
      <c r="G232" s="19" t="inlineStr">
        <is>
          <t>Qs</t>
        </is>
      </c>
      <c r="H232" s="19" t="inlineStr">
        <is>
          <t>Ans</t>
        </is>
      </c>
      <c r="I232" s="20" t="inlineStr">
        <is>
          <t>Forces and Newton's Laws of Motion</t>
        </is>
      </c>
      <c r="J232" s="19" t="inlineStr">
        <is>
          <t>QP</t>
        </is>
      </c>
      <c r="K232" s="19" t="inlineStr">
        <is>
          <t>MS</t>
        </is>
      </c>
      <c r="L232" s="19" t="inlineStr">
        <is>
          <t>Ans</t>
        </is>
      </c>
      <c r="M232" t="inlineStr">
        <is>
          <t>M8</t>
        </is>
      </c>
      <c r="N232" t="inlineStr">
        <is>
          <t>Mechanics</t>
        </is>
      </c>
    </row>
    <row r="233">
      <c r="A233" s="15" t="inlineStr">
        <is>
          <t>M8.2</t>
        </is>
      </c>
      <c r="B233" s="15" t="n">
        <v>1</v>
      </c>
      <c r="C233" s="16" t="inlineStr">
        <is>
          <t>Forces as vectors and resultant forces</t>
        </is>
      </c>
      <c r="D233" s="17" t="n"/>
      <c r="E233" s="18" t="n"/>
      <c r="F233" s="19" t="inlineStr">
        <is>
          <t>open</t>
        </is>
      </c>
      <c r="G233" s="19" t="inlineStr">
        <is>
          <t>Qs</t>
        </is>
      </c>
      <c r="H233" s="19" t="inlineStr">
        <is>
          <t>Ans</t>
        </is>
      </c>
      <c r="I233" s="20" t="inlineStr">
        <is>
          <t>Forces and Newton's Laws of Motion</t>
        </is>
      </c>
      <c r="J233" s="19" t="inlineStr">
        <is>
          <t>QP</t>
        </is>
      </c>
      <c r="K233" s="19" t="inlineStr">
        <is>
          <t>MS</t>
        </is>
      </c>
      <c r="L233" s="19" t="inlineStr">
        <is>
          <t>Ans</t>
        </is>
      </c>
      <c r="M233" t="inlineStr">
        <is>
          <t>M8</t>
        </is>
      </c>
      <c r="N233" t="inlineStr">
        <is>
          <t>Mechanics</t>
        </is>
      </c>
    </row>
    <row r="234">
      <c r="A234" s="15" t="inlineStr">
        <is>
          <t>M8.3</t>
        </is>
      </c>
      <c r="B234" s="15" t="n">
        <v>1</v>
      </c>
      <c r="C234" s="16" t="inlineStr">
        <is>
          <t>Newton's second law F = ma (incl. weight)</t>
        </is>
      </c>
      <c r="D234" s="17" t="n"/>
      <c r="E234" s="18" t="n"/>
      <c r="F234" s="19" t="inlineStr">
        <is>
          <t>open</t>
        </is>
      </c>
      <c r="G234" s="19" t="inlineStr">
        <is>
          <t>Qs</t>
        </is>
      </c>
      <c r="H234" s="19" t="inlineStr">
        <is>
          <t>Ans</t>
        </is>
      </c>
      <c r="I234" s="20" t="inlineStr">
        <is>
          <t>Forces and Newton's Laws of Motion</t>
        </is>
      </c>
      <c r="J234" s="19" t="inlineStr">
        <is>
          <t>QP</t>
        </is>
      </c>
      <c r="K234" s="19" t="inlineStr">
        <is>
          <t>MS</t>
        </is>
      </c>
      <c r="L234" s="19" t="inlineStr">
        <is>
          <t>Ans</t>
        </is>
      </c>
      <c r="M234" t="inlineStr">
        <is>
          <t>M8</t>
        </is>
      </c>
      <c r="N234" t="inlineStr">
        <is>
          <t>Mechanics</t>
        </is>
      </c>
    </row>
    <row r="235">
      <c r="A235" s="15" t="inlineStr">
        <is>
          <t>M8.4</t>
        </is>
      </c>
      <c r="B235" s="15" t="n">
        <v>1</v>
      </c>
      <c r="C235" s="16" t="inlineStr">
        <is>
          <t>F = ma in 2D with vectors</t>
        </is>
      </c>
      <c r="D235" s="17" t="n"/>
      <c r="E235" s="18" t="n"/>
      <c r="F235" s="19" t="inlineStr">
        <is>
          <t>open</t>
        </is>
      </c>
      <c r="G235" s="19" t="inlineStr">
        <is>
          <t>Qs</t>
        </is>
      </c>
      <c r="H235" s="19" t="inlineStr">
        <is>
          <t>Ans</t>
        </is>
      </c>
      <c r="I235" s="20" t="inlineStr">
        <is>
          <t>Forces and Newton's Laws of Motion</t>
        </is>
      </c>
      <c r="J235" s="19" t="inlineStr">
        <is>
          <t>QP</t>
        </is>
      </c>
      <c r="K235" s="19" t="inlineStr">
        <is>
          <t>MS</t>
        </is>
      </c>
      <c r="L235" s="19" t="inlineStr">
        <is>
          <t>Ans</t>
        </is>
      </c>
      <c r="M235" t="inlineStr">
        <is>
          <t>M8</t>
        </is>
      </c>
      <c r="N235" t="inlineStr">
        <is>
          <t>Mechanics</t>
        </is>
      </c>
    </row>
    <row r="236">
      <c r="A236" s="15" t="inlineStr">
        <is>
          <t>M8.4</t>
        </is>
      </c>
      <c r="B236" s="15" t="n">
        <v>1</v>
      </c>
      <c r="C236" s="16" t="inlineStr">
        <is>
          <t>Connected particles (incl. Newton's third law)</t>
        </is>
      </c>
      <c r="D236" s="17" t="n"/>
      <c r="E236" s="18" t="n"/>
      <c r="F236" s="19" t="inlineStr">
        <is>
          <t>open</t>
        </is>
      </c>
      <c r="G236" s="19" t="inlineStr">
        <is>
          <t>Qs</t>
        </is>
      </c>
      <c r="H236" s="19" t="inlineStr">
        <is>
          <t>Ans</t>
        </is>
      </c>
      <c r="I236" s="20" t="inlineStr">
        <is>
          <t>Connected Particles (Yr 2 set)</t>
        </is>
      </c>
      <c r="J236" s="19" t="inlineStr">
        <is>
          <t>QP</t>
        </is>
      </c>
      <c r="K236" s="19" t="inlineStr">
        <is>
          <t>MS</t>
        </is>
      </c>
      <c r="L236" s="19" t="inlineStr">
        <is>
          <t>Ans</t>
        </is>
      </c>
      <c r="M236" t="inlineStr">
        <is>
          <t>M8</t>
        </is>
      </c>
      <c r="N236" t="inlineStr">
        <is>
          <t>Mechanics</t>
        </is>
      </c>
    </row>
    <row r="237">
      <c r="A237" s="15" t="inlineStr">
        <is>
          <t>M8.4</t>
        </is>
      </c>
      <c r="B237" s="15" t="n">
        <v>1</v>
      </c>
      <c r="C237" s="16" t="inlineStr">
        <is>
          <t>Pulleys</t>
        </is>
      </c>
      <c r="D237" s="17" t="n"/>
      <c r="E237" s="18" t="n"/>
      <c r="F237" s="19" t="inlineStr">
        <is>
          <t>open</t>
        </is>
      </c>
      <c r="G237" s="19" t="inlineStr">
        <is>
          <t>Qs</t>
        </is>
      </c>
      <c r="H237" s="19" t="inlineStr">
        <is>
          <t>Ans</t>
        </is>
      </c>
      <c r="I237" s="20" t="inlineStr">
        <is>
          <t>Connected Particles (Yr 2 set)</t>
        </is>
      </c>
      <c r="J237" s="19" t="inlineStr">
        <is>
          <t>QP</t>
        </is>
      </c>
      <c r="K237" s="19" t="inlineStr">
        <is>
          <t>MS</t>
        </is>
      </c>
      <c r="L237" s="19" t="inlineStr">
        <is>
          <t>Ans</t>
        </is>
      </c>
      <c r="M237" t="inlineStr">
        <is>
          <t>M8</t>
        </is>
      </c>
      <c r="N237" t="inlineStr">
        <is>
          <t>Mechanics</t>
        </is>
      </c>
    </row>
    <row r="238">
      <c r="A238" s="15" t="inlineStr">
        <is>
          <t>M8.5</t>
        </is>
      </c>
      <c r="B238" s="15" t="n">
        <v>2</v>
      </c>
      <c r="C238" s="16" t="inlineStr">
        <is>
          <t>Resolving forces</t>
        </is>
      </c>
      <c r="D238" s="17" t="n"/>
      <c r="E238" s="18" t="n"/>
      <c r="F238" s="19" t="inlineStr">
        <is>
          <t>open</t>
        </is>
      </c>
      <c r="G238" s="19" t="inlineStr">
        <is>
          <t>Qs</t>
        </is>
      </c>
      <c r="H238" s="19" t="inlineStr">
        <is>
          <t>Ans</t>
        </is>
      </c>
      <c r="I238" s="20" t="inlineStr">
        <is>
          <t>Forces and Newton's Laws of Motion (Yr 2 set)</t>
        </is>
      </c>
      <c r="J238" s="19" t="inlineStr">
        <is>
          <t>QP</t>
        </is>
      </c>
      <c r="K238" s="19" t="inlineStr">
        <is>
          <t>MS</t>
        </is>
      </c>
      <c r="L238" s="19" t="inlineStr">
        <is>
          <t>Ans</t>
        </is>
      </c>
      <c r="M238" t="inlineStr">
        <is>
          <t>M8</t>
        </is>
      </c>
      <c r="N238" t="inlineStr">
        <is>
          <t>Mechanics</t>
        </is>
      </c>
    </row>
    <row r="239">
      <c r="A239" s="15" t="inlineStr">
        <is>
          <t>M8.5</t>
        </is>
      </c>
      <c r="B239" s="15" t="n">
        <v>2</v>
      </c>
      <c r="C239" s="16" t="inlineStr">
        <is>
          <t>Inclined planes</t>
        </is>
      </c>
      <c r="D239" s="17" t="n"/>
      <c r="E239" s="18" t="n"/>
      <c r="F239" s="19" t="inlineStr">
        <is>
          <t>open</t>
        </is>
      </c>
      <c r="G239" s="19" t="inlineStr">
        <is>
          <t>Qs</t>
        </is>
      </c>
      <c r="H239" s="19" t="inlineStr">
        <is>
          <t>Ans</t>
        </is>
      </c>
      <c r="I239" s="20" t="inlineStr">
        <is>
          <t>F = ma on a slope (Yr 2 set)</t>
        </is>
      </c>
      <c r="J239" s="19" t="inlineStr">
        <is>
          <t>QP</t>
        </is>
      </c>
      <c r="K239" s="19" t="inlineStr">
        <is>
          <t>MS</t>
        </is>
      </c>
      <c r="L239" s="19" t="inlineStr">
        <is>
          <t>Ans</t>
        </is>
      </c>
      <c r="M239" t="inlineStr">
        <is>
          <t>M8</t>
        </is>
      </c>
      <c r="N239" t="inlineStr">
        <is>
          <t>Mechanics</t>
        </is>
      </c>
    </row>
    <row r="240">
      <c r="A240" s="15" t="inlineStr">
        <is>
          <t>M8.6</t>
        </is>
      </c>
      <c r="B240" s="15" t="n">
        <v>2</v>
      </c>
      <c r="C240" s="16" t="inlineStr">
        <is>
          <t>Friction (F ≤ μR) and limiting friction</t>
        </is>
      </c>
      <c r="D240" s="17" t="n"/>
      <c r="E240" s="18" t="n"/>
      <c r="F240" s="19" t="inlineStr">
        <is>
          <t>open</t>
        </is>
      </c>
      <c r="G240" s="19" t="inlineStr">
        <is>
          <t>Qs</t>
        </is>
      </c>
      <c r="H240" s="19" t="inlineStr">
        <is>
          <t>Ans</t>
        </is>
      </c>
      <c r="I240" s="20" t="inlineStr">
        <is>
          <t>F = ma on a slope (Yr 2 set)</t>
        </is>
      </c>
      <c r="J240" s="19" t="inlineStr">
        <is>
          <t>QP</t>
        </is>
      </c>
      <c r="K240" s="19" t="inlineStr">
        <is>
          <t>MS</t>
        </is>
      </c>
      <c r="L240" s="19" t="inlineStr">
        <is>
          <t>Ans</t>
        </is>
      </c>
      <c r="M240" t="inlineStr">
        <is>
          <t>M8</t>
        </is>
      </c>
      <c r="N240" t="inlineStr">
        <is>
          <t>Mechanics</t>
        </is>
      </c>
    </row>
    <row r="241">
      <c r="A241" s="15" t="inlineStr">
        <is>
          <t>M8.5</t>
        </is>
      </c>
      <c r="B241" s="15" t="n">
        <v>2</v>
      </c>
      <c r="C241" s="16" t="inlineStr">
        <is>
          <t>Statics: particles in equilibrium</t>
        </is>
      </c>
      <c r="D241" s="17" t="n"/>
      <c r="E241" s="18" t="n"/>
      <c r="F241" s="19" t="inlineStr">
        <is>
          <t>open</t>
        </is>
      </c>
      <c r="G241" s="19" t="inlineStr">
        <is>
          <t>Qs</t>
        </is>
      </c>
      <c r="H241" s="19" t="inlineStr">
        <is>
          <t>Ans</t>
        </is>
      </c>
      <c r="I241" s="20" t="inlineStr">
        <is>
          <t>Statics (Yr 2 set)</t>
        </is>
      </c>
      <c r="J241" s="19" t="inlineStr">
        <is>
          <t>QP</t>
        </is>
      </c>
      <c r="K241" s="19" t="inlineStr">
        <is>
          <t>MS</t>
        </is>
      </c>
      <c r="L241" s="19" t="inlineStr">
        <is>
          <t>Ans</t>
        </is>
      </c>
      <c r="M241" t="inlineStr">
        <is>
          <t>M8</t>
        </is>
      </c>
      <c r="N241" t="inlineStr">
        <is>
          <t>Mechanics</t>
        </is>
      </c>
    </row>
    <row r="242">
      <c r="A242" s="15" t="inlineStr">
        <is>
          <t>M8.6</t>
        </is>
      </c>
      <c r="B242" s="15" t="n">
        <v>2</v>
      </c>
      <c r="C242" s="16" t="inlineStr">
        <is>
          <t>Friction and static particles (limiting equilibrium)</t>
        </is>
      </c>
      <c r="D242" s="17" t="n"/>
      <c r="E242" s="18" t="n"/>
      <c r="F242" s="19" t="inlineStr">
        <is>
          <t>open</t>
        </is>
      </c>
      <c r="G242" s="19" t="inlineStr">
        <is>
          <t>Qs</t>
        </is>
      </c>
      <c r="H242" s="19" t="inlineStr">
        <is>
          <t>Ans</t>
        </is>
      </c>
      <c r="I242" s="20" t="inlineStr">
        <is>
          <t>Statics (Yr 2 set)</t>
        </is>
      </c>
      <c r="J242" s="19" t="inlineStr">
        <is>
          <t>QP</t>
        </is>
      </c>
      <c r="K242" s="19" t="inlineStr">
        <is>
          <t>MS</t>
        </is>
      </c>
      <c r="L242" s="19" t="inlineStr">
        <is>
          <t>Ans</t>
        </is>
      </c>
      <c r="M242" t="inlineStr">
        <is>
          <t>M8</t>
        </is>
      </c>
      <c r="N242" t="inlineStr">
        <is>
          <t>Mechanics</t>
        </is>
      </c>
    </row>
    <row r="243">
      <c r="A243" s="15" t="inlineStr">
        <is>
          <t>M8.5</t>
        </is>
      </c>
      <c r="B243" s="15" t="n">
        <v>2</v>
      </c>
      <c r="C243" s="16" t="inlineStr">
        <is>
          <t>Dynamics on inclined planes</t>
        </is>
      </c>
      <c r="D243" s="17" t="n"/>
      <c r="E243" s="18" t="n"/>
      <c r="F243" s="19" t="inlineStr">
        <is>
          <t>open</t>
        </is>
      </c>
      <c r="G243" s="19" t="inlineStr">
        <is>
          <t>Qs</t>
        </is>
      </c>
      <c r="H243" s="19" t="inlineStr">
        <is>
          <t>Ans</t>
        </is>
      </c>
      <c r="I243" s="20" t="inlineStr">
        <is>
          <t>F = ma on a slope (Yr 2 set)</t>
        </is>
      </c>
      <c r="J243" s="19" t="inlineStr">
        <is>
          <t>QP</t>
        </is>
      </c>
      <c r="K243" s="19" t="inlineStr">
        <is>
          <t>MS</t>
        </is>
      </c>
      <c r="L243" s="19" t="inlineStr">
        <is>
          <t>Ans</t>
        </is>
      </c>
      <c r="M243" t="inlineStr">
        <is>
          <t>M8</t>
        </is>
      </c>
      <c r="N243" t="inlineStr">
        <is>
          <t>Mechanics</t>
        </is>
      </c>
    </row>
    <row r="244">
      <c r="A244" s="15" t="inlineStr">
        <is>
          <t>M8.4</t>
        </is>
      </c>
      <c r="B244" s="15" t="n">
        <v>2</v>
      </c>
      <c r="C244" s="16" t="inlineStr">
        <is>
          <t>Connected particles on slopes and with friction</t>
        </is>
      </c>
      <c r="D244" s="17" t="n"/>
      <c r="E244" s="18" t="n"/>
      <c r="F244" s="19" t="inlineStr">
        <is>
          <t>open</t>
        </is>
      </c>
      <c r="G244" s="19" t="inlineStr">
        <is>
          <t>Qs</t>
        </is>
      </c>
      <c r="H244" s="19" t="inlineStr">
        <is>
          <t>Ans</t>
        </is>
      </c>
      <c r="I244" s="20" t="inlineStr">
        <is>
          <t>Connected Particles (Yr 2 set)</t>
        </is>
      </c>
      <c r="J244" s="19" t="inlineStr">
        <is>
          <t>QP</t>
        </is>
      </c>
      <c r="K244" s="19" t="inlineStr">
        <is>
          <t>MS</t>
        </is>
      </c>
      <c r="L244" s="19" t="inlineStr">
        <is>
          <t>Ans</t>
        </is>
      </c>
      <c r="M244" t="inlineStr">
        <is>
          <t>M8</t>
        </is>
      </c>
      <c r="N244" t="inlineStr">
        <is>
          <t>Mechanics</t>
        </is>
      </c>
    </row>
    <row r="245" ht="24" customHeight="1">
      <c r="A245" s="13" t="n"/>
      <c r="B245" s="14" t="inlineStr">
        <is>
          <t>MECHANICS 9   ·   Moments   ·   Paper 3   ·   6 topics (Yr 2: 6)</t>
        </is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</row>
    <row r="246">
      <c r="A246" s="15" t="inlineStr">
        <is>
          <t>M9.1</t>
        </is>
      </c>
      <c r="B246" s="15" t="n">
        <v>2</v>
      </c>
      <c r="C246" s="16" t="inlineStr">
        <is>
          <t>Moments of a force</t>
        </is>
      </c>
      <c r="D246" s="17" t="n"/>
      <c r="E246" s="18" t="n"/>
      <c r="F246" s="19" t="inlineStr">
        <is>
          <t>open</t>
        </is>
      </c>
      <c r="G246" s="19" t="inlineStr">
        <is>
          <t>Qs</t>
        </is>
      </c>
      <c r="H246" s="19" t="inlineStr">
        <is>
          <t>Ans</t>
        </is>
      </c>
      <c r="I246" s="20" t="inlineStr">
        <is>
          <t>Moments (Yr 2 set)</t>
        </is>
      </c>
      <c r="J246" s="19" t="inlineStr">
        <is>
          <t>QP</t>
        </is>
      </c>
      <c r="K246" s="19" t="inlineStr">
        <is>
          <t>MS</t>
        </is>
      </c>
      <c r="L246" s="19" t="inlineStr">
        <is>
          <t>Ans</t>
        </is>
      </c>
      <c r="M246" t="inlineStr">
        <is>
          <t>M9</t>
        </is>
      </c>
      <c r="N246" t="inlineStr">
        <is>
          <t>Mechanics</t>
        </is>
      </c>
    </row>
    <row r="247">
      <c r="A247" s="15" t="inlineStr">
        <is>
          <t>M9.1</t>
        </is>
      </c>
      <c r="B247" s="15" t="n">
        <v>2</v>
      </c>
      <c r="C247" s="16" t="inlineStr">
        <is>
          <t>Resultant moments</t>
        </is>
      </c>
      <c r="D247" s="17" t="n"/>
      <c r="E247" s="18" t="n"/>
      <c r="F247" s="19" t="inlineStr">
        <is>
          <t>open</t>
        </is>
      </c>
      <c r="G247" s="19" t="inlineStr">
        <is>
          <t>Qs</t>
        </is>
      </c>
      <c r="H247" s="19" t="inlineStr">
        <is>
          <t>Ans</t>
        </is>
      </c>
      <c r="I247" s="20" t="inlineStr">
        <is>
          <t>Moments (Yr 2 set)</t>
        </is>
      </c>
      <c r="J247" s="19" t="inlineStr">
        <is>
          <t>QP</t>
        </is>
      </c>
      <c r="K247" s="19" t="inlineStr">
        <is>
          <t>MS</t>
        </is>
      </c>
      <c r="L247" s="19" t="inlineStr">
        <is>
          <t>Ans</t>
        </is>
      </c>
      <c r="M247" t="inlineStr">
        <is>
          <t>M9</t>
        </is>
      </c>
      <c r="N247" t="inlineStr">
        <is>
          <t>Mechanics</t>
        </is>
      </c>
    </row>
    <row r="248">
      <c r="A248" s="15" t="inlineStr">
        <is>
          <t>M9.1</t>
        </is>
      </c>
      <c r="B248" s="15" t="n">
        <v>2</v>
      </c>
      <c r="C248" s="16" t="inlineStr">
        <is>
          <t>Rigid bodies in equilibrium (beams and rods)</t>
        </is>
      </c>
      <c r="D248" s="17" t="n"/>
      <c r="E248" s="18" t="n"/>
      <c r="F248" s="19" t="inlineStr">
        <is>
          <t>open</t>
        </is>
      </c>
      <c r="G248" s="19" t="inlineStr">
        <is>
          <t>Qs</t>
        </is>
      </c>
      <c r="H248" s="19" t="inlineStr">
        <is>
          <t>Ans</t>
        </is>
      </c>
      <c r="I248" s="20" t="inlineStr">
        <is>
          <t>Moments (Yr 2 set)</t>
        </is>
      </c>
      <c r="J248" s="19" t="inlineStr">
        <is>
          <t>QP</t>
        </is>
      </c>
      <c r="K248" s="19" t="inlineStr">
        <is>
          <t>MS</t>
        </is>
      </c>
      <c r="L248" s="19" t="inlineStr">
        <is>
          <t>Ans</t>
        </is>
      </c>
      <c r="M248" t="inlineStr">
        <is>
          <t>M9</t>
        </is>
      </c>
      <c r="N248" t="inlineStr">
        <is>
          <t>Mechanics</t>
        </is>
      </c>
    </row>
    <row r="249">
      <c r="A249" s="15" t="inlineStr">
        <is>
          <t>M9.1</t>
        </is>
      </c>
      <c r="B249" s="15" t="n">
        <v>2</v>
      </c>
      <c r="C249" s="16" t="inlineStr">
        <is>
          <t>Centres of mass of non-uniform rods</t>
        </is>
      </c>
      <c r="D249" s="17" t="n"/>
      <c r="E249" s="18" t="n"/>
      <c r="F249" s="19" t="inlineStr">
        <is>
          <t>open</t>
        </is>
      </c>
      <c r="G249" s="19" t="inlineStr">
        <is>
          <t>Qs</t>
        </is>
      </c>
      <c r="H249" s="19" t="inlineStr">
        <is>
          <t>Ans</t>
        </is>
      </c>
      <c r="I249" s="20" t="inlineStr">
        <is>
          <t>Moments (Yr 2 set)</t>
        </is>
      </c>
      <c r="J249" s="19" t="inlineStr">
        <is>
          <t>QP</t>
        </is>
      </c>
      <c r="K249" s="19" t="inlineStr">
        <is>
          <t>MS</t>
        </is>
      </c>
      <c r="L249" s="19" t="inlineStr">
        <is>
          <t>Ans</t>
        </is>
      </c>
      <c r="M249" t="inlineStr">
        <is>
          <t>M9</t>
        </is>
      </c>
      <c r="N249" t="inlineStr">
        <is>
          <t>Mechanics</t>
        </is>
      </c>
    </row>
    <row r="250">
      <c r="A250" s="15" t="inlineStr">
        <is>
          <t>M9.1</t>
        </is>
      </c>
      <c r="B250" s="15" t="n">
        <v>2</v>
      </c>
      <c r="C250" s="16" t="inlineStr">
        <is>
          <t>Tilting</t>
        </is>
      </c>
      <c r="D250" s="17" t="n"/>
      <c r="E250" s="18" t="n"/>
      <c r="F250" s="19" t="inlineStr">
        <is>
          <t>open</t>
        </is>
      </c>
      <c r="G250" s="19" t="inlineStr">
        <is>
          <t>Qs</t>
        </is>
      </c>
      <c r="H250" s="19" t="inlineStr">
        <is>
          <t>Ans</t>
        </is>
      </c>
      <c r="I250" s="20" t="inlineStr">
        <is>
          <t>Moments (Yr 2 set)</t>
        </is>
      </c>
      <c r="J250" s="19" t="inlineStr">
        <is>
          <t>QP</t>
        </is>
      </c>
      <c r="K250" s="19" t="inlineStr">
        <is>
          <t>MS</t>
        </is>
      </c>
      <c r="L250" s="19" t="inlineStr">
        <is>
          <t>Ans</t>
        </is>
      </c>
      <c r="M250" t="inlineStr">
        <is>
          <t>M9</t>
        </is>
      </c>
      <c r="N250" t="inlineStr">
        <is>
          <t>Mechanics</t>
        </is>
      </c>
    </row>
    <row r="251">
      <c r="A251" s="15" t="inlineStr">
        <is>
          <t>M9.1</t>
        </is>
      </c>
      <c r="B251" s="15" t="n">
        <v>2</v>
      </c>
      <c r="C251" s="16" t="inlineStr">
        <is>
          <t>Ladders and rods against walls (incl. friction)</t>
        </is>
      </c>
      <c r="D251" s="17" t="n"/>
      <c r="E251" s="18" t="n"/>
      <c r="F251" s="19" t="inlineStr">
        <is>
          <t>open</t>
        </is>
      </c>
      <c r="G251" s="19" t="inlineStr">
        <is>
          <t>Qs</t>
        </is>
      </c>
      <c r="H251" s="19" t="inlineStr">
        <is>
          <t>Ans</t>
        </is>
      </c>
      <c r="I251" s="20" t="inlineStr">
        <is>
          <t>Moments (Yr 2 set)</t>
        </is>
      </c>
      <c r="J251" s="19" t="inlineStr">
        <is>
          <t>QP</t>
        </is>
      </c>
      <c r="K251" s="19" t="inlineStr">
        <is>
          <t>MS</t>
        </is>
      </c>
      <c r="L251" s="19" t="inlineStr">
        <is>
          <t>Ans</t>
        </is>
      </c>
      <c r="M251" t="inlineStr">
        <is>
          <t>M9</t>
        </is>
      </c>
      <c r="N251" t="inlineStr">
        <is>
          <t>Mechanics</t>
        </is>
      </c>
    </row>
  </sheetData>
  <autoFilter ref="A1:L251"/>
  <conditionalFormatting sqref="D2:D251">
    <cfRule type="cellIs" priority="1" operator="equal" dxfId="0">
      <formula>"R"</formula>
    </cfRule>
    <cfRule type="cellIs" priority="2" operator="equal" dxfId="1">
      <formula>"A"</formula>
    </cfRule>
    <cfRule type="cellIs" priority="3" operator="equal" dxfId="2">
      <formula>"G"</formula>
    </cfRule>
  </conditionalFormatting>
  <conditionalFormatting sqref="C2:C251">
    <cfRule type="expression" priority="4" dxfId="0">
      <formula>$D2="R"</formula>
    </cfRule>
    <cfRule type="expression" priority="5" dxfId="1">
      <formula>$D2="A"</formula>
    </cfRule>
    <cfRule type="expression" priority="6" dxfId="2">
      <formula>$D2="G"</formula>
    </cfRule>
  </conditionalFormatting>
  <dataValidations count="1">
    <dataValidation sqref="D2:D251" showDropDown="0" showInputMessage="0" showErrorMessage="0" allowBlank="1" errorTitle="R, A or G" error="Type R, A or G (or pick from the list)." promptTitle="Your rating" prompt="R = can't do it · A = shaky · G = confident" type="list">
      <formula1>"R,A,G"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G3" r:id="rId2"/>
    <hyperlink xmlns:r="http://schemas.openxmlformats.org/officeDocument/2006/relationships" ref="H3" r:id="rId3"/>
    <hyperlink xmlns:r="http://schemas.openxmlformats.org/officeDocument/2006/relationships" ref="J3" r:id="rId4"/>
    <hyperlink xmlns:r="http://schemas.openxmlformats.org/officeDocument/2006/relationships" ref="K3" r:id="rId5"/>
    <hyperlink xmlns:r="http://schemas.openxmlformats.org/officeDocument/2006/relationships" ref="L3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F5" r:id="rId13"/>
    <hyperlink xmlns:r="http://schemas.openxmlformats.org/officeDocument/2006/relationships" ref="G5" r:id="rId14"/>
    <hyperlink xmlns:r="http://schemas.openxmlformats.org/officeDocument/2006/relationships" ref="H5" r:id="rId15"/>
    <hyperlink xmlns:r="http://schemas.openxmlformats.org/officeDocument/2006/relationships" ref="J5" r:id="rId16"/>
    <hyperlink xmlns:r="http://schemas.openxmlformats.org/officeDocument/2006/relationships" ref="K5" r:id="rId17"/>
    <hyperlink xmlns:r="http://schemas.openxmlformats.org/officeDocument/2006/relationships" ref="L5" r:id="rId18"/>
    <hyperlink xmlns:r="http://schemas.openxmlformats.org/officeDocument/2006/relationships" ref="F7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J7" r:id="rId22"/>
    <hyperlink xmlns:r="http://schemas.openxmlformats.org/officeDocument/2006/relationships" ref="K7" r:id="rId23"/>
    <hyperlink xmlns:r="http://schemas.openxmlformats.org/officeDocument/2006/relationships" ref="L7" r:id="rId24"/>
    <hyperlink xmlns:r="http://schemas.openxmlformats.org/officeDocument/2006/relationships" ref="F8" r:id="rId25"/>
    <hyperlink xmlns:r="http://schemas.openxmlformats.org/officeDocument/2006/relationships" ref="G8" r:id="rId26"/>
    <hyperlink xmlns:r="http://schemas.openxmlformats.org/officeDocument/2006/relationships" ref="H8" r:id="rId27"/>
    <hyperlink xmlns:r="http://schemas.openxmlformats.org/officeDocument/2006/relationships" ref="J8" r:id="rId28"/>
    <hyperlink xmlns:r="http://schemas.openxmlformats.org/officeDocument/2006/relationships" ref="K8" r:id="rId29"/>
    <hyperlink xmlns:r="http://schemas.openxmlformats.org/officeDocument/2006/relationships" ref="L8" r:id="rId30"/>
    <hyperlink xmlns:r="http://schemas.openxmlformats.org/officeDocument/2006/relationships" ref="F9" r:id="rId31"/>
    <hyperlink xmlns:r="http://schemas.openxmlformats.org/officeDocument/2006/relationships" ref="G9" r:id="rId32"/>
    <hyperlink xmlns:r="http://schemas.openxmlformats.org/officeDocument/2006/relationships" ref="H9" r:id="rId33"/>
    <hyperlink xmlns:r="http://schemas.openxmlformats.org/officeDocument/2006/relationships" ref="J9" r:id="rId34"/>
    <hyperlink xmlns:r="http://schemas.openxmlformats.org/officeDocument/2006/relationships" ref="K9" r:id="rId35"/>
    <hyperlink xmlns:r="http://schemas.openxmlformats.org/officeDocument/2006/relationships" ref="L9" r:id="rId36"/>
    <hyperlink xmlns:r="http://schemas.openxmlformats.org/officeDocument/2006/relationships" ref="F10" r:id="rId37"/>
    <hyperlink xmlns:r="http://schemas.openxmlformats.org/officeDocument/2006/relationships" ref="G10" r:id="rId38"/>
    <hyperlink xmlns:r="http://schemas.openxmlformats.org/officeDocument/2006/relationships" ref="H10" r:id="rId39"/>
    <hyperlink xmlns:r="http://schemas.openxmlformats.org/officeDocument/2006/relationships" ref="J10" r:id="rId40"/>
    <hyperlink xmlns:r="http://schemas.openxmlformats.org/officeDocument/2006/relationships" ref="K10" r:id="rId41"/>
    <hyperlink xmlns:r="http://schemas.openxmlformats.org/officeDocument/2006/relationships" ref="L10" r:id="rId42"/>
    <hyperlink xmlns:r="http://schemas.openxmlformats.org/officeDocument/2006/relationships" ref="F11" r:id="rId43"/>
    <hyperlink xmlns:r="http://schemas.openxmlformats.org/officeDocument/2006/relationships" ref="G11" r:id="rId44"/>
    <hyperlink xmlns:r="http://schemas.openxmlformats.org/officeDocument/2006/relationships" ref="H11" r:id="rId45"/>
    <hyperlink xmlns:r="http://schemas.openxmlformats.org/officeDocument/2006/relationships" ref="J11" r:id="rId46"/>
    <hyperlink xmlns:r="http://schemas.openxmlformats.org/officeDocument/2006/relationships" ref="K11" r:id="rId47"/>
    <hyperlink xmlns:r="http://schemas.openxmlformats.org/officeDocument/2006/relationships" ref="L11" r:id="rId48"/>
    <hyperlink xmlns:r="http://schemas.openxmlformats.org/officeDocument/2006/relationships" ref="F12" r:id="rId49"/>
    <hyperlink xmlns:r="http://schemas.openxmlformats.org/officeDocument/2006/relationships" ref="G12" r:id="rId50"/>
    <hyperlink xmlns:r="http://schemas.openxmlformats.org/officeDocument/2006/relationships" ref="H12" r:id="rId51"/>
    <hyperlink xmlns:r="http://schemas.openxmlformats.org/officeDocument/2006/relationships" ref="J12" r:id="rId52"/>
    <hyperlink xmlns:r="http://schemas.openxmlformats.org/officeDocument/2006/relationships" ref="K12" r:id="rId53"/>
    <hyperlink xmlns:r="http://schemas.openxmlformats.org/officeDocument/2006/relationships" ref="L12" r:id="rId54"/>
    <hyperlink xmlns:r="http://schemas.openxmlformats.org/officeDocument/2006/relationships" ref="F13" r:id="rId55"/>
    <hyperlink xmlns:r="http://schemas.openxmlformats.org/officeDocument/2006/relationships" ref="G13" r:id="rId56"/>
    <hyperlink xmlns:r="http://schemas.openxmlformats.org/officeDocument/2006/relationships" ref="H13" r:id="rId57"/>
    <hyperlink xmlns:r="http://schemas.openxmlformats.org/officeDocument/2006/relationships" ref="J13" r:id="rId58"/>
    <hyperlink xmlns:r="http://schemas.openxmlformats.org/officeDocument/2006/relationships" ref="K13" r:id="rId59"/>
    <hyperlink xmlns:r="http://schemas.openxmlformats.org/officeDocument/2006/relationships" ref="L13" r:id="rId60"/>
    <hyperlink xmlns:r="http://schemas.openxmlformats.org/officeDocument/2006/relationships" ref="F14" r:id="rId61"/>
    <hyperlink xmlns:r="http://schemas.openxmlformats.org/officeDocument/2006/relationships" ref="G14" r:id="rId62"/>
    <hyperlink xmlns:r="http://schemas.openxmlformats.org/officeDocument/2006/relationships" ref="H14" r:id="rId63"/>
    <hyperlink xmlns:r="http://schemas.openxmlformats.org/officeDocument/2006/relationships" ref="J14" r:id="rId64"/>
    <hyperlink xmlns:r="http://schemas.openxmlformats.org/officeDocument/2006/relationships" ref="K14" r:id="rId65"/>
    <hyperlink xmlns:r="http://schemas.openxmlformats.org/officeDocument/2006/relationships" ref="L14" r:id="rId66"/>
    <hyperlink xmlns:r="http://schemas.openxmlformats.org/officeDocument/2006/relationships" ref="F15" r:id="rId67"/>
    <hyperlink xmlns:r="http://schemas.openxmlformats.org/officeDocument/2006/relationships" ref="G15" r:id="rId68"/>
    <hyperlink xmlns:r="http://schemas.openxmlformats.org/officeDocument/2006/relationships" ref="H15" r:id="rId69"/>
    <hyperlink xmlns:r="http://schemas.openxmlformats.org/officeDocument/2006/relationships" ref="F16" r:id="rId70"/>
    <hyperlink xmlns:r="http://schemas.openxmlformats.org/officeDocument/2006/relationships" ref="G16" r:id="rId71"/>
    <hyperlink xmlns:r="http://schemas.openxmlformats.org/officeDocument/2006/relationships" ref="H16" r:id="rId72"/>
    <hyperlink xmlns:r="http://schemas.openxmlformats.org/officeDocument/2006/relationships" ref="F17" r:id="rId73"/>
    <hyperlink xmlns:r="http://schemas.openxmlformats.org/officeDocument/2006/relationships" ref="G17" r:id="rId74"/>
    <hyperlink xmlns:r="http://schemas.openxmlformats.org/officeDocument/2006/relationships" ref="H17" r:id="rId75"/>
    <hyperlink xmlns:r="http://schemas.openxmlformats.org/officeDocument/2006/relationships" ref="J17" r:id="rId76"/>
    <hyperlink xmlns:r="http://schemas.openxmlformats.org/officeDocument/2006/relationships" ref="K17" r:id="rId77"/>
    <hyperlink xmlns:r="http://schemas.openxmlformats.org/officeDocument/2006/relationships" ref="L17" r:id="rId78"/>
    <hyperlink xmlns:r="http://schemas.openxmlformats.org/officeDocument/2006/relationships" ref="F18" r:id="rId79"/>
    <hyperlink xmlns:r="http://schemas.openxmlformats.org/officeDocument/2006/relationships" ref="G18" r:id="rId80"/>
    <hyperlink xmlns:r="http://schemas.openxmlformats.org/officeDocument/2006/relationships" ref="H18" r:id="rId81"/>
    <hyperlink xmlns:r="http://schemas.openxmlformats.org/officeDocument/2006/relationships" ref="J18" r:id="rId82"/>
    <hyperlink xmlns:r="http://schemas.openxmlformats.org/officeDocument/2006/relationships" ref="K18" r:id="rId83"/>
    <hyperlink xmlns:r="http://schemas.openxmlformats.org/officeDocument/2006/relationships" ref="L18" r:id="rId84"/>
    <hyperlink xmlns:r="http://schemas.openxmlformats.org/officeDocument/2006/relationships" ref="F19" r:id="rId85"/>
    <hyperlink xmlns:r="http://schemas.openxmlformats.org/officeDocument/2006/relationships" ref="G19" r:id="rId86"/>
    <hyperlink xmlns:r="http://schemas.openxmlformats.org/officeDocument/2006/relationships" ref="H19" r:id="rId87"/>
    <hyperlink xmlns:r="http://schemas.openxmlformats.org/officeDocument/2006/relationships" ref="J19" r:id="rId88"/>
    <hyperlink xmlns:r="http://schemas.openxmlformats.org/officeDocument/2006/relationships" ref="K19" r:id="rId89"/>
    <hyperlink xmlns:r="http://schemas.openxmlformats.org/officeDocument/2006/relationships" ref="L19" r:id="rId90"/>
    <hyperlink xmlns:r="http://schemas.openxmlformats.org/officeDocument/2006/relationships" ref="F20" r:id="rId91"/>
    <hyperlink xmlns:r="http://schemas.openxmlformats.org/officeDocument/2006/relationships" ref="G20" r:id="rId92"/>
    <hyperlink xmlns:r="http://schemas.openxmlformats.org/officeDocument/2006/relationships" ref="H20" r:id="rId93"/>
    <hyperlink xmlns:r="http://schemas.openxmlformats.org/officeDocument/2006/relationships" ref="F21" r:id="rId94"/>
    <hyperlink xmlns:r="http://schemas.openxmlformats.org/officeDocument/2006/relationships" ref="G21" r:id="rId95"/>
    <hyperlink xmlns:r="http://schemas.openxmlformats.org/officeDocument/2006/relationships" ref="H21" r:id="rId96"/>
    <hyperlink xmlns:r="http://schemas.openxmlformats.org/officeDocument/2006/relationships" ref="J21" r:id="rId97"/>
    <hyperlink xmlns:r="http://schemas.openxmlformats.org/officeDocument/2006/relationships" ref="K21" r:id="rId98"/>
    <hyperlink xmlns:r="http://schemas.openxmlformats.org/officeDocument/2006/relationships" ref="L21" r:id="rId99"/>
    <hyperlink xmlns:r="http://schemas.openxmlformats.org/officeDocument/2006/relationships" ref="F22" r:id="rId100"/>
    <hyperlink xmlns:r="http://schemas.openxmlformats.org/officeDocument/2006/relationships" ref="G22" r:id="rId101"/>
    <hyperlink xmlns:r="http://schemas.openxmlformats.org/officeDocument/2006/relationships" ref="H22" r:id="rId102"/>
    <hyperlink xmlns:r="http://schemas.openxmlformats.org/officeDocument/2006/relationships" ref="F23" r:id="rId103"/>
    <hyperlink xmlns:r="http://schemas.openxmlformats.org/officeDocument/2006/relationships" ref="G23" r:id="rId104"/>
    <hyperlink xmlns:r="http://schemas.openxmlformats.org/officeDocument/2006/relationships" ref="H23" r:id="rId105"/>
    <hyperlink xmlns:r="http://schemas.openxmlformats.org/officeDocument/2006/relationships" ref="J23" r:id="rId106"/>
    <hyperlink xmlns:r="http://schemas.openxmlformats.org/officeDocument/2006/relationships" ref="K23" r:id="rId107"/>
    <hyperlink xmlns:r="http://schemas.openxmlformats.org/officeDocument/2006/relationships" ref="L23" r:id="rId108"/>
    <hyperlink xmlns:r="http://schemas.openxmlformats.org/officeDocument/2006/relationships" ref="F24" r:id="rId109"/>
    <hyperlink xmlns:r="http://schemas.openxmlformats.org/officeDocument/2006/relationships" ref="G24" r:id="rId110"/>
    <hyperlink xmlns:r="http://schemas.openxmlformats.org/officeDocument/2006/relationships" ref="H24" r:id="rId111"/>
    <hyperlink xmlns:r="http://schemas.openxmlformats.org/officeDocument/2006/relationships" ref="J24" r:id="rId112"/>
    <hyperlink xmlns:r="http://schemas.openxmlformats.org/officeDocument/2006/relationships" ref="K24" r:id="rId113"/>
    <hyperlink xmlns:r="http://schemas.openxmlformats.org/officeDocument/2006/relationships" ref="L24" r:id="rId114"/>
    <hyperlink xmlns:r="http://schemas.openxmlformats.org/officeDocument/2006/relationships" ref="F25" r:id="rId115"/>
    <hyperlink xmlns:r="http://schemas.openxmlformats.org/officeDocument/2006/relationships" ref="G25" r:id="rId116"/>
    <hyperlink xmlns:r="http://schemas.openxmlformats.org/officeDocument/2006/relationships" ref="H25" r:id="rId117"/>
    <hyperlink xmlns:r="http://schemas.openxmlformats.org/officeDocument/2006/relationships" ref="J25" r:id="rId118"/>
    <hyperlink xmlns:r="http://schemas.openxmlformats.org/officeDocument/2006/relationships" ref="K25" r:id="rId119"/>
    <hyperlink xmlns:r="http://schemas.openxmlformats.org/officeDocument/2006/relationships" ref="L25" r:id="rId120"/>
    <hyperlink xmlns:r="http://schemas.openxmlformats.org/officeDocument/2006/relationships" ref="F26" r:id="rId121"/>
    <hyperlink xmlns:r="http://schemas.openxmlformats.org/officeDocument/2006/relationships" ref="G26" r:id="rId122"/>
    <hyperlink xmlns:r="http://schemas.openxmlformats.org/officeDocument/2006/relationships" ref="H26" r:id="rId123"/>
    <hyperlink xmlns:r="http://schemas.openxmlformats.org/officeDocument/2006/relationships" ref="J26" r:id="rId124"/>
    <hyperlink xmlns:r="http://schemas.openxmlformats.org/officeDocument/2006/relationships" ref="K26" r:id="rId125"/>
    <hyperlink xmlns:r="http://schemas.openxmlformats.org/officeDocument/2006/relationships" ref="L26" r:id="rId126"/>
    <hyperlink xmlns:r="http://schemas.openxmlformats.org/officeDocument/2006/relationships" ref="F27" r:id="rId127"/>
    <hyperlink xmlns:r="http://schemas.openxmlformats.org/officeDocument/2006/relationships" ref="G27" r:id="rId128"/>
    <hyperlink xmlns:r="http://schemas.openxmlformats.org/officeDocument/2006/relationships" ref="H27" r:id="rId129"/>
    <hyperlink xmlns:r="http://schemas.openxmlformats.org/officeDocument/2006/relationships" ref="J27" r:id="rId130"/>
    <hyperlink xmlns:r="http://schemas.openxmlformats.org/officeDocument/2006/relationships" ref="K27" r:id="rId131"/>
    <hyperlink xmlns:r="http://schemas.openxmlformats.org/officeDocument/2006/relationships" ref="L27" r:id="rId132"/>
    <hyperlink xmlns:r="http://schemas.openxmlformats.org/officeDocument/2006/relationships" ref="F28" r:id="rId133"/>
    <hyperlink xmlns:r="http://schemas.openxmlformats.org/officeDocument/2006/relationships" ref="G28" r:id="rId134"/>
    <hyperlink xmlns:r="http://schemas.openxmlformats.org/officeDocument/2006/relationships" ref="H28" r:id="rId135"/>
    <hyperlink xmlns:r="http://schemas.openxmlformats.org/officeDocument/2006/relationships" ref="J28" r:id="rId136"/>
    <hyperlink xmlns:r="http://schemas.openxmlformats.org/officeDocument/2006/relationships" ref="K28" r:id="rId137"/>
    <hyperlink xmlns:r="http://schemas.openxmlformats.org/officeDocument/2006/relationships" ref="L28" r:id="rId138"/>
    <hyperlink xmlns:r="http://schemas.openxmlformats.org/officeDocument/2006/relationships" ref="F29" r:id="rId139"/>
    <hyperlink xmlns:r="http://schemas.openxmlformats.org/officeDocument/2006/relationships" ref="G29" r:id="rId140"/>
    <hyperlink xmlns:r="http://schemas.openxmlformats.org/officeDocument/2006/relationships" ref="H29" r:id="rId141"/>
    <hyperlink xmlns:r="http://schemas.openxmlformats.org/officeDocument/2006/relationships" ref="J29" r:id="rId142"/>
    <hyperlink xmlns:r="http://schemas.openxmlformats.org/officeDocument/2006/relationships" ref="K29" r:id="rId143"/>
    <hyperlink xmlns:r="http://schemas.openxmlformats.org/officeDocument/2006/relationships" ref="L29" r:id="rId144"/>
    <hyperlink xmlns:r="http://schemas.openxmlformats.org/officeDocument/2006/relationships" ref="F30" r:id="rId145"/>
    <hyperlink xmlns:r="http://schemas.openxmlformats.org/officeDocument/2006/relationships" ref="G30" r:id="rId146"/>
    <hyperlink xmlns:r="http://schemas.openxmlformats.org/officeDocument/2006/relationships" ref="H30" r:id="rId147"/>
    <hyperlink xmlns:r="http://schemas.openxmlformats.org/officeDocument/2006/relationships" ref="J30" r:id="rId148"/>
    <hyperlink xmlns:r="http://schemas.openxmlformats.org/officeDocument/2006/relationships" ref="K30" r:id="rId149"/>
    <hyperlink xmlns:r="http://schemas.openxmlformats.org/officeDocument/2006/relationships" ref="L30" r:id="rId150"/>
    <hyperlink xmlns:r="http://schemas.openxmlformats.org/officeDocument/2006/relationships" ref="F31" r:id="rId151"/>
    <hyperlink xmlns:r="http://schemas.openxmlformats.org/officeDocument/2006/relationships" ref="G31" r:id="rId152"/>
    <hyperlink xmlns:r="http://schemas.openxmlformats.org/officeDocument/2006/relationships" ref="H31" r:id="rId153"/>
    <hyperlink xmlns:r="http://schemas.openxmlformats.org/officeDocument/2006/relationships" ref="F32" r:id="rId154"/>
    <hyperlink xmlns:r="http://schemas.openxmlformats.org/officeDocument/2006/relationships" ref="G32" r:id="rId155"/>
    <hyperlink xmlns:r="http://schemas.openxmlformats.org/officeDocument/2006/relationships" ref="H32" r:id="rId156"/>
    <hyperlink xmlns:r="http://schemas.openxmlformats.org/officeDocument/2006/relationships" ref="J32" r:id="rId157"/>
    <hyperlink xmlns:r="http://schemas.openxmlformats.org/officeDocument/2006/relationships" ref="K32" r:id="rId158"/>
    <hyperlink xmlns:r="http://schemas.openxmlformats.org/officeDocument/2006/relationships" ref="L32" r:id="rId159"/>
    <hyperlink xmlns:r="http://schemas.openxmlformats.org/officeDocument/2006/relationships" ref="F33" r:id="rId160"/>
    <hyperlink xmlns:r="http://schemas.openxmlformats.org/officeDocument/2006/relationships" ref="G33" r:id="rId161"/>
    <hyperlink xmlns:r="http://schemas.openxmlformats.org/officeDocument/2006/relationships" ref="H33" r:id="rId162"/>
    <hyperlink xmlns:r="http://schemas.openxmlformats.org/officeDocument/2006/relationships" ref="J33" r:id="rId163"/>
    <hyperlink xmlns:r="http://schemas.openxmlformats.org/officeDocument/2006/relationships" ref="K33" r:id="rId164"/>
    <hyperlink xmlns:r="http://schemas.openxmlformats.org/officeDocument/2006/relationships" ref="L33" r:id="rId165"/>
    <hyperlink xmlns:r="http://schemas.openxmlformats.org/officeDocument/2006/relationships" ref="F34" r:id="rId166"/>
    <hyperlink xmlns:r="http://schemas.openxmlformats.org/officeDocument/2006/relationships" ref="G34" r:id="rId167"/>
    <hyperlink xmlns:r="http://schemas.openxmlformats.org/officeDocument/2006/relationships" ref="H34" r:id="rId168"/>
    <hyperlink xmlns:r="http://schemas.openxmlformats.org/officeDocument/2006/relationships" ref="J34" r:id="rId169"/>
    <hyperlink xmlns:r="http://schemas.openxmlformats.org/officeDocument/2006/relationships" ref="K34" r:id="rId170"/>
    <hyperlink xmlns:r="http://schemas.openxmlformats.org/officeDocument/2006/relationships" ref="L34" r:id="rId171"/>
    <hyperlink xmlns:r="http://schemas.openxmlformats.org/officeDocument/2006/relationships" ref="F35" r:id="rId172"/>
    <hyperlink xmlns:r="http://schemas.openxmlformats.org/officeDocument/2006/relationships" ref="G35" r:id="rId173"/>
    <hyperlink xmlns:r="http://schemas.openxmlformats.org/officeDocument/2006/relationships" ref="H35" r:id="rId174"/>
    <hyperlink xmlns:r="http://schemas.openxmlformats.org/officeDocument/2006/relationships" ref="J35" r:id="rId175"/>
    <hyperlink xmlns:r="http://schemas.openxmlformats.org/officeDocument/2006/relationships" ref="K35" r:id="rId176"/>
    <hyperlink xmlns:r="http://schemas.openxmlformats.org/officeDocument/2006/relationships" ref="L35" r:id="rId177"/>
    <hyperlink xmlns:r="http://schemas.openxmlformats.org/officeDocument/2006/relationships" ref="F36" r:id="rId178"/>
    <hyperlink xmlns:r="http://schemas.openxmlformats.org/officeDocument/2006/relationships" ref="G36" r:id="rId179"/>
    <hyperlink xmlns:r="http://schemas.openxmlformats.org/officeDocument/2006/relationships" ref="H36" r:id="rId180"/>
    <hyperlink xmlns:r="http://schemas.openxmlformats.org/officeDocument/2006/relationships" ref="J36" r:id="rId181"/>
    <hyperlink xmlns:r="http://schemas.openxmlformats.org/officeDocument/2006/relationships" ref="K36" r:id="rId182"/>
    <hyperlink xmlns:r="http://schemas.openxmlformats.org/officeDocument/2006/relationships" ref="L36" r:id="rId183"/>
    <hyperlink xmlns:r="http://schemas.openxmlformats.org/officeDocument/2006/relationships" ref="F37" r:id="rId184"/>
    <hyperlink xmlns:r="http://schemas.openxmlformats.org/officeDocument/2006/relationships" ref="G37" r:id="rId185"/>
    <hyperlink xmlns:r="http://schemas.openxmlformats.org/officeDocument/2006/relationships" ref="H37" r:id="rId186"/>
    <hyperlink xmlns:r="http://schemas.openxmlformats.org/officeDocument/2006/relationships" ref="J37" r:id="rId187"/>
    <hyperlink xmlns:r="http://schemas.openxmlformats.org/officeDocument/2006/relationships" ref="K37" r:id="rId188"/>
    <hyperlink xmlns:r="http://schemas.openxmlformats.org/officeDocument/2006/relationships" ref="L37" r:id="rId189"/>
    <hyperlink xmlns:r="http://schemas.openxmlformats.org/officeDocument/2006/relationships" ref="F38" r:id="rId190"/>
    <hyperlink xmlns:r="http://schemas.openxmlformats.org/officeDocument/2006/relationships" ref="G38" r:id="rId191"/>
    <hyperlink xmlns:r="http://schemas.openxmlformats.org/officeDocument/2006/relationships" ref="H38" r:id="rId192"/>
    <hyperlink xmlns:r="http://schemas.openxmlformats.org/officeDocument/2006/relationships" ref="J38" r:id="rId193"/>
    <hyperlink xmlns:r="http://schemas.openxmlformats.org/officeDocument/2006/relationships" ref="K38" r:id="rId194"/>
    <hyperlink xmlns:r="http://schemas.openxmlformats.org/officeDocument/2006/relationships" ref="L38" r:id="rId195"/>
    <hyperlink xmlns:r="http://schemas.openxmlformats.org/officeDocument/2006/relationships" ref="F39" r:id="rId196"/>
    <hyperlink xmlns:r="http://schemas.openxmlformats.org/officeDocument/2006/relationships" ref="G39" r:id="rId197"/>
    <hyperlink xmlns:r="http://schemas.openxmlformats.org/officeDocument/2006/relationships" ref="H39" r:id="rId198"/>
    <hyperlink xmlns:r="http://schemas.openxmlformats.org/officeDocument/2006/relationships" ref="J39" r:id="rId199"/>
    <hyperlink xmlns:r="http://schemas.openxmlformats.org/officeDocument/2006/relationships" ref="K39" r:id="rId200"/>
    <hyperlink xmlns:r="http://schemas.openxmlformats.org/officeDocument/2006/relationships" ref="L39" r:id="rId201"/>
    <hyperlink xmlns:r="http://schemas.openxmlformats.org/officeDocument/2006/relationships" ref="F40" r:id="rId202"/>
    <hyperlink xmlns:r="http://schemas.openxmlformats.org/officeDocument/2006/relationships" ref="G40" r:id="rId203"/>
    <hyperlink xmlns:r="http://schemas.openxmlformats.org/officeDocument/2006/relationships" ref="H40" r:id="rId204"/>
    <hyperlink xmlns:r="http://schemas.openxmlformats.org/officeDocument/2006/relationships" ref="J40" r:id="rId205"/>
    <hyperlink xmlns:r="http://schemas.openxmlformats.org/officeDocument/2006/relationships" ref="K40" r:id="rId206"/>
    <hyperlink xmlns:r="http://schemas.openxmlformats.org/officeDocument/2006/relationships" ref="L40" r:id="rId207"/>
    <hyperlink xmlns:r="http://schemas.openxmlformats.org/officeDocument/2006/relationships" ref="F41" r:id="rId208"/>
    <hyperlink xmlns:r="http://schemas.openxmlformats.org/officeDocument/2006/relationships" ref="G41" r:id="rId209"/>
    <hyperlink xmlns:r="http://schemas.openxmlformats.org/officeDocument/2006/relationships" ref="H41" r:id="rId210"/>
    <hyperlink xmlns:r="http://schemas.openxmlformats.org/officeDocument/2006/relationships" ref="J41" r:id="rId211"/>
    <hyperlink xmlns:r="http://schemas.openxmlformats.org/officeDocument/2006/relationships" ref="K41" r:id="rId212"/>
    <hyperlink xmlns:r="http://schemas.openxmlformats.org/officeDocument/2006/relationships" ref="L41" r:id="rId213"/>
    <hyperlink xmlns:r="http://schemas.openxmlformats.org/officeDocument/2006/relationships" ref="F42" r:id="rId214"/>
    <hyperlink xmlns:r="http://schemas.openxmlformats.org/officeDocument/2006/relationships" ref="G42" r:id="rId215"/>
    <hyperlink xmlns:r="http://schemas.openxmlformats.org/officeDocument/2006/relationships" ref="H42" r:id="rId216"/>
    <hyperlink xmlns:r="http://schemas.openxmlformats.org/officeDocument/2006/relationships" ref="J42" r:id="rId217"/>
    <hyperlink xmlns:r="http://schemas.openxmlformats.org/officeDocument/2006/relationships" ref="K42" r:id="rId218"/>
    <hyperlink xmlns:r="http://schemas.openxmlformats.org/officeDocument/2006/relationships" ref="L42" r:id="rId219"/>
    <hyperlink xmlns:r="http://schemas.openxmlformats.org/officeDocument/2006/relationships" ref="F43" r:id="rId220"/>
    <hyperlink xmlns:r="http://schemas.openxmlformats.org/officeDocument/2006/relationships" ref="G43" r:id="rId221"/>
    <hyperlink xmlns:r="http://schemas.openxmlformats.org/officeDocument/2006/relationships" ref="H43" r:id="rId222"/>
    <hyperlink xmlns:r="http://schemas.openxmlformats.org/officeDocument/2006/relationships" ref="J43" r:id="rId223"/>
    <hyperlink xmlns:r="http://schemas.openxmlformats.org/officeDocument/2006/relationships" ref="K43" r:id="rId224"/>
    <hyperlink xmlns:r="http://schemas.openxmlformats.org/officeDocument/2006/relationships" ref="L43" r:id="rId225"/>
    <hyperlink xmlns:r="http://schemas.openxmlformats.org/officeDocument/2006/relationships" ref="F44" r:id="rId226"/>
    <hyperlink xmlns:r="http://schemas.openxmlformats.org/officeDocument/2006/relationships" ref="G44" r:id="rId227"/>
    <hyperlink xmlns:r="http://schemas.openxmlformats.org/officeDocument/2006/relationships" ref="H44" r:id="rId228"/>
    <hyperlink xmlns:r="http://schemas.openxmlformats.org/officeDocument/2006/relationships" ref="J44" r:id="rId229"/>
    <hyperlink xmlns:r="http://schemas.openxmlformats.org/officeDocument/2006/relationships" ref="K44" r:id="rId230"/>
    <hyperlink xmlns:r="http://schemas.openxmlformats.org/officeDocument/2006/relationships" ref="L44" r:id="rId231"/>
    <hyperlink xmlns:r="http://schemas.openxmlformats.org/officeDocument/2006/relationships" ref="F46" r:id="rId232"/>
    <hyperlink xmlns:r="http://schemas.openxmlformats.org/officeDocument/2006/relationships" ref="G46" r:id="rId233"/>
    <hyperlink xmlns:r="http://schemas.openxmlformats.org/officeDocument/2006/relationships" ref="H46" r:id="rId234"/>
    <hyperlink xmlns:r="http://schemas.openxmlformats.org/officeDocument/2006/relationships" ref="J46" r:id="rId235"/>
    <hyperlink xmlns:r="http://schemas.openxmlformats.org/officeDocument/2006/relationships" ref="K46" r:id="rId236"/>
    <hyperlink xmlns:r="http://schemas.openxmlformats.org/officeDocument/2006/relationships" ref="L46" r:id="rId237"/>
    <hyperlink xmlns:r="http://schemas.openxmlformats.org/officeDocument/2006/relationships" ref="F47" r:id="rId238"/>
    <hyperlink xmlns:r="http://schemas.openxmlformats.org/officeDocument/2006/relationships" ref="G47" r:id="rId239"/>
    <hyperlink xmlns:r="http://schemas.openxmlformats.org/officeDocument/2006/relationships" ref="H47" r:id="rId240"/>
    <hyperlink xmlns:r="http://schemas.openxmlformats.org/officeDocument/2006/relationships" ref="J47" r:id="rId241"/>
    <hyperlink xmlns:r="http://schemas.openxmlformats.org/officeDocument/2006/relationships" ref="K47" r:id="rId242"/>
    <hyperlink xmlns:r="http://schemas.openxmlformats.org/officeDocument/2006/relationships" ref="L47" r:id="rId243"/>
    <hyperlink xmlns:r="http://schemas.openxmlformats.org/officeDocument/2006/relationships" ref="F48" r:id="rId244"/>
    <hyperlink xmlns:r="http://schemas.openxmlformats.org/officeDocument/2006/relationships" ref="G48" r:id="rId245"/>
    <hyperlink xmlns:r="http://schemas.openxmlformats.org/officeDocument/2006/relationships" ref="H48" r:id="rId246"/>
    <hyperlink xmlns:r="http://schemas.openxmlformats.org/officeDocument/2006/relationships" ref="J48" r:id="rId247"/>
    <hyperlink xmlns:r="http://schemas.openxmlformats.org/officeDocument/2006/relationships" ref="K48" r:id="rId248"/>
    <hyperlink xmlns:r="http://schemas.openxmlformats.org/officeDocument/2006/relationships" ref="L48" r:id="rId249"/>
    <hyperlink xmlns:r="http://schemas.openxmlformats.org/officeDocument/2006/relationships" ref="F49" r:id="rId250"/>
    <hyperlink xmlns:r="http://schemas.openxmlformats.org/officeDocument/2006/relationships" ref="G49" r:id="rId251"/>
    <hyperlink xmlns:r="http://schemas.openxmlformats.org/officeDocument/2006/relationships" ref="H49" r:id="rId252"/>
    <hyperlink xmlns:r="http://schemas.openxmlformats.org/officeDocument/2006/relationships" ref="J49" r:id="rId253"/>
    <hyperlink xmlns:r="http://schemas.openxmlformats.org/officeDocument/2006/relationships" ref="K49" r:id="rId254"/>
    <hyperlink xmlns:r="http://schemas.openxmlformats.org/officeDocument/2006/relationships" ref="L49" r:id="rId255"/>
    <hyperlink xmlns:r="http://schemas.openxmlformats.org/officeDocument/2006/relationships" ref="F50" r:id="rId256"/>
    <hyperlink xmlns:r="http://schemas.openxmlformats.org/officeDocument/2006/relationships" ref="G50" r:id="rId257"/>
    <hyperlink xmlns:r="http://schemas.openxmlformats.org/officeDocument/2006/relationships" ref="H50" r:id="rId258"/>
    <hyperlink xmlns:r="http://schemas.openxmlformats.org/officeDocument/2006/relationships" ref="J50" r:id="rId259"/>
    <hyperlink xmlns:r="http://schemas.openxmlformats.org/officeDocument/2006/relationships" ref="K50" r:id="rId260"/>
    <hyperlink xmlns:r="http://schemas.openxmlformats.org/officeDocument/2006/relationships" ref="L50" r:id="rId261"/>
    <hyperlink xmlns:r="http://schemas.openxmlformats.org/officeDocument/2006/relationships" ref="F51" r:id="rId262"/>
    <hyperlink xmlns:r="http://schemas.openxmlformats.org/officeDocument/2006/relationships" ref="G51" r:id="rId263"/>
    <hyperlink xmlns:r="http://schemas.openxmlformats.org/officeDocument/2006/relationships" ref="H51" r:id="rId264"/>
    <hyperlink xmlns:r="http://schemas.openxmlformats.org/officeDocument/2006/relationships" ref="J51" r:id="rId265"/>
    <hyperlink xmlns:r="http://schemas.openxmlformats.org/officeDocument/2006/relationships" ref="K51" r:id="rId266"/>
    <hyperlink xmlns:r="http://schemas.openxmlformats.org/officeDocument/2006/relationships" ref="L51" r:id="rId267"/>
    <hyperlink xmlns:r="http://schemas.openxmlformats.org/officeDocument/2006/relationships" ref="F52" r:id="rId268"/>
    <hyperlink xmlns:r="http://schemas.openxmlformats.org/officeDocument/2006/relationships" ref="G52" r:id="rId269"/>
    <hyperlink xmlns:r="http://schemas.openxmlformats.org/officeDocument/2006/relationships" ref="H52" r:id="rId270"/>
    <hyperlink xmlns:r="http://schemas.openxmlformats.org/officeDocument/2006/relationships" ref="J52" r:id="rId271"/>
    <hyperlink xmlns:r="http://schemas.openxmlformats.org/officeDocument/2006/relationships" ref="K52" r:id="rId272"/>
    <hyperlink xmlns:r="http://schemas.openxmlformats.org/officeDocument/2006/relationships" ref="L52" r:id="rId273"/>
    <hyperlink xmlns:r="http://schemas.openxmlformats.org/officeDocument/2006/relationships" ref="F53" r:id="rId274"/>
    <hyperlink xmlns:r="http://schemas.openxmlformats.org/officeDocument/2006/relationships" ref="G53" r:id="rId275"/>
    <hyperlink xmlns:r="http://schemas.openxmlformats.org/officeDocument/2006/relationships" ref="H53" r:id="rId276"/>
    <hyperlink xmlns:r="http://schemas.openxmlformats.org/officeDocument/2006/relationships" ref="J53" r:id="rId277"/>
    <hyperlink xmlns:r="http://schemas.openxmlformats.org/officeDocument/2006/relationships" ref="K53" r:id="rId278"/>
    <hyperlink xmlns:r="http://schemas.openxmlformats.org/officeDocument/2006/relationships" ref="L53" r:id="rId279"/>
    <hyperlink xmlns:r="http://schemas.openxmlformats.org/officeDocument/2006/relationships" ref="F54" r:id="rId280"/>
    <hyperlink xmlns:r="http://schemas.openxmlformats.org/officeDocument/2006/relationships" ref="G54" r:id="rId281"/>
    <hyperlink xmlns:r="http://schemas.openxmlformats.org/officeDocument/2006/relationships" ref="H54" r:id="rId282"/>
    <hyperlink xmlns:r="http://schemas.openxmlformats.org/officeDocument/2006/relationships" ref="J54" r:id="rId283"/>
    <hyperlink xmlns:r="http://schemas.openxmlformats.org/officeDocument/2006/relationships" ref="K54" r:id="rId284"/>
    <hyperlink xmlns:r="http://schemas.openxmlformats.org/officeDocument/2006/relationships" ref="L54" r:id="rId285"/>
    <hyperlink xmlns:r="http://schemas.openxmlformats.org/officeDocument/2006/relationships" ref="F55" r:id="rId286"/>
    <hyperlink xmlns:r="http://schemas.openxmlformats.org/officeDocument/2006/relationships" ref="G55" r:id="rId287"/>
    <hyperlink xmlns:r="http://schemas.openxmlformats.org/officeDocument/2006/relationships" ref="H55" r:id="rId288"/>
    <hyperlink xmlns:r="http://schemas.openxmlformats.org/officeDocument/2006/relationships" ref="J55" r:id="rId289"/>
    <hyperlink xmlns:r="http://schemas.openxmlformats.org/officeDocument/2006/relationships" ref="K55" r:id="rId290"/>
    <hyperlink xmlns:r="http://schemas.openxmlformats.org/officeDocument/2006/relationships" ref="L55" r:id="rId291"/>
    <hyperlink xmlns:r="http://schemas.openxmlformats.org/officeDocument/2006/relationships" ref="F56" r:id="rId292"/>
    <hyperlink xmlns:r="http://schemas.openxmlformats.org/officeDocument/2006/relationships" ref="G56" r:id="rId293"/>
    <hyperlink xmlns:r="http://schemas.openxmlformats.org/officeDocument/2006/relationships" ref="H56" r:id="rId294"/>
    <hyperlink xmlns:r="http://schemas.openxmlformats.org/officeDocument/2006/relationships" ref="J56" r:id="rId295"/>
    <hyperlink xmlns:r="http://schemas.openxmlformats.org/officeDocument/2006/relationships" ref="K56" r:id="rId296"/>
    <hyperlink xmlns:r="http://schemas.openxmlformats.org/officeDocument/2006/relationships" ref="L56" r:id="rId297"/>
    <hyperlink xmlns:r="http://schemas.openxmlformats.org/officeDocument/2006/relationships" ref="F57" r:id="rId298"/>
    <hyperlink xmlns:r="http://schemas.openxmlformats.org/officeDocument/2006/relationships" ref="G57" r:id="rId299"/>
    <hyperlink xmlns:r="http://schemas.openxmlformats.org/officeDocument/2006/relationships" ref="H57" r:id="rId300"/>
    <hyperlink xmlns:r="http://schemas.openxmlformats.org/officeDocument/2006/relationships" ref="J57" r:id="rId301"/>
    <hyperlink xmlns:r="http://schemas.openxmlformats.org/officeDocument/2006/relationships" ref="K57" r:id="rId302"/>
    <hyperlink xmlns:r="http://schemas.openxmlformats.org/officeDocument/2006/relationships" ref="L57" r:id="rId303"/>
    <hyperlink xmlns:r="http://schemas.openxmlformats.org/officeDocument/2006/relationships" ref="F58" r:id="rId304"/>
    <hyperlink xmlns:r="http://schemas.openxmlformats.org/officeDocument/2006/relationships" ref="G58" r:id="rId305"/>
    <hyperlink xmlns:r="http://schemas.openxmlformats.org/officeDocument/2006/relationships" ref="H58" r:id="rId306"/>
    <hyperlink xmlns:r="http://schemas.openxmlformats.org/officeDocument/2006/relationships" ref="J58" r:id="rId307"/>
    <hyperlink xmlns:r="http://schemas.openxmlformats.org/officeDocument/2006/relationships" ref="K58" r:id="rId308"/>
    <hyperlink xmlns:r="http://schemas.openxmlformats.org/officeDocument/2006/relationships" ref="L58" r:id="rId309"/>
    <hyperlink xmlns:r="http://schemas.openxmlformats.org/officeDocument/2006/relationships" ref="F59" r:id="rId310"/>
    <hyperlink xmlns:r="http://schemas.openxmlformats.org/officeDocument/2006/relationships" ref="G59" r:id="rId311"/>
    <hyperlink xmlns:r="http://schemas.openxmlformats.org/officeDocument/2006/relationships" ref="H59" r:id="rId312"/>
    <hyperlink xmlns:r="http://schemas.openxmlformats.org/officeDocument/2006/relationships" ref="J59" r:id="rId313"/>
    <hyperlink xmlns:r="http://schemas.openxmlformats.org/officeDocument/2006/relationships" ref="K59" r:id="rId314"/>
    <hyperlink xmlns:r="http://schemas.openxmlformats.org/officeDocument/2006/relationships" ref="L59" r:id="rId315"/>
    <hyperlink xmlns:r="http://schemas.openxmlformats.org/officeDocument/2006/relationships" ref="F60" r:id="rId316"/>
    <hyperlink xmlns:r="http://schemas.openxmlformats.org/officeDocument/2006/relationships" ref="G60" r:id="rId317"/>
    <hyperlink xmlns:r="http://schemas.openxmlformats.org/officeDocument/2006/relationships" ref="H60" r:id="rId318"/>
    <hyperlink xmlns:r="http://schemas.openxmlformats.org/officeDocument/2006/relationships" ref="J60" r:id="rId319"/>
    <hyperlink xmlns:r="http://schemas.openxmlformats.org/officeDocument/2006/relationships" ref="K60" r:id="rId320"/>
    <hyperlink xmlns:r="http://schemas.openxmlformats.org/officeDocument/2006/relationships" ref="L60" r:id="rId321"/>
    <hyperlink xmlns:r="http://schemas.openxmlformats.org/officeDocument/2006/relationships" ref="F62" r:id="rId322"/>
    <hyperlink xmlns:r="http://schemas.openxmlformats.org/officeDocument/2006/relationships" ref="G62" r:id="rId323"/>
    <hyperlink xmlns:r="http://schemas.openxmlformats.org/officeDocument/2006/relationships" ref="H62" r:id="rId324"/>
    <hyperlink xmlns:r="http://schemas.openxmlformats.org/officeDocument/2006/relationships" ref="J62" r:id="rId325"/>
    <hyperlink xmlns:r="http://schemas.openxmlformats.org/officeDocument/2006/relationships" ref="K62" r:id="rId326"/>
    <hyperlink xmlns:r="http://schemas.openxmlformats.org/officeDocument/2006/relationships" ref="L62" r:id="rId327"/>
    <hyperlink xmlns:r="http://schemas.openxmlformats.org/officeDocument/2006/relationships" ref="F63" r:id="rId328"/>
    <hyperlink xmlns:r="http://schemas.openxmlformats.org/officeDocument/2006/relationships" ref="G63" r:id="rId329"/>
    <hyperlink xmlns:r="http://schemas.openxmlformats.org/officeDocument/2006/relationships" ref="H63" r:id="rId330"/>
    <hyperlink xmlns:r="http://schemas.openxmlformats.org/officeDocument/2006/relationships" ref="J63" r:id="rId331"/>
    <hyperlink xmlns:r="http://schemas.openxmlformats.org/officeDocument/2006/relationships" ref="K63" r:id="rId332"/>
    <hyperlink xmlns:r="http://schemas.openxmlformats.org/officeDocument/2006/relationships" ref="L63" r:id="rId333"/>
    <hyperlink xmlns:r="http://schemas.openxmlformats.org/officeDocument/2006/relationships" ref="F64" r:id="rId334"/>
    <hyperlink xmlns:r="http://schemas.openxmlformats.org/officeDocument/2006/relationships" ref="G64" r:id="rId335"/>
    <hyperlink xmlns:r="http://schemas.openxmlformats.org/officeDocument/2006/relationships" ref="H64" r:id="rId336"/>
    <hyperlink xmlns:r="http://schemas.openxmlformats.org/officeDocument/2006/relationships" ref="J64" r:id="rId337"/>
    <hyperlink xmlns:r="http://schemas.openxmlformats.org/officeDocument/2006/relationships" ref="K64" r:id="rId338"/>
    <hyperlink xmlns:r="http://schemas.openxmlformats.org/officeDocument/2006/relationships" ref="L64" r:id="rId339"/>
    <hyperlink xmlns:r="http://schemas.openxmlformats.org/officeDocument/2006/relationships" ref="F65" r:id="rId340"/>
    <hyperlink xmlns:r="http://schemas.openxmlformats.org/officeDocument/2006/relationships" ref="G65" r:id="rId341"/>
    <hyperlink xmlns:r="http://schemas.openxmlformats.org/officeDocument/2006/relationships" ref="H65" r:id="rId342"/>
    <hyperlink xmlns:r="http://schemas.openxmlformats.org/officeDocument/2006/relationships" ref="J65" r:id="rId343"/>
    <hyperlink xmlns:r="http://schemas.openxmlformats.org/officeDocument/2006/relationships" ref="K65" r:id="rId344"/>
    <hyperlink xmlns:r="http://schemas.openxmlformats.org/officeDocument/2006/relationships" ref="L65" r:id="rId345"/>
    <hyperlink xmlns:r="http://schemas.openxmlformats.org/officeDocument/2006/relationships" ref="F66" r:id="rId346"/>
    <hyperlink xmlns:r="http://schemas.openxmlformats.org/officeDocument/2006/relationships" ref="G66" r:id="rId347"/>
    <hyperlink xmlns:r="http://schemas.openxmlformats.org/officeDocument/2006/relationships" ref="H66" r:id="rId348"/>
    <hyperlink xmlns:r="http://schemas.openxmlformats.org/officeDocument/2006/relationships" ref="J66" r:id="rId349"/>
    <hyperlink xmlns:r="http://schemas.openxmlformats.org/officeDocument/2006/relationships" ref="K66" r:id="rId350"/>
    <hyperlink xmlns:r="http://schemas.openxmlformats.org/officeDocument/2006/relationships" ref="L66" r:id="rId351"/>
    <hyperlink xmlns:r="http://schemas.openxmlformats.org/officeDocument/2006/relationships" ref="F67" r:id="rId352"/>
    <hyperlink xmlns:r="http://schemas.openxmlformats.org/officeDocument/2006/relationships" ref="G67" r:id="rId353"/>
    <hyperlink xmlns:r="http://schemas.openxmlformats.org/officeDocument/2006/relationships" ref="H67" r:id="rId354"/>
    <hyperlink xmlns:r="http://schemas.openxmlformats.org/officeDocument/2006/relationships" ref="J67" r:id="rId355"/>
    <hyperlink xmlns:r="http://schemas.openxmlformats.org/officeDocument/2006/relationships" ref="K67" r:id="rId356"/>
    <hyperlink xmlns:r="http://schemas.openxmlformats.org/officeDocument/2006/relationships" ref="L67" r:id="rId357"/>
    <hyperlink xmlns:r="http://schemas.openxmlformats.org/officeDocument/2006/relationships" ref="F68" r:id="rId358"/>
    <hyperlink xmlns:r="http://schemas.openxmlformats.org/officeDocument/2006/relationships" ref="G68" r:id="rId359"/>
    <hyperlink xmlns:r="http://schemas.openxmlformats.org/officeDocument/2006/relationships" ref="H68" r:id="rId360"/>
    <hyperlink xmlns:r="http://schemas.openxmlformats.org/officeDocument/2006/relationships" ref="J68" r:id="rId361"/>
    <hyperlink xmlns:r="http://schemas.openxmlformats.org/officeDocument/2006/relationships" ref="K68" r:id="rId362"/>
    <hyperlink xmlns:r="http://schemas.openxmlformats.org/officeDocument/2006/relationships" ref="L68" r:id="rId363"/>
    <hyperlink xmlns:r="http://schemas.openxmlformats.org/officeDocument/2006/relationships" ref="F69" r:id="rId364"/>
    <hyperlink xmlns:r="http://schemas.openxmlformats.org/officeDocument/2006/relationships" ref="G69" r:id="rId365"/>
    <hyperlink xmlns:r="http://schemas.openxmlformats.org/officeDocument/2006/relationships" ref="H69" r:id="rId366"/>
    <hyperlink xmlns:r="http://schemas.openxmlformats.org/officeDocument/2006/relationships" ref="J69" r:id="rId367"/>
    <hyperlink xmlns:r="http://schemas.openxmlformats.org/officeDocument/2006/relationships" ref="K69" r:id="rId368"/>
    <hyperlink xmlns:r="http://schemas.openxmlformats.org/officeDocument/2006/relationships" ref="L69" r:id="rId369"/>
    <hyperlink xmlns:r="http://schemas.openxmlformats.org/officeDocument/2006/relationships" ref="F70" r:id="rId370"/>
    <hyperlink xmlns:r="http://schemas.openxmlformats.org/officeDocument/2006/relationships" ref="G70" r:id="rId371"/>
    <hyperlink xmlns:r="http://schemas.openxmlformats.org/officeDocument/2006/relationships" ref="H70" r:id="rId372"/>
    <hyperlink xmlns:r="http://schemas.openxmlformats.org/officeDocument/2006/relationships" ref="J70" r:id="rId373"/>
    <hyperlink xmlns:r="http://schemas.openxmlformats.org/officeDocument/2006/relationships" ref="K70" r:id="rId374"/>
    <hyperlink xmlns:r="http://schemas.openxmlformats.org/officeDocument/2006/relationships" ref="L70" r:id="rId375"/>
    <hyperlink xmlns:r="http://schemas.openxmlformats.org/officeDocument/2006/relationships" ref="F71" r:id="rId376"/>
    <hyperlink xmlns:r="http://schemas.openxmlformats.org/officeDocument/2006/relationships" ref="G71" r:id="rId377"/>
    <hyperlink xmlns:r="http://schemas.openxmlformats.org/officeDocument/2006/relationships" ref="H71" r:id="rId378"/>
    <hyperlink xmlns:r="http://schemas.openxmlformats.org/officeDocument/2006/relationships" ref="J71" r:id="rId379"/>
    <hyperlink xmlns:r="http://schemas.openxmlformats.org/officeDocument/2006/relationships" ref="K71" r:id="rId380"/>
    <hyperlink xmlns:r="http://schemas.openxmlformats.org/officeDocument/2006/relationships" ref="L71" r:id="rId381"/>
    <hyperlink xmlns:r="http://schemas.openxmlformats.org/officeDocument/2006/relationships" ref="F72" r:id="rId382"/>
    <hyperlink xmlns:r="http://schemas.openxmlformats.org/officeDocument/2006/relationships" ref="G72" r:id="rId383"/>
    <hyperlink xmlns:r="http://schemas.openxmlformats.org/officeDocument/2006/relationships" ref="H72" r:id="rId384"/>
    <hyperlink xmlns:r="http://schemas.openxmlformats.org/officeDocument/2006/relationships" ref="J72" r:id="rId385"/>
    <hyperlink xmlns:r="http://schemas.openxmlformats.org/officeDocument/2006/relationships" ref="K72" r:id="rId386"/>
    <hyperlink xmlns:r="http://schemas.openxmlformats.org/officeDocument/2006/relationships" ref="L72" r:id="rId387"/>
    <hyperlink xmlns:r="http://schemas.openxmlformats.org/officeDocument/2006/relationships" ref="F73" r:id="rId388"/>
    <hyperlink xmlns:r="http://schemas.openxmlformats.org/officeDocument/2006/relationships" ref="G73" r:id="rId389"/>
    <hyperlink xmlns:r="http://schemas.openxmlformats.org/officeDocument/2006/relationships" ref="H73" r:id="rId390"/>
    <hyperlink xmlns:r="http://schemas.openxmlformats.org/officeDocument/2006/relationships" ref="J73" r:id="rId391"/>
    <hyperlink xmlns:r="http://schemas.openxmlformats.org/officeDocument/2006/relationships" ref="K73" r:id="rId392"/>
    <hyperlink xmlns:r="http://schemas.openxmlformats.org/officeDocument/2006/relationships" ref="L73" r:id="rId393"/>
    <hyperlink xmlns:r="http://schemas.openxmlformats.org/officeDocument/2006/relationships" ref="F74" r:id="rId394"/>
    <hyperlink xmlns:r="http://schemas.openxmlformats.org/officeDocument/2006/relationships" ref="G74" r:id="rId395"/>
    <hyperlink xmlns:r="http://schemas.openxmlformats.org/officeDocument/2006/relationships" ref="H74" r:id="rId396"/>
    <hyperlink xmlns:r="http://schemas.openxmlformats.org/officeDocument/2006/relationships" ref="J74" r:id="rId397"/>
    <hyperlink xmlns:r="http://schemas.openxmlformats.org/officeDocument/2006/relationships" ref="K74" r:id="rId398"/>
    <hyperlink xmlns:r="http://schemas.openxmlformats.org/officeDocument/2006/relationships" ref="L74" r:id="rId399"/>
    <hyperlink xmlns:r="http://schemas.openxmlformats.org/officeDocument/2006/relationships" ref="F75" r:id="rId400"/>
    <hyperlink xmlns:r="http://schemas.openxmlformats.org/officeDocument/2006/relationships" ref="G75" r:id="rId401"/>
    <hyperlink xmlns:r="http://schemas.openxmlformats.org/officeDocument/2006/relationships" ref="H75" r:id="rId402"/>
    <hyperlink xmlns:r="http://schemas.openxmlformats.org/officeDocument/2006/relationships" ref="J75" r:id="rId403"/>
    <hyperlink xmlns:r="http://schemas.openxmlformats.org/officeDocument/2006/relationships" ref="K75" r:id="rId404"/>
    <hyperlink xmlns:r="http://schemas.openxmlformats.org/officeDocument/2006/relationships" ref="L75" r:id="rId405"/>
    <hyperlink xmlns:r="http://schemas.openxmlformats.org/officeDocument/2006/relationships" ref="F76" r:id="rId406"/>
    <hyperlink xmlns:r="http://schemas.openxmlformats.org/officeDocument/2006/relationships" ref="G76" r:id="rId407"/>
    <hyperlink xmlns:r="http://schemas.openxmlformats.org/officeDocument/2006/relationships" ref="H76" r:id="rId408"/>
    <hyperlink xmlns:r="http://schemas.openxmlformats.org/officeDocument/2006/relationships" ref="J76" r:id="rId409"/>
    <hyperlink xmlns:r="http://schemas.openxmlformats.org/officeDocument/2006/relationships" ref="K76" r:id="rId410"/>
    <hyperlink xmlns:r="http://schemas.openxmlformats.org/officeDocument/2006/relationships" ref="L76" r:id="rId411"/>
    <hyperlink xmlns:r="http://schemas.openxmlformats.org/officeDocument/2006/relationships" ref="F77" r:id="rId412"/>
    <hyperlink xmlns:r="http://schemas.openxmlformats.org/officeDocument/2006/relationships" ref="G77" r:id="rId413"/>
    <hyperlink xmlns:r="http://schemas.openxmlformats.org/officeDocument/2006/relationships" ref="H77" r:id="rId414"/>
    <hyperlink xmlns:r="http://schemas.openxmlformats.org/officeDocument/2006/relationships" ref="J77" r:id="rId415"/>
    <hyperlink xmlns:r="http://schemas.openxmlformats.org/officeDocument/2006/relationships" ref="K77" r:id="rId416"/>
    <hyperlink xmlns:r="http://schemas.openxmlformats.org/officeDocument/2006/relationships" ref="L77" r:id="rId417"/>
    <hyperlink xmlns:r="http://schemas.openxmlformats.org/officeDocument/2006/relationships" ref="F79" r:id="rId418"/>
    <hyperlink xmlns:r="http://schemas.openxmlformats.org/officeDocument/2006/relationships" ref="G79" r:id="rId419"/>
    <hyperlink xmlns:r="http://schemas.openxmlformats.org/officeDocument/2006/relationships" ref="H79" r:id="rId420"/>
    <hyperlink xmlns:r="http://schemas.openxmlformats.org/officeDocument/2006/relationships" ref="J79" r:id="rId421"/>
    <hyperlink xmlns:r="http://schemas.openxmlformats.org/officeDocument/2006/relationships" ref="K79" r:id="rId422"/>
    <hyperlink xmlns:r="http://schemas.openxmlformats.org/officeDocument/2006/relationships" ref="L79" r:id="rId423"/>
    <hyperlink xmlns:r="http://schemas.openxmlformats.org/officeDocument/2006/relationships" ref="F80" r:id="rId424"/>
    <hyperlink xmlns:r="http://schemas.openxmlformats.org/officeDocument/2006/relationships" ref="G80" r:id="rId425"/>
    <hyperlink xmlns:r="http://schemas.openxmlformats.org/officeDocument/2006/relationships" ref="H80" r:id="rId426"/>
    <hyperlink xmlns:r="http://schemas.openxmlformats.org/officeDocument/2006/relationships" ref="J80" r:id="rId427"/>
    <hyperlink xmlns:r="http://schemas.openxmlformats.org/officeDocument/2006/relationships" ref="K80" r:id="rId428"/>
    <hyperlink xmlns:r="http://schemas.openxmlformats.org/officeDocument/2006/relationships" ref="L80" r:id="rId429"/>
    <hyperlink xmlns:r="http://schemas.openxmlformats.org/officeDocument/2006/relationships" ref="F81" r:id="rId430"/>
    <hyperlink xmlns:r="http://schemas.openxmlformats.org/officeDocument/2006/relationships" ref="G81" r:id="rId431"/>
    <hyperlink xmlns:r="http://schemas.openxmlformats.org/officeDocument/2006/relationships" ref="H81" r:id="rId432"/>
    <hyperlink xmlns:r="http://schemas.openxmlformats.org/officeDocument/2006/relationships" ref="J81" r:id="rId433"/>
    <hyperlink xmlns:r="http://schemas.openxmlformats.org/officeDocument/2006/relationships" ref="K81" r:id="rId434"/>
    <hyperlink xmlns:r="http://schemas.openxmlformats.org/officeDocument/2006/relationships" ref="L81" r:id="rId435"/>
    <hyperlink xmlns:r="http://schemas.openxmlformats.org/officeDocument/2006/relationships" ref="F82" r:id="rId436"/>
    <hyperlink xmlns:r="http://schemas.openxmlformats.org/officeDocument/2006/relationships" ref="G82" r:id="rId437"/>
    <hyperlink xmlns:r="http://schemas.openxmlformats.org/officeDocument/2006/relationships" ref="H82" r:id="rId438"/>
    <hyperlink xmlns:r="http://schemas.openxmlformats.org/officeDocument/2006/relationships" ref="J82" r:id="rId439"/>
    <hyperlink xmlns:r="http://schemas.openxmlformats.org/officeDocument/2006/relationships" ref="K82" r:id="rId440"/>
    <hyperlink xmlns:r="http://schemas.openxmlformats.org/officeDocument/2006/relationships" ref="L82" r:id="rId441"/>
    <hyperlink xmlns:r="http://schemas.openxmlformats.org/officeDocument/2006/relationships" ref="F83" r:id="rId442"/>
    <hyperlink xmlns:r="http://schemas.openxmlformats.org/officeDocument/2006/relationships" ref="G83" r:id="rId443"/>
    <hyperlink xmlns:r="http://schemas.openxmlformats.org/officeDocument/2006/relationships" ref="H83" r:id="rId444"/>
    <hyperlink xmlns:r="http://schemas.openxmlformats.org/officeDocument/2006/relationships" ref="J83" r:id="rId445"/>
    <hyperlink xmlns:r="http://schemas.openxmlformats.org/officeDocument/2006/relationships" ref="K83" r:id="rId446"/>
    <hyperlink xmlns:r="http://schemas.openxmlformats.org/officeDocument/2006/relationships" ref="L83" r:id="rId447"/>
    <hyperlink xmlns:r="http://schemas.openxmlformats.org/officeDocument/2006/relationships" ref="F84" r:id="rId448"/>
    <hyperlink xmlns:r="http://schemas.openxmlformats.org/officeDocument/2006/relationships" ref="G84" r:id="rId449"/>
    <hyperlink xmlns:r="http://schemas.openxmlformats.org/officeDocument/2006/relationships" ref="H84" r:id="rId450"/>
    <hyperlink xmlns:r="http://schemas.openxmlformats.org/officeDocument/2006/relationships" ref="J84" r:id="rId451"/>
    <hyperlink xmlns:r="http://schemas.openxmlformats.org/officeDocument/2006/relationships" ref="K84" r:id="rId452"/>
    <hyperlink xmlns:r="http://schemas.openxmlformats.org/officeDocument/2006/relationships" ref="L84" r:id="rId453"/>
    <hyperlink xmlns:r="http://schemas.openxmlformats.org/officeDocument/2006/relationships" ref="F85" r:id="rId454"/>
    <hyperlink xmlns:r="http://schemas.openxmlformats.org/officeDocument/2006/relationships" ref="G85" r:id="rId455"/>
    <hyperlink xmlns:r="http://schemas.openxmlformats.org/officeDocument/2006/relationships" ref="H85" r:id="rId456"/>
    <hyperlink xmlns:r="http://schemas.openxmlformats.org/officeDocument/2006/relationships" ref="J85" r:id="rId457"/>
    <hyperlink xmlns:r="http://schemas.openxmlformats.org/officeDocument/2006/relationships" ref="K85" r:id="rId458"/>
    <hyperlink xmlns:r="http://schemas.openxmlformats.org/officeDocument/2006/relationships" ref="L85" r:id="rId459"/>
    <hyperlink xmlns:r="http://schemas.openxmlformats.org/officeDocument/2006/relationships" ref="F86" r:id="rId460"/>
    <hyperlink xmlns:r="http://schemas.openxmlformats.org/officeDocument/2006/relationships" ref="G86" r:id="rId461"/>
    <hyperlink xmlns:r="http://schemas.openxmlformats.org/officeDocument/2006/relationships" ref="H86" r:id="rId462"/>
    <hyperlink xmlns:r="http://schemas.openxmlformats.org/officeDocument/2006/relationships" ref="J86" r:id="rId463"/>
    <hyperlink xmlns:r="http://schemas.openxmlformats.org/officeDocument/2006/relationships" ref="K86" r:id="rId464"/>
    <hyperlink xmlns:r="http://schemas.openxmlformats.org/officeDocument/2006/relationships" ref="L86" r:id="rId465"/>
    <hyperlink xmlns:r="http://schemas.openxmlformats.org/officeDocument/2006/relationships" ref="F87" r:id="rId466"/>
    <hyperlink xmlns:r="http://schemas.openxmlformats.org/officeDocument/2006/relationships" ref="G87" r:id="rId467"/>
    <hyperlink xmlns:r="http://schemas.openxmlformats.org/officeDocument/2006/relationships" ref="H87" r:id="rId468"/>
    <hyperlink xmlns:r="http://schemas.openxmlformats.org/officeDocument/2006/relationships" ref="J87" r:id="rId469"/>
    <hyperlink xmlns:r="http://schemas.openxmlformats.org/officeDocument/2006/relationships" ref="K87" r:id="rId470"/>
    <hyperlink xmlns:r="http://schemas.openxmlformats.org/officeDocument/2006/relationships" ref="L87" r:id="rId471"/>
    <hyperlink xmlns:r="http://schemas.openxmlformats.org/officeDocument/2006/relationships" ref="F88" r:id="rId472"/>
    <hyperlink xmlns:r="http://schemas.openxmlformats.org/officeDocument/2006/relationships" ref="G88" r:id="rId473"/>
    <hyperlink xmlns:r="http://schemas.openxmlformats.org/officeDocument/2006/relationships" ref="H88" r:id="rId474"/>
    <hyperlink xmlns:r="http://schemas.openxmlformats.org/officeDocument/2006/relationships" ref="F89" r:id="rId475"/>
    <hyperlink xmlns:r="http://schemas.openxmlformats.org/officeDocument/2006/relationships" ref="G89" r:id="rId476"/>
    <hyperlink xmlns:r="http://schemas.openxmlformats.org/officeDocument/2006/relationships" ref="H89" r:id="rId477"/>
    <hyperlink xmlns:r="http://schemas.openxmlformats.org/officeDocument/2006/relationships" ref="F90" r:id="rId478"/>
    <hyperlink xmlns:r="http://schemas.openxmlformats.org/officeDocument/2006/relationships" ref="G90" r:id="rId479"/>
    <hyperlink xmlns:r="http://schemas.openxmlformats.org/officeDocument/2006/relationships" ref="H90" r:id="rId480"/>
    <hyperlink xmlns:r="http://schemas.openxmlformats.org/officeDocument/2006/relationships" ref="J90" r:id="rId481"/>
    <hyperlink xmlns:r="http://schemas.openxmlformats.org/officeDocument/2006/relationships" ref="K90" r:id="rId482"/>
    <hyperlink xmlns:r="http://schemas.openxmlformats.org/officeDocument/2006/relationships" ref="L90" r:id="rId483"/>
    <hyperlink xmlns:r="http://schemas.openxmlformats.org/officeDocument/2006/relationships" ref="F91" r:id="rId484"/>
    <hyperlink xmlns:r="http://schemas.openxmlformats.org/officeDocument/2006/relationships" ref="G91" r:id="rId485"/>
    <hyperlink xmlns:r="http://schemas.openxmlformats.org/officeDocument/2006/relationships" ref="H91" r:id="rId486"/>
    <hyperlink xmlns:r="http://schemas.openxmlformats.org/officeDocument/2006/relationships" ref="J91" r:id="rId487"/>
    <hyperlink xmlns:r="http://schemas.openxmlformats.org/officeDocument/2006/relationships" ref="K91" r:id="rId488"/>
    <hyperlink xmlns:r="http://schemas.openxmlformats.org/officeDocument/2006/relationships" ref="L91" r:id="rId489"/>
    <hyperlink xmlns:r="http://schemas.openxmlformats.org/officeDocument/2006/relationships" ref="F92" r:id="rId490"/>
    <hyperlink xmlns:r="http://schemas.openxmlformats.org/officeDocument/2006/relationships" ref="G92" r:id="rId491"/>
    <hyperlink xmlns:r="http://schemas.openxmlformats.org/officeDocument/2006/relationships" ref="H92" r:id="rId492"/>
    <hyperlink xmlns:r="http://schemas.openxmlformats.org/officeDocument/2006/relationships" ref="J92" r:id="rId493"/>
    <hyperlink xmlns:r="http://schemas.openxmlformats.org/officeDocument/2006/relationships" ref="K92" r:id="rId494"/>
    <hyperlink xmlns:r="http://schemas.openxmlformats.org/officeDocument/2006/relationships" ref="L92" r:id="rId495"/>
    <hyperlink xmlns:r="http://schemas.openxmlformats.org/officeDocument/2006/relationships" ref="F93" r:id="rId496"/>
    <hyperlink xmlns:r="http://schemas.openxmlformats.org/officeDocument/2006/relationships" ref="G93" r:id="rId497"/>
    <hyperlink xmlns:r="http://schemas.openxmlformats.org/officeDocument/2006/relationships" ref="H93" r:id="rId498"/>
    <hyperlink xmlns:r="http://schemas.openxmlformats.org/officeDocument/2006/relationships" ref="J93" r:id="rId499"/>
    <hyperlink xmlns:r="http://schemas.openxmlformats.org/officeDocument/2006/relationships" ref="K93" r:id="rId500"/>
    <hyperlink xmlns:r="http://schemas.openxmlformats.org/officeDocument/2006/relationships" ref="L93" r:id="rId501"/>
    <hyperlink xmlns:r="http://schemas.openxmlformats.org/officeDocument/2006/relationships" ref="F94" r:id="rId502"/>
    <hyperlink xmlns:r="http://schemas.openxmlformats.org/officeDocument/2006/relationships" ref="G94" r:id="rId503"/>
    <hyperlink xmlns:r="http://schemas.openxmlformats.org/officeDocument/2006/relationships" ref="H94" r:id="rId504"/>
    <hyperlink xmlns:r="http://schemas.openxmlformats.org/officeDocument/2006/relationships" ref="J94" r:id="rId505"/>
    <hyperlink xmlns:r="http://schemas.openxmlformats.org/officeDocument/2006/relationships" ref="K94" r:id="rId506"/>
    <hyperlink xmlns:r="http://schemas.openxmlformats.org/officeDocument/2006/relationships" ref="L94" r:id="rId507"/>
    <hyperlink xmlns:r="http://schemas.openxmlformats.org/officeDocument/2006/relationships" ref="F95" r:id="rId508"/>
    <hyperlink xmlns:r="http://schemas.openxmlformats.org/officeDocument/2006/relationships" ref="G95" r:id="rId509"/>
    <hyperlink xmlns:r="http://schemas.openxmlformats.org/officeDocument/2006/relationships" ref="H95" r:id="rId510"/>
    <hyperlink xmlns:r="http://schemas.openxmlformats.org/officeDocument/2006/relationships" ref="J95" r:id="rId511"/>
    <hyperlink xmlns:r="http://schemas.openxmlformats.org/officeDocument/2006/relationships" ref="K95" r:id="rId512"/>
    <hyperlink xmlns:r="http://schemas.openxmlformats.org/officeDocument/2006/relationships" ref="L95" r:id="rId513"/>
    <hyperlink xmlns:r="http://schemas.openxmlformats.org/officeDocument/2006/relationships" ref="F96" r:id="rId514"/>
    <hyperlink xmlns:r="http://schemas.openxmlformats.org/officeDocument/2006/relationships" ref="G96" r:id="rId515"/>
    <hyperlink xmlns:r="http://schemas.openxmlformats.org/officeDocument/2006/relationships" ref="H96" r:id="rId516"/>
    <hyperlink xmlns:r="http://schemas.openxmlformats.org/officeDocument/2006/relationships" ref="J96" r:id="rId517"/>
    <hyperlink xmlns:r="http://schemas.openxmlformats.org/officeDocument/2006/relationships" ref="K96" r:id="rId518"/>
    <hyperlink xmlns:r="http://schemas.openxmlformats.org/officeDocument/2006/relationships" ref="L96" r:id="rId519"/>
    <hyperlink xmlns:r="http://schemas.openxmlformats.org/officeDocument/2006/relationships" ref="F97" r:id="rId520"/>
    <hyperlink xmlns:r="http://schemas.openxmlformats.org/officeDocument/2006/relationships" ref="G97" r:id="rId521"/>
    <hyperlink xmlns:r="http://schemas.openxmlformats.org/officeDocument/2006/relationships" ref="H97" r:id="rId522"/>
    <hyperlink xmlns:r="http://schemas.openxmlformats.org/officeDocument/2006/relationships" ref="J97" r:id="rId523"/>
    <hyperlink xmlns:r="http://schemas.openxmlformats.org/officeDocument/2006/relationships" ref="K97" r:id="rId524"/>
    <hyperlink xmlns:r="http://schemas.openxmlformats.org/officeDocument/2006/relationships" ref="L97" r:id="rId525"/>
    <hyperlink xmlns:r="http://schemas.openxmlformats.org/officeDocument/2006/relationships" ref="F98" r:id="rId526"/>
    <hyperlink xmlns:r="http://schemas.openxmlformats.org/officeDocument/2006/relationships" ref="G98" r:id="rId527"/>
    <hyperlink xmlns:r="http://schemas.openxmlformats.org/officeDocument/2006/relationships" ref="H98" r:id="rId528"/>
    <hyperlink xmlns:r="http://schemas.openxmlformats.org/officeDocument/2006/relationships" ref="J98" r:id="rId529"/>
    <hyperlink xmlns:r="http://schemas.openxmlformats.org/officeDocument/2006/relationships" ref="K98" r:id="rId530"/>
    <hyperlink xmlns:r="http://schemas.openxmlformats.org/officeDocument/2006/relationships" ref="L98" r:id="rId531"/>
    <hyperlink xmlns:r="http://schemas.openxmlformats.org/officeDocument/2006/relationships" ref="F99" r:id="rId532"/>
    <hyperlink xmlns:r="http://schemas.openxmlformats.org/officeDocument/2006/relationships" ref="G99" r:id="rId533"/>
    <hyperlink xmlns:r="http://schemas.openxmlformats.org/officeDocument/2006/relationships" ref="H99" r:id="rId534"/>
    <hyperlink xmlns:r="http://schemas.openxmlformats.org/officeDocument/2006/relationships" ref="J99" r:id="rId535"/>
    <hyperlink xmlns:r="http://schemas.openxmlformats.org/officeDocument/2006/relationships" ref="K99" r:id="rId536"/>
    <hyperlink xmlns:r="http://schemas.openxmlformats.org/officeDocument/2006/relationships" ref="L99" r:id="rId537"/>
    <hyperlink xmlns:r="http://schemas.openxmlformats.org/officeDocument/2006/relationships" ref="F100" r:id="rId538"/>
    <hyperlink xmlns:r="http://schemas.openxmlformats.org/officeDocument/2006/relationships" ref="G100" r:id="rId539"/>
    <hyperlink xmlns:r="http://schemas.openxmlformats.org/officeDocument/2006/relationships" ref="H100" r:id="rId540"/>
    <hyperlink xmlns:r="http://schemas.openxmlformats.org/officeDocument/2006/relationships" ref="J100" r:id="rId541"/>
    <hyperlink xmlns:r="http://schemas.openxmlformats.org/officeDocument/2006/relationships" ref="K100" r:id="rId542"/>
    <hyperlink xmlns:r="http://schemas.openxmlformats.org/officeDocument/2006/relationships" ref="L100" r:id="rId543"/>
    <hyperlink xmlns:r="http://schemas.openxmlformats.org/officeDocument/2006/relationships" ref="F101" r:id="rId544"/>
    <hyperlink xmlns:r="http://schemas.openxmlformats.org/officeDocument/2006/relationships" ref="G101" r:id="rId545"/>
    <hyperlink xmlns:r="http://schemas.openxmlformats.org/officeDocument/2006/relationships" ref="H101" r:id="rId546"/>
    <hyperlink xmlns:r="http://schemas.openxmlformats.org/officeDocument/2006/relationships" ref="J101" r:id="rId547"/>
    <hyperlink xmlns:r="http://schemas.openxmlformats.org/officeDocument/2006/relationships" ref="K101" r:id="rId548"/>
    <hyperlink xmlns:r="http://schemas.openxmlformats.org/officeDocument/2006/relationships" ref="L101" r:id="rId549"/>
    <hyperlink xmlns:r="http://schemas.openxmlformats.org/officeDocument/2006/relationships" ref="F102" r:id="rId550"/>
    <hyperlink xmlns:r="http://schemas.openxmlformats.org/officeDocument/2006/relationships" ref="G102" r:id="rId551"/>
    <hyperlink xmlns:r="http://schemas.openxmlformats.org/officeDocument/2006/relationships" ref="H102" r:id="rId552"/>
    <hyperlink xmlns:r="http://schemas.openxmlformats.org/officeDocument/2006/relationships" ref="J102" r:id="rId553"/>
    <hyperlink xmlns:r="http://schemas.openxmlformats.org/officeDocument/2006/relationships" ref="K102" r:id="rId554"/>
    <hyperlink xmlns:r="http://schemas.openxmlformats.org/officeDocument/2006/relationships" ref="L102" r:id="rId555"/>
    <hyperlink xmlns:r="http://schemas.openxmlformats.org/officeDocument/2006/relationships" ref="F103" r:id="rId556"/>
    <hyperlink xmlns:r="http://schemas.openxmlformats.org/officeDocument/2006/relationships" ref="G103" r:id="rId557"/>
    <hyperlink xmlns:r="http://schemas.openxmlformats.org/officeDocument/2006/relationships" ref="H103" r:id="rId558"/>
    <hyperlink xmlns:r="http://schemas.openxmlformats.org/officeDocument/2006/relationships" ref="J103" r:id="rId559"/>
    <hyperlink xmlns:r="http://schemas.openxmlformats.org/officeDocument/2006/relationships" ref="K103" r:id="rId560"/>
    <hyperlink xmlns:r="http://schemas.openxmlformats.org/officeDocument/2006/relationships" ref="L103" r:id="rId561"/>
    <hyperlink xmlns:r="http://schemas.openxmlformats.org/officeDocument/2006/relationships" ref="F105" r:id="rId562"/>
    <hyperlink xmlns:r="http://schemas.openxmlformats.org/officeDocument/2006/relationships" ref="G105" r:id="rId563"/>
    <hyperlink xmlns:r="http://schemas.openxmlformats.org/officeDocument/2006/relationships" ref="H105" r:id="rId564"/>
    <hyperlink xmlns:r="http://schemas.openxmlformats.org/officeDocument/2006/relationships" ref="J105" r:id="rId565"/>
    <hyperlink xmlns:r="http://schemas.openxmlformats.org/officeDocument/2006/relationships" ref="K105" r:id="rId566"/>
    <hyperlink xmlns:r="http://schemas.openxmlformats.org/officeDocument/2006/relationships" ref="L105" r:id="rId567"/>
    <hyperlink xmlns:r="http://schemas.openxmlformats.org/officeDocument/2006/relationships" ref="F106" r:id="rId568"/>
    <hyperlink xmlns:r="http://schemas.openxmlformats.org/officeDocument/2006/relationships" ref="G106" r:id="rId569"/>
    <hyperlink xmlns:r="http://schemas.openxmlformats.org/officeDocument/2006/relationships" ref="H106" r:id="rId570"/>
    <hyperlink xmlns:r="http://schemas.openxmlformats.org/officeDocument/2006/relationships" ref="J106" r:id="rId571"/>
    <hyperlink xmlns:r="http://schemas.openxmlformats.org/officeDocument/2006/relationships" ref="K106" r:id="rId572"/>
    <hyperlink xmlns:r="http://schemas.openxmlformats.org/officeDocument/2006/relationships" ref="L106" r:id="rId573"/>
    <hyperlink xmlns:r="http://schemas.openxmlformats.org/officeDocument/2006/relationships" ref="F107" r:id="rId574"/>
    <hyperlink xmlns:r="http://schemas.openxmlformats.org/officeDocument/2006/relationships" ref="G107" r:id="rId575"/>
    <hyperlink xmlns:r="http://schemas.openxmlformats.org/officeDocument/2006/relationships" ref="H107" r:id="rId576"/>
    <hyperlink xmlns:r="http://schemas.openxmlformats.org/officeDocument/2006/relationships" ref="J107" r:id="rId577"/>
    <hyperlink xmlns:r="http://schemas.openxmlformats.org/officeDocument/2006/relationships" ref="K107" r:id="rId578"/>
    <hyperlink xmlns:r="http://schemas.openxmlformats.org/officeDocument/2006/relationships" ref="L107" r:id="rId579"/>
    <hyperlink xmlns:r="http://schemas.openxmlformats.org/officeDocument/2006/relationships" ref="F108" r:id="rId580"/>
    <hyperlink xmlns:r="http://schemas.openxmlformats.org/officeDocument/2006/relationships" ref="G108" r:id="rId581"/>
    <hyperlink xmlns:r="http://schemas.openxmlformats.org/officeDocument/2006/relationships" ref="H108" r:id="rId582"/>
    <hyperlink xmlns:r="http://schemas.openxmlformats.org/officeDocument/2006/relationships" ref="J108" r:id="rId583"/>
    <hyperlink xmlns:r="http://schemas.openxmlformats.org/officeDocument/2006/relationships" ref="K108" r:id="rId584"/>
    <hyperlink xmlns:r="http://schemas.openxmlformats.org/officeDocument/2006/relationships" ref="L108" r:id="rId585"/>
    <hyperlink xmlns:r="http://schemas.openxmlformats.org/officeDocument/2006/relationships" ref="F109" r:id="rId586"/>
    <hyperlink xmlns:r="http://schemas.openxmlformats.org/officeDocument/2006/relationships" ref="G109" r:id="rId587"/>
    <hyperlink xmlns:r="http://schemas.openxmlformats.org/officeDocument/2006/relationships" ref="H109" r:id="rId588"/>
    <hyperlink xmlns:r="http://schemas.openxmlformats.org/officeDocument/2006/relationships" ref="J109" r:id="rId589"/>
    <hyperlink xmlns:r="http://schemas.openxmlformats.org/officeDocument/2006/relationships" ref="K109" r:id="rId590"/>
    <hyperlink xmlns:r="http://schemas.openxmlformats.org/officeDocument/2006/relationships" ref="L109" r:id="rId591"/>
    <hyperlink xmlns:r="http://schemas.openxmlformats.org/officeDocument/2006/relationships" ref="F110" r:id="rId592"/>
    <hyperlink xmlns:r="http://schemas.openxmlformats.org/officeDocument/2006/relationships" ref="G110" r:id="rId593"/>
    <hyperlink xmlns:r="http://schemas.openxmlformats.org/officeDocument/2006/relationships" ref="H110" r:id="rId594"/>
    <hyperlink xmlns:r="http://schemas.openxmlformats.org/officeDocument/2006/relationships" ref="J110" r:id="rId595"/>
    <hyperlink xmlns:r="http://schemas.openxmlformats.org/officeDocument/2006/relationships" ref="K110" r:id="rId596"/>
    <hyperlink xmlns:r="http://schemas.openxmlformats.org/officeDocument/2006/relationships" ref="L110" r:id="rId597"/>
    <hyperlink xmlns:r="http://schemas.openxmlformats.org/officeDocument/2006/relationships" ref="F111" r:id="rId598"/>
    <hyperlink xmlns:r="http://schemas.openxmlformats.org/officeDocument/2006/relationships" ref="G111" r:id="rId599"/>
    <hyperlink xmlns:r="http://schemas.openxmlformats.org/officeDocument/2006/relationships" ref="H111" r:id="rId600"/>
    <hyperlink xmlns:r="http://schemas.openxmlformats.org/officeDocument/2006/relationships" ref="J111" r:id="rId601"/>
    <hyperlink xmlns:r="http://schemas.openxmlformats.org/officeDocument/2006/relationships" ref="K111" r:id="rId602"/>
    <hyperlink xmlns:r="http://schemas.openxmlformats.org/officeDocument/2006/relationships" ref="L111" r:id="rId603"/>
    <hyperlink xmlns:r="http://schemas.openxmlformats.org/officeDocument/2006/relationships" ref="F112" r:id="rId604"/>
    <hyperlink xmlns:r="http://schemas.openxmlformats.org/officeDocument/2006/relationships" ref="G112" r:id="rId605"/>
    <hyperlink xmlns:r="http://schemas.openxmlformats.org/officeDocument/2006/relationships" ref="H112" r:id="rId606"/>
    <hyperlink xmlns:r="http://schemas.openxmlformats.org/officeDocument/2006/relationships" ref="J112" r:id="rId607"/>
    <hyperlink xmlns:r="http://schemas.openxmlformats.org/officeDocument/2006/relationships" ref="K112" r:id="rId608"/>
    <hyperlink xmlns:r="http://schemas.openxmlformats.org/officeDocument/2006/relationships" ref="L112" r:id="rId609"/>
    <hyperlink xmlns:r="http://schemas.openxmlformats.org/officeDocument/2006/relationships" ref="F114" r:id="rId610"/>
    <hyperlink xmlns:r="http://schemas.openxmlformats.org/officeDocument/2006/relationships" ref="G114" r:id="rId611"/>
    <hyperlink xmlns:r="http://schemas.openxmlformats.org/officeDocument/2006/relationships" ref="H114" r:id="rId612"/>
    <hyperlink xmlns:r="http://schemas.openxmlformats.org/officeDocument/2006/relationships" ref="J114" r:id="rId613"/>
    <hyperlink xmlns:r="http://schemas.openxmlformats.org/officeDocument/2006/relationships" ref="K114" r:id="rId614"/>
    <hyperlink xmlns:r="http://schemas.openxmlformats.org/officeDocument/2006/relationships" ref="L114" r:id="rId615"/>
    <hyperlink xmlns:r="http://schemas.openxmlformats.org/officeDocument/2006/relationships" ref="F115" r:id="rId616"/>
    <hyperlink xmlns:r="http://schemas.openxmlformats.org/officeDocument/2006/relationships" ref="G115" r:id="rId617"/>
    <hyperlink xmlns:r="http://schemas.openxmlformats.org/officeDocument/2006/relationships" ref="H115" r:id="rId618"/>
    <hyperlink xmlns:r="http://schemas.openxmlformats.org/officeDocument/2006/relationships" ref="J115" r:id="rId619"/>
    <hyperlink xmlns:r="http://schemas.openxmlformats.org/officeDocument/2006/relationships" ref="K115" r:id="rId620"/>
    <hyperlink xmlns:r="http://schemas.openxmlformats.org/officeDocument/2006/relationships" ref="L115" r:id="rId621"/>
    <hyperlink xmlns:r="http://schemas.openxmlformats.org/officeDocument/2006/relationships" ref="F116" r:id="rId622"/>
    <hyperlink xmlns:r="http://schemas.openxmlformats.org/officeDocument/2006/relationships" ref="G116" r:id="rId623"/>
    <hyperlink xmlns:r="http://schemas.openxmlformats.org/officeDocument/2006/relationships" ref="H116" r:id="rId624"/>
    <hyperlink xmlns:r="http://schemas.openxmlformats.org/officeDocument/2006/relationships" ref="J116" r:id="rId625"/>
    <hyperlink xmlns:r="http://schemas.openxmlformats.org/officeDocument/2006/relationships" ref="K116" r:id="rId626"/>
    <hyperlink xmlns:r="http://schemas.openxmlformats.org/officeDocument/2006/relationships" ref="L116" r:id="rId627"/>
    <hyperlink xmlns:r="http://schemas.openxmlformats.org/officeDocument/2006/relationships" ref="F117" r:id="rId628"/>
    <hyperlink xmlns:r="http://schemas.openxmlformats.org/officeDocument/2006/relationships" ref="G117" r:id="rId629"/>
    <hyperlink xmlns:r="http://schemas.openxmlformats.org/officeDocument/2006/relationships" ref="H117" r:id="rId630"/>
    <hyperlink xmlns:r="http://schemas.openxmlformats.org/officeDocument/2006/relationships" ref="F118" r:id="rId631"/>
    <hyperlink xmlns:r="http://schemas.openxmlformats.org/officeDocument/2006/relationships" ref="G118" r:id="rId632"/>
    <hyperlink xmlns:r="http://schemas.openxmlformats.org/officeDocument/2006/relationships" ref="H118" r:id="rId633"/>
    <hyperlink xmlns:r="http://schemas.openxmlformats.org/officeDocument/2006/relationships" ref="J118" r:id="rId634"/>
    <hyperlink xmlns:r="http://schemas.openxmlformats.org/officeDocument/2006/relationships" ref="K118" r:id="rId635"/>
    <hyperlink xmlns:r="http://schemas.openxmlformats.org/officeDocument/2006/relationships" ref="L118" r:id="rId636"/>
    <hyperlink xmlns:r="http://schemas.openxmlformats.org/officeDocument/2006/relationships" ref="F119" r:id="rId637"/>
    <hyperlink xmlns:r="http://schemas.openxmlformats.org/officeDocument/2006/relationships" ref="G119" r:id="rId638"/>
    <hyperlink xmlns:r="http://schemas.openxmlformats.org/officeDocument/2006/relationships" ref="H119" r:id="rId639"/>
    <hyperlink xmlns:r="http://schemas.openxmlformats.org/officeDocument/2006/relationships" ref="J119" r:id="rId640"/>
    <hyperlink xmlns:r="http://schemas.openxmlformats.org/officeDocument/2006/relationships" ref="K119" r:id="rId641"/>
    <hyperlink xmlns:r="http://schemas.openxmlformats.org/officeDocument/2006/relationships" ref="L119" r:id="rId642"/>
    <hyperlink xmlns:r="http://schemas.openxmlformats.org/officeDocument/2006/relationships" ref="F120" r:id="rId643"/>
    <hyperlink xmlns:r="http://schemas.openxmlformats.org/officeDocument/2006/relationships" ref="G120" r:id="rId644"/>
    <hyperlink xmlns:r="http://schemas.openxmlformats.org/officeDocument/2006/relationships" ref="H120" r:id="rId645"/>
    <hyperlink xmlns:r="http://schemas.openxmlformats.org/officeDocument/2006/relationships" ref="J120" r:id="rId646"/>
    <hyperlink xmlns:r="http://schemas.openxmlformats.org/officeDocument/2006/relationships" ref="K120" r:id="rId647"/>
    <hyperlink xmlns:r="http://schemas.openxmlformats.org/officeDocument/2006/relationships" ref="L120" r:id="rId648"/>
    <hyperlink xmlns:r="http://schemas.openxmlformats.org/officeDocument/2006/relationships" ref="F121" r:id="rId649"/>
    <hyperlink xmlns:r="http://schemas.openxmlformats.org/officeDocument/2006/relationships" ref="G121" r:id="rId650"/>
    <hyperlink xmlns:r="http://schemas.openxmlformats.org/officeDocument/2006/relationships" ref="H121" r:id="rId651"/>
    <hyperlink xmlns:r="http://schemas.openxmlformats.org/officeDocument/2006/relationships" ref="J121" r:id="rId652"/>
    <hyperlink xmlns:r="http://schemas.openxmlformats.org/officeDocument/2006/relationships" ref="K121" r:id="rId653"/>
    <hyperlink xmlns:r="http://schemas.openxmlformats.org/officeDocument/2006/relationships" ref="L121" r:id="rId654"/>
    <hyperlink xmlns:r="http://schemas.openxmlformats.org/officeDocument/2006/relationships" ref="F122" r:id="rId655"/>
    <hyperlink xmlns:r="http://schemas.openxmlformats.org/officeDocument/2006/relationships" ref="G122" r:id="rId656"/>
    <hyperlink xmlns:r="http://schemas.openxmlformats.org/officeDocument/2006/relationships" ref="H122" r:id="rId657"/>
    <hyperlink xmlns:r="http://schemas.openxmlformats.org/officeDocument/2006/relationships" ref="J122" r:id="rId658"/>
    <hyperlink xmlns:r="http://schemas.openxmlformats.org/officeDocument/2006/relationships" ref="K122" r:id="rId659"/>
    <hyperlink xmlns:r="http://schemas.openxmlformats.org/officeDocument/2006/relationships" ref="L122" r:id="rId660"/>
    <hyperlink xmlns:r="http://schemas.openxmlformats.org/officeDocument/2006/relationships" ref="F123" r:id="rId661"/>
    <hyperlink xmlns:r="http://schemas.openxmlformats.org/officeDocument/2006/relationships" ref="G123" r:id="rId662"/>
    <hyperlink xmlns:r="http://schemas.openxmlformats.org/officeDocument/2006/relationships" ref="H123" r:id="rId663"/>
    <hyperlink xmlns:r="http://schemas.openxmlformats.org/officeDocument/2006/relationships" ref="J123" r:id="rId664"/>
    <hyperlink xmlns:r="http://schemas.openxmlformats.org/officeDocument/2006/relationships" ref="K123" r:id="rId665"/>
    <hyperlink xmlns:r="http://schemas.openxmlformats.org/officeDocument/2006/relationships" ref="L123" r:id="rId666"/>
    <hyperlink xmlns:r="http://schemas.openxmlformats.org/officeDocument/2006/relationships" ref="F124" r:id="rId667"/>
    <hyperlink xmlns:r="http://schemas.openxmlformats.org/officeDocument/2006/relationships" ref="G124" r:id="rId668"/>
    <hyperlink xmlns:r="http://schemas.openxmlformats.org/officeDocument/2006/relationships" ref="H124" r:id="rId669"/>
    <hyperlink xmlns:r="http://schemas.openxmlformats.org/officeDocument/2006/relationships" ref="J124" r:id="rId670"/>
    <hyperlink xmlns:r="http://schemas.openxmlformats.org/officeDocument/2006/relationships" ref="K124" r:id="rId671"/>
    <hyperlink xmlns:r="http://schemas.openxmlformats.org/officeDocument/2006/relationships" ref="L124" r:id="rId672"/>
    <hyperlink xmlns:r="http://schemas.openxmlformats.org/officeDocument/2006/relationships" ref="F125" r:id="rId673"/>
    <hyperlink xmlns:r="http://schemas.openxmlformats.org/officeDocument/2006/relationships" ref="G125" r:id="rId674"/>
    <hyperlink xmlns:r="http://schemas.openxmlformats.org/officeDocument/2006/relationships" ref="H125" r:id="rId675"/>
    <hyperlink xmlns:r="http://schemas.openxmlformats.org/officeDocument/2006/relationships" ref="J125" r:id="rId676"/>
    <hyperlink xmlns:r="http://schemas.openxmlformats.org/officeDocument/2006/relationships" ref="K125" r:id="rId677"/>
    <hyperlink xmlns:r="http://schemas.openxmlformats.org/officeDocument/2006/relationships" ref="L125" r:id="rId678"/>
    <hyperlink xmlns:r="http://schemas.openxmlformats.org/officeDocument/2006/relationships" ref="F126" r:id="rId679"/>
    <hyperlink xmlns:r="http://schemas.openxmlformats.org/officeDocument/2006/relationships" ref="G126" r:id="rId680"/>
    <hyperlink xmlns:r="http://schemas.openxmlformats.org/officeDocument/2006/relationships" ref="H126" r:id="rId681"/>
    <hyperlink xmlns:r="http://schemas.openxmlformats.org/officeDocument/2006/relationships" ref="J126" r:id="rId682"/>
    <hyperlink xmlns:r="http://schemas.openxmlformats.org/officeDocument/2006/relationships" ref="K126" r:id="rId683"/>
    <hyperlink xmlns:r="http://schemas.openxmlformats.org/officeDocument/2006/relationships" ref="L126" r:id="rId684"/>
    <hyperlink xmlns:r="http://schemas.openxmlformats.org/officeDocument/2006/relationships" ref="F127" r:id="rId685"/>
    <hyperlink xmlns:r="http://schemas.openxmlformats.org/officeDocument/2006/relationships" ref="G127" r:id="rId686"/>
    <hyperlink xmlns:r="http://schemas.openxmlformats.org/officeDocument/2006/relationships" ref="H127" r:id="rId687"/>
    <hyperlink xmlns:r="http://schemas.openxmlformats.org/officeDocument/2006/relationships" ref="J127" r:id="rId688"/>
    <hyperlink xmlns:r="http://schemas.openxmlformats.org/officeDocument/2006/relationships" ref="K127" r:id="rId689"/>
    <hyperlink xmlns:r="http://schemas.openxmlformats.org/officeDocument/2006/relationships" ref="L127" r:id="rId690"/>
    <hyperlink xmlns:r="http://schemas.openxmlformats.org/officeDocument/2006/relationships" ref="F128" r:id="rId691"/>
    <hyperlink xmlns:r="http://schemas.openxmlformats.org/officeDocument/2006/relationships" ref="G128" r:id="rId692"/>
    <hyperlink xmlns:r="http://schemas.openxmlformats.org/officeDocument/2006/relationships" ref="H128" r:id="rId693"/>
    <hyperlink xmlns:r="http://schemas.openxmlformats.org/officeDocument/2006/relationships" ref="J128" r:id="rId694"/>
    <hyperlink xmlns:r="http://schemas.openxmlformats.org/officeDocument/2006/relationships" ref="K128" r:id="rId695"/>
    <hyperlink xmlns:r="http://schemas.openxmlformats.org/officeDocument/2006/relationships" ref="L128" r:id="rId696"/>
    <hyperlink xmlns:r="http://schemas.openxmlformats.org/officeDocument/2006/relationships" ref="F129" r:id="rId697"/>
    <hyperlink xmlns:r="http://schemas.openxmlformats.org/officeDocument/2006/relationships" ref="G129" r:id="rId698"/>
    <hyperlink xmlns:r="http://schemas.openxmlformats.org/officeDocument/2006/relationships" ref="H129" r:id="rId699"/>
    <hyperlink xmlns:r="http://schemas.openxmlformats.org/officeDocument/2006/relationships" ref="J129" r:id="rId700"/>
    <hyperlink xmlns:r="http://schemas.openxmlformats.org/officeDocument/2006/relationships" ref="K129" r:id="rId701"/>
    <hyperlink xmlns:r="http://schemas.openxmlformats.org/officeDocument/2006/relationships" ref="L129" r:id="rId702"/>
    <hyperlink xmlns:r="http://schemas.openxmlformats.org/officeDocument/2006/relationships" ref="F130" r:id="rId703"/>
    <hyperlink xmlns:r="http://schemas.openxmlformats.org/officeDocument/2006/relationships" ref="G130" r:id="rId704"/>
    <hyperlink xmlns:r="http://schemas.openxmlformats.org/officeDocument/2006/relationships" ref="H130" r:id="rId705"/>
    <hyperlink xmlns:r="http://schemas.openxmlformats.org/officeDocument/2006/relationships" ref="J130" r:id="rId706"/>
    <hyperlink xmlns:r="http://schemas.openxmlformats.org/officeDocument/2006/relationships" ref="K130" r:id="rId707"/>
    <hyperlink xmlns:r="http://schemas.openxmlformats.org/officeDocument/2006/relationships" ref="L130" r:id="rId708"/>
    <hyperlink xmlns:r="http://schemas.openxmlformats.org/officeDocument/2006/relationships" ref="F131" r:id="rId709"/>
    <hyperlink xmlns:r="http://schemas.openxmlformats.org/officeDocument/2006/relationships" ref="G131" r:id="rId710"/>
    <hyperlink xmlns:r="http://schemas.openxmlformats.org/officeDocument/2006/relationships" ref="H131" r:id="rId711"/>
    <hyperlink xmlns:r="http://schemas.openxmlformats.org/officeDocument/2006/relationships" ref="J131" r:id="rId712"/>
    <hyperlink xmlns:r="http://schemas.openxmlformats.org/officeDocument/2006/relationships" ref="K131" r:id="rId713"/>
    <hyperlink xmlns:r="http://schemas.openxmlformats.org/officeDocument/2006/relationships" ref="L131" r:id="rId714"/>
    <hyperlink xmlns:r="http://schemas.openxmlformats.org/officeDocument/2006/relationships" ref="F132" r:id="rId715"/>
    <hyperlink xmlns:r="http://schemas.openxmlformats.org/officeDocument/2006/relationships" ref="G132" r:id="rId716"/>
    <hyperlink xmlns:r="http://schemas.openxmlformats.org/officeDocument/2006/relationships" ref="H132" r:id="rId717"/>
    <hyperlink xmlns:r="http://schemas.openxmlformats.org/officeDocument/2006/relationships" ref="J132" r:id="rId718"/>
    <hyperlink xmlns:r="http://schemas.openxmlformats.org/officeDocument/2006/relationships" ref="K132" r:id="rId719"/>
    <hyperlink xmlns:r="http://schemas.openxmlformats.org/officeDocument/2006/relationships" ref="L132" r:id="rId720"/>
    <hyperlink xmlns:r="http://schemas.openxmlformats.org/officeDocument/2006/relationships" ref="F133" r:id="rId721"/>
    <hyperlink xmlns:r="http://schemas.openxmlformats.org/officeDocument/2006/relationships" ref="G133" r:id="rId722"/>
    <hyperlink xmlns:r="http://schemas.openxmlformats.org/officeDocument/2006/relationships" ref="H133" r:id="rId723"/>
    <hyperlink xmlns:r="http://schemas.openxmlformats.org/officeDocument/2006/relationships" ref="J133" r:id="rId724"/>
    <hyperlink xmlns:r="http://schemas.openxmlformats.org/officeDocument/2006/relationships" ref="K133" r:id="rId725"/>
    <hyperlink xmlns:r="http://schemas.openxmlformats.org/officeDocument/2006/relationships" ref="L133" r:id="rId726"/>
    <hyperlink xmlns:r="http://schemas.openxmlformats.org/officeDocument/2006/relationships" ref="F134" r:id="rId727"/>
    <hyperlink xmlns:r="http://schemas.openxmlformats.org/officeDocument/2006/relationships" ref="G134" r:id="rId728"/>
    <hyperlink xmlns:r="http://schemas.openxmlformats.org/officeDocument/2006/relationships" ref="H134" r:id="rId729"/>
    <hyperlink xmlns:r="http://schemas.openxmlformats.org/officeDocument/2006/relationships" ref="J134" r:id="rId730"/>
    <hyperlink xmlns:r="http://schemas.openxmlformats.org/officeDocument/2006/relationships" ref="K134" r:id="rId731"/>
    <hyperlink xmlns:r="http://schemas.openxmlformats.org/officeDocument/2006/relationships" ref="L134" r:id="rId732"/>
    <hyperlink xmlns:r="http://schemas.openxmlformats.org/officeDocument/2006/relationships" ref="F136" r:id="rId733"/>
    <hyperlink xmlns:r="http://schemas.openxmlformats.org/officeDocument/2006/relationships" ref="G136" r:id="rId734"/>
    <hyperlink xmlns:r="http://schemas.openxmlformats.org/officeDocument/2006/relationships" ref="H136" r:id="rId735"/>
    <hyperlink xmlns:r="http://schemas.openxmlformats.org/officeDocument/2006/relationships" ref="J136" r:id="rId736"/>
    <hyperlink xmlns:r="http://schemas.openxmlformats.org/officeDocument/2006/relationships" ref="K136" r:id="rId737"/>
    <hyperlink xmlns:r="http://schemas.openxmlformats.org/officeDocument/2006/relationships" ref="L136" r:id="rId738"/>
    <hyperlink xmlns:r="http://schemas.openxmlformats.org/officeDocument/2006/relationships" ref="F137" r:id="rId739"/>
    <hyperlink xmlns:r="http://schemas.openxmlformats.org/officeDocument/2006/relationships" ref="G137" r:id="rId740"/>
    <hyperlink xmlns:r="http://schemas.openxmlformats.org/officeDocument/2006/relationships" ref="H137" r:id="rId741"/>
    <hyperlink xmlns:r="http://schemas.openxmlformats.org/officeDocument/2006/relationships" ref="J137" r:id="rId742"/>
    <hyperlink xmlns:r="http://schemas.openxmlformats.org/officeDocument/2006/relationships" ref="K137" r:id="rId743"/>
    <hyperlink xmlns:r="http://schemas.openxmlformats.org/officeDocument/2006/relationships" ref="L137" r:id="rId744"/>
    <hyperlink xmlns:r="http://schemas.openxmlformats.org/officeDocument/2006/relationships" ref="F138" r:id="rId745"/>
    <hyperlink xmlns:r="http://schemas.openxmlformats.org/officeDocument/2006/relationships" ref="G138" r:id="rId746"/>
    <hyperlink xmlns:r="http://schemas.openxmlformats.org/officeDocument/2006/relationships" ref="H138" r:id="rId747"/>
    <hyperlink xmlns:r="http://schemas.openxmlformats.org/officeDocument/2006/relationships" ref="J138" r:id="rId748"/>
    <hyperlink xmlns:r="http://schemas.openxmlformats.org/officeDocument/2006/relationships" ref="K138" r:id="rId749"/>
    <hyperlink xmlns:r="http://schemas.openxmlformats.org/officeDocument/2006/relationships" ref="L138" r:id="rId750"/>
    <hyperlink xmlns:r="http://schemas.openxmlformats.org/officeDocument/2006/relationships" ref="F139" r:id="rId751"/>
    <hyperlink xmlns:r="http://schemas.openxmlformats.org/officeDocument/2006/relationships" ref="G139" r:id="rId752"/>
    <hyperlink xmlns:r="http://schemas.openxmlformats.org/officeDocument/2006/relationships" ref="H139" r:id="rId753"/>
    <hyperlink xmlns:r="http://schemas.openxmlformats.org/officeDocument/2006/relationships" ref="J139" r:id="rId754"/>
    <hyperlink xmlns:r="http://schemas.openxmlformats.org/officeDocument/2006/relationships" ref="K139" r:id="rId755"/>
    <hyperlink xmlns:r="http://schemas.openxmlformats.org/officeDocument/2006/relationships" ref="L139" r:id="rId756"/>
    <hyperlink xmlns:r="http://schemas.openxmlformats.org/officeDocument/2006/relationships" ref="F140" r:id="rId757"/>
    <hyperlink xmlns:r="http://schemas.openxmlformats.org/officeDocument/2006/relationships" ref="G140" r:id="rId758"/>
    <hyperlink xmlns:r="http://schemas.openxmlformats.org/officeDocument/2006/relationships" ref="H140" r:id="rId759"/>
    <hyperlink xmlns:r="http://schemas.openxmlformats.org/officeDocument/2006/relationships" ref="J140" r:id="rId760"/>
    <hyperlink xmlns:r="http://schemas.openxmlformats.org/officeDocument/2006/relationships" ref="K140" r:id="rId761"/>
    <hyperlink xmlns:r="http://schemas.openxmlformats.org/officeDocument/2006/relationships" ref="L140" r:id="rId762"/>
    <hyperlink xmlns:r="http://schemas.openxmlformats.org/officeDocument/2006/relationships" ref="F141" r:id="rId763"/>
    <hyperlink xmlns:r="http://schemas.openxmlformats.org/officeDocument/2006/relationships" ref="G141" r:id="rId764"/>
    <hyperlink xmlns:r="http://schemas.openxmlformats.org/officeDocument/2006/relationships" ref="H141" r:id="rId765"/>
    <hyperlink xmlns:r="http://schemas.openxmlformats.org/officeDocument/2006/relationships" ref="J141" r:id="rId766"/>
    <hyperlink xmlns:r="http://schemas.openxmlformats.org/officeDocument/2006/relationships" ref="K141" r:id="rId767"/>
    <hyperlink xmlns:r="http://schemas.openxmlformats.org/officeDocument/2006/relationships" ref="L141" r:id="rId768"/>
    <hyperlink xmlns:r="http://schemas.openxmlformats.org/officeDocument/2006/relationships" ref="F142" r:id="rId769"/>
    <hyperlink xmlns:r="http://schemas.openxmlformats.org/officeDocument/2006/relationships" ref="G142" r:id="rId770"/>
    <hyperlink xmlns:r="http://schemas.openxmlformats.org/officeDocument/2006/relationships" ref="H142" r:id="rId771"/>
    <hyperlink xmlns:r="http://schemas.openxmlformats.org/officeDocument/2006/relationships" ref="J142" r:id="rId772"/>
    <hyperlink xmlns:r="http://schemas.openxmlformats.org/officeDocument/2006/relationships" ref="K142" r:id="rId773"/>
    <hyperlink xmlns:r="http://schemas.openxmlformats.org/officeDocument/2006/relationships" ref="L142" r:id="rId774"/>
    <hyperlink xmlns:r="http://schemas.openxmlformats.org/officeDocument/2006/relationships" ref="F143" r:id="rId775"/>
    <hyperlink xmlns:r="http://schemas.openxmlformats.org/officeDocument/2006/relationships" ref="G143" r:id="rId776"/>
    <hyperlink xmlns:r="http://schemas.openxmlformats.org/officeDocument/2006/relationships" ref="H143" r:id="rId777"/>
    <hyperlink xmlns:r="http://schemas.openxmlformats.org/officeDocument/2006/relationships" ref="J143" r:id="rId778"/>
    <hyperlink xmlns:r="http://schemas.openxmlformats.org/officeDocument/2006/relationships" ref="K143" r:id="rId779"/>
    <hyperlink xmlns:r="http://schemas.openxmlformats.org/officeDocument/2006/relationships" ref="L143" r:id="rId780"/>
    <hyperlink xmlns:r="http://schemas.openxmlformats.org/officeDocument/2006/relationships" ref="F144" r:id="rId781"/>
    <hyperlink xmlns:r="http://schemas.openxmlformats.org/officeDocument/2006/relationships" ref="G144" r:id="rId782"/>
    <hyperlink xmlns:r="http://schemas.openxmlformats.org/officeDocument/2006/relationships" ref="H144" r:id="rId783"/>
    <hyperlink xmlns:r="http://schemas.openxmlformats.org/officeDocument/2006/relationships" ref="J144" r:id="rId784"/>
    <hyperlink xmlns:r="http://schemas.openxmlformats.org/officeDocument/2006/relationships" ref="K144" r:id="rId785"/>
    <hyperlink xmlns:r="http://schemas.openxmlformats.org/officeDocument/2006/relationships" ref="L144" r:id="rId786"/>
    <hyperlink xmlns:r="http://schemas.openxmlformats.org/officeDocument/2006/relationships" ref="F145" r:id="rId787"/>
    <hyperlink xmlns:r="http://schemas.openxmlformats.org/officeDocument/2006/relationships" ref="G145" r:id="rId788"/>
    <hyperlink xmlns:r="http://schemas.openxmlformats.org/officeDocument/2006/relationships" ref="H145" r:id="rId789"/>
    <hyperlink xmlns:r="http://schemas.openxmlformats.org/officeDocument/2006/relationships" ref="J145" r:id="rId790"/>
    <hyperlink xmlns:r="http://schemas.openxmlformats.org/officeDocument/2006/relationships" ref="K145" r:id="rId791"/>
    <hyperlink xmlns:r="http://schemas.openxmlformats.org/officeDocument/2006/relationships" ref="L145" r:id="rId792"/>
    <hyperlink xmlns:r="http://schemas.openxmlformats.org/officeDocument/2006/relationships" ref="F146" r:id="rId793"/>
    <hyperlink xmlns:r="http://schemas.openxmlformats.org/officeDocument/2006/relationships" ref="G146" r:id="rId794"/>
    <hyperlink xmlns:r="http://schemas.openxmlformats.org/officeDocument/2006/relationships" ref="H146" r:id="rId795"/>
    <hyperlink xmlns:r="http://schemas.openxmlformats.org/officeDocument/2006/relationships" ref="J146" r:id="rId796"/>
    <hyperlink xmlns:r="http://schemas.openxmlformats.org/officeDocument/2006/relationships" ref="K146" r:id="rId797"/>
    <hyperlink xmlns:r="http://schemas.openxmlformats.org/officeDocument/2006/relationships" ref="L146" r:id="rId798"/>
    <hyperlink xmlns:r="http://schemas.openxmlformats.org/officeDocument/2006/relationships" ref="F147" r:id="rId799"/>
    <hyperlink xmlns:r="http://schemas.openxmlformats.org/officeDocument/2006/relationships" ref="G147" r:id="rId800"/>
    <hyperlink xmlns:r="http://schemas.openxmlformats.org/officeDocument/2006/relationships" ref="H147" r:id="rId801"/>
    <hyperlink xmlns:r="http://schemas.openxmlformats.org/officeDocument/2006/relationships" ref="J147" r:id="rId802"/>
    <hyperlink xmlns:r="http://schemas.openxmlformats.org/officeDocument/2006/relationships" ref="K147" r:id="rId803"/>
    <hyperlink xmlns:r="http://schemas.openxmlformats.org/officeDocument/2006/relationships" ref="L147" r:id="rId804"/>
    <hyperlink xmlns:r="http://schemas.openxmlformats.org/officeDocument/2006/relationships" ref="F148" r:id="rId805"/>
    <hyperlink xmlns:r="http://schemas.openxmlformats.org/officeDocument/2006/relationships" ref="G148" r:id="rId806"/>
    <hyperlink xmlns:r="http://schemas.openxmlformats.org/officeDocument/2006/relationships" ref="H148" r:id="rId807"/>
    <hyperlink xmlns:r="http://schemas.openxmlformats.org/officeDocument/2006/relationships" ref="J148" r:id="rId808"/>
    <hyperlink xmlns:r="http://schemas.openxmlformats.org/officeDocument/2006/relationships" ref="K148" r:id="rId809"/>
    <hyperlink xmlns:r="http://schemas.openxmlformats.org/officeDocument/2006/relationships" ref="L148" r:id="rId810"/>
    <hyperlink xmlns:r="http://schemas.openxmlformats.org/officeDocument/2006/relationships" ref="F149" r:id="rId811"/>
    <hyperlink xmlns:r="http://schemas.openxmlformats.org/officeDocument/2006/relationships" ref="G149" r:id="rId812"/>
    <hyperlink xmlns:r="http://schemas.openxmlformats.org/officeDocument/2006/relationships" ref="H149" r:id="rId813"/>
    <hyperlink xmlns:r="http://schemas.openxmlformats.org/officeDocument/2006/relationships" ref="J149" r:id="rId814"/>
    <hyperlink xmlns:r="http://schemas.openxmlformats.org/officeDocument/2006/relationships" ref="K149" r:id="rId815"/>
    <hyperlink xmlns:r="http://schemas.openxmlformats.org/officeDocument/2006/relationships" ref="L149" r:id="rId816"/>
    <hyperlink xmlns:r="http://schemas.openxmlformats.org/officeDocument/2006/relationships" ref="F150" r:id="rId817"/>
    <hyperlink xmlns:r="http://schemas.openxmlformats.org/officeDocument/2006/relationships" ref="G150" r:id="rId818"/>
    <hyperlink xmlns:r="http://schemas.openxmlformats.org/officeDocument/2006/relationships" ref="H150" r:id="rId819"/>
    <hyperlink xmlns:r="http://schemas.openxmlformats.org/officeDocument/2006/relationships" ref="J150" r:id="rId820"/>
    <hyperlink xmlns:r="http://schemas.openxmlformats.org/officeDocument/2006/relationships" ref="K150" r:id="rId821"/>
    <hyperlink xmlns:r="http://schemas.openxmlformats.org/officeDocument/2006/relationships" ref="L150" r:id="rId822"/>
    <hyperlink xmlns:r="http://schemas.openxmlformats.org/officeDocument/2006/relationships" ref="F151" r:id="rId823"/>
    <hyperlink xmlns:r="http://schemas.openxmlformats.org/officeDocument/2006/relationships" ref="G151" r:id="rId824"/>
    <hyperlink xmlns:r="http://schemas.openxmlformats.org/officeDocument/2006/relationships" ref="H151" r:id="rId825"/>
    <hyperlink xmlns:r="http://schemas.openxmlformats.org/officeDocument/2006/relationships" ref="J151" r:id="rId826"/>
    <hyperlink xmlns:r="http://schemas.openxmlformats.org/officeDocument/2006/relationships" ref="K151" r:id="rId827"/>
    <hyperlink xmlns:r="http://schemas.openxmlformats.org/officeDocument/2006/relationships" ref="L151" r:id="rId828"/>
    <hyperlink xmlns:r="http://schemas.openxmlformats.org/officeDocument/2006/relationships" ref="F152" r:id="rId829"/>
    <hyperlink xmlns:r="http://schemas.openxmlformats.org/officeDocument/2006/relationships" ref="G152" r:id="rId830"/>
    <hyperlink xmlns:r="http://schemas.openxmlformats.org/officeDocument/2006/relationships" ref="H152" r:id="rId831"/>
    <hyperlink xmlns:r="http://schemas.openxmlformats.org/officeDocument/2006/relationships" ref="J152" r:id="rId832"/>
    <hyperlink xmlns:r="http://schemas.openxmlformats.org/officeDocument/2006/relationships" ref="K152" r:id="rId833"/>
    <hyperlink xmlns:r="http://schemas.openxmlformats.org/officeDocument/2006/relationships" ref="L152" r:id="rId834"/>
    <hyperlink xmlns:r="http://schemas.openxmlformats.org/officeDocument/2006/relationships" ref="F154" r:id="rId835"/>
    <hyperlink xmlns:r="http://schemas.openxmlformats.org/officeDocument/2006/relationships" ref="G154" r:id="rId836"/>
    <hyperlink xmlns:r="http://schemas.openxmlformats.org/officeDocument/2006/relationships" ref="H154" r:id="rId837"/>
    <hyperlink xmlns:r="http://schemas.openxmlformats.org/officeDocument/2006/relationships" ref="J154" r:id="rId838"/>
    <hyperlink xmlns:r="http://schemas.openxmlformats.org/officeDocument/2006/relationships" ref="K154" r:id="rId839"/>
    <hyperlink xmlns:r="http://schemas.openxmlformats.org/officeDocument/2006/relationships" ref="L154" r:id="rId840"/>
    <hyperlink xmlns:r="http://schemas.openxmlformats.org/officeDocument/2006/relationships" ref="F155" r:id="rId841"/>
    <hyperlink xmlns:r="http://schemas.openxmlformats.org/officeDocument/2006/relationships" ref="G155" r:id="rId842"/>
    <hyperlink xmlns:r="http://schemas.openxmlformats.org/officeDocument/2006/relationships" ref="H155" r:id="rId843"/>
    <hyperlink xmlns:r="http://schemas.openxmlformats.org/officeDocument/2006/relationships" ref="J155" r:id="rId844"/>
    <hyperlink xmlns:r="http://schemas.openxmlformats.org/officeDocument/2006/relationships" ref="K155" r:id="rId845"/>
    <hyperlink xmlns:r="http://schemas.openxmlformats.org/officeDocument/2006/relationships" ref="L155" r:id="rId846"/>
    <hyperlink xmlns:r="http://schemas.openxmlformats.org/officeDocument/2006/relationships" ref="F156" r:id="rId847"/>
    <hyperlink xmlns:r="http://schemas.openxmlformats.org/officeDocument/2006/relationships" ref="G156" r:id="rId848"/>
    <hyperlink xmlns:r="http://schemas.openxmlformats.org/officeDocument/2006/relationships" ref="H156" r:id="rId849"/>
    <hyperlink xmlns:r="http://schemas.openxmlformats.org/officeDocument/2006/relationships" ref="J156" r:id="rId850"/>
    <hyperlink xmlns:r="http://schemas.openxmlformats.org/officeDocument/2006/relationships" ref="K156" r:id="rId851"/>
    <hyperlink xmlns:r="http://schemas.openxmlformats.org/officeDocument/2006/relationships" ref="L156" r:id="rId852"/>
    <hyperlink xmlns:r="http://schemas.openxmlformats.org/officeDocument/2006/relationships" ref="F157" r:id="rId853"/>
    <hyperlink xmlns:r="http://schemas.openxmlformats.org/officeDocument/2006/relationships" ref="G157" r:id="rId854"/>
    <hyperlink xmlns:r="http://schemas.openxmlformats.org/officeDocument/2006/relationships" ref="H157" r:id="rId855"/>
    <hyperlink xmlns:r="http://schemas.openxmlformats.org/officeDocument/2006/relationships" ref="J157" r:id="rId856"/>
    <hyperlink xmlns:r="http://schemas.openxmlformats.org/officeDocument/2006/relationships" ref="K157" r:id="rId857"/>
    <hyperlink xmlns:r="http://schemas.openxmlformats.org/officeDocument/2006/relationships" ref="L157" r:id="rId858"/>
    <hyperlink xmlns:r="http://schemas.openxmlformats.org/officeDocument/2006/relationships" ref="F158" r:id="rId859"/>
    <hyperlink xmlns:r="http://schemas.openxmlformats.org/officeDocument/2006/relationships" ref="G158" r:id="rId860"/>
    <hyperlink xmlns:r="http://schemas.openxmlformats.org/officeDocument/2006/relationships" ref="H158" r:id="rId861"/>
    <hyperlink xmlns:r="http://schemas.openxmlformats.org/officeDocument/2006/relationships" ref="J158" r:id="rId862"/>
    <hyperlink xmlns:r="http://schemas.openxmlformats.org/officeDocument/2006/relationships" ref="K158" r:id="rId863"/>
    <hyperlink xmlns:r="http://schemas.openxmlformats.org/officeDocument/2006/relationships" ref="L158" r:id="rId864"/>
    <hyperlink xmlns:r="http://schemas.openxmlformats.org/officeDocument/2006/relationships" ref="F160" r:id="rId865"/>
    <hyperlink xmlns:r="http://schemas.openxmlformats.org/officeDocument/2006/relationships" ref="G160" r:id="rId866"/>
    <hyperlink xmlns:r="http://schemas.openxmlformats.org/officeDocument/2006/relationships" ref="H160" r:id="rId867"/>
    <hyperlink xmlns:r="http://schemas.openxmlformats.org/officeDocument/2006/relationships" ref="J160" r:id="rId868"/>
    <hyperlink xmlns:r="http://schemas.openxmlformats.org/officeDocument/2006/relationships" ref="K160" r:id="rId869"/>
    <hyperlink xmlns:r="http://schemas.openxmlformats.org/officeDocument/2006/relationships" ref="L160" r:id="rId870"/>
    <hyperlink xmlns:r="http://schemas.openxmlformats.org/officeDocument/2006/relationships" ref="F161" r:id="rId871"/>
    <hyperlink xmlns:r="http://schemas.openxmlformats.org/officeDocument/2006/relationships" ref="G161" r:id="rId872"/>
    <hyperlink xmlns:r="http://schemas.openxmlformats.org/officeDocument/2006/relationships" ref="H161" r:id="rId873"/>
    <hyperlink xmlns:r="http://schemas.openxmlformats.org/officeDocument/2006/relationships" ref="J161" r:id="rId874"/>
    <hyperlink xmlns:r="http://schemas.openxmlformats.org/officeDocument/2006/relationships" ref="K161" r:id="rId875"/>
    <hyperlink xmlns:r="http://schemas.openxmlformats.org/officeDocument/2006/relationships" ref="L161" r:id="rId876"/>
    <hyperlink xmlns:r="http://schemas.openxmlformats.org/officeDocument/2006/relationships" ref="F162" r:id="rId877"/>
    <hyperlink xmlns:r="http://schemas.openxmlformats.org/officeDocument/2006/relationships" ref="G162" r:id="rId878"/>
    <hyperlink xmlns:r="http://schemas.openxmlformats.org/officeDocument/2006/relationships" ref="H162" r:id="rId879"/>
    <hyperlink xmlns:r="http://schemas.openxmlformats.org/officeDocument/2006/relationships" ref="J162" r:id="rId880"/>
    <hyperlink xmlns:r="http://schemas.openxmlformats.org/officeDocument/2006/relationships" ref="K162" r:id="rId881"/>
    <hyperlink xmlns:r="http://schemas.openxmlformats.org/officeDocument/2006/relationships" ref="L162" r:id="rId882"/>
    <hyperlink xmlns:r="http://schemas.openxmlformats.org/officeDocument/2006/relationships" ref="F163" r:id="rId883"/>
    <hyperlink xmlns:r="http://schemas.openxmlformats.org/officeDocument/2006/relationships" ref="G163" r:id="rId884"/>
    <hyperlink xmlns:r="http://schemas.openxmlformats.org/officeDocument/2006/relationships" ref="H163" r:id="rId885"/>
    <hyperlink xmlns:r="http://schemas.openxmlformats.org/officeDocument/2006/relationships" ref="J163" r:id="rId886"/>
    <hyperlink xmlns:r="http://schemas.openxmlformats.org/officeDocument/2006/relationships" ref="K163" r:id="rId887"/>
    <hyperlink xmlns:r="http://schemas.openxmlformats.org/officeDocument/2006/relationships" ref="L163" r:id="rId888"/>
    <hyperlink xmlns:r="http://schemas.openxmlformats.org/officeDocument/2006/relationships" ref="F164" r:id="rId889"/>
    <hyperlink xmlns:r="http://schemas.openxmlformats.org/officeDocument/2006/relationships" ref="G164" r:id="rId890"/>
    <hyperlink xmlns:r="http://schemas.openxmlformats.org/officeDocument/2006/relationships" ref="H164" r:id="rId891"/>
    <hyperlink xmlns:r="http://schemas.openxmlformats.org/officeDocument/2006/relationships" ref="J164" r:id="rId892"/>
    <hyperlink xmlns:r="http://schemas.openxmlformats.org/officeDocument/2006/relationships" ref="K164" r:id="rId893"/>
    <hyperlink xmlns:r="http://schemas.openxmlformats.org/officeDocument/2006/relationships" ref="L164" r:id="rId894"/>
    <hyperlink xmlns:r="http://schemas.openxmlformats.org/officeDocument/2006/relationships" ref="F165" r:id="rId895"/>
    <hyperlink xmlns:r="http://schemas.openxmlformats.org/officeDocument/2006/relationships" ref="G165" r:id="rId896"/>
    <hyperlink xmlns:r="http://schemas.openxmlformats.org/officeDocument/2006/relationships" ref="H165" r:id="rId897"/>
    <hyperlink xmlns:r="http://schemas.openxmlformats.org/officeDocument/2006/relationships" ref="J165" r:id="rId898"/>
    <hyperlink xmlns:r="http://schemas.openxmlformats.org/officeDocument/2006/relationships" ref="K165" r:id="rId899"/>
    <hyperlink xmlns:r="http://schemas.openxmlformats.org/officeDocument/2006/relationships" ref="L165" r:id="rId900"/>
    <hyperlink xmlns:r="http://schemas.openxmlformats.org/officeDocument/2006/relationships" ref="F166" r:id="rId901"/>
    <hyperlink xmlns:r="http://schemas.openxmlformats.org/officeDocument/2006/relationships" ref="G166" r:id="rId902"/>
    <hyperlink xmlns:r="http://schemas.openxmlformats.org/officeDocument/2006/relationships" ref="H166" r:id="rId903"/>
    <hyperlink xmlns:r="http://schemas.openxmlformats.org/officeDocument/2006/relationships" ref="J166" r:id="rId904"/>
    <hyperlink xmlns:r="http://schemas.openxmlformats.org/officeDocument/2006/relationships" ref="K166" r:id="rId905"/>
    <hyperlink xmlns:r="http://schemas.openxmlformats.org/officeDocument/2006/relationships" ref="L166" r:id="rId906"/>
    <hyperlink xmlns:r="http://schemas.openxmlformats.org/officeDocument/2006/relationships" ref="F167" r:id="rId907"/>
    <hyperlink xmlns:r="http://schemas.openxmlformats.org/officeDocument/2006/relationships" ref="G167" r:id="rId908"/>
    <hyperlink xmlns:r="http://schemas.openxmlformats.org/officeDocument/2006/relationships" ref="H167" r:id="rId909"/>
    <hyperlink xmlns:r="http://schemas.openxmlformats.org/officeDocument/2006/relationships" ref="J167" r:id="rId910"/>
    <hyperlink xmlns:r="http://schemas.openxmlformats.org/officeDocument/2006/relationships" ref="K167" r:id="rId911"/>
    <hyperlink xmlns:r="http://schemas.openxmlformats.org/officeDocument/2006/relationships" ref="L167" r:id="rId912"/>
    <hyperlink xmlns:r="http://schemas.openxmlformats.org/officeDocument/2006/relationships" ref="F169" r:id="rId913"/>
    <hyperlink xmlns:r="http://schemas.openxmlformats.org/officeDocument/2006/relationships" ref="G169" r:id="rId914"/>
    <hyperlink xmlns:r="http://schemas.openxmlformats.org/officeDocument/2006/relationships" ref="H169" r:id="rId915"/>
    <hyperlink xmlns:r="http://schemas.openxmlformats.org/officeDocument/2006/relationships" ref="J169" r:id="rId916"/>
    <hyperlink xmlns:r="http://schemas.openxmlformats.org/officeDocument/2006/relationships" ref="K169" r:id="rId917"/>
    <hyperlink xmlns:r="http://schemas.openxmlformats.org/officeDocument/2006/relationships" ref="L169" r:id="rId918"/>
    <hyperlink xmlns:r="http://schemas.openxmlformats.org/officeDocument/2006/relationships" ref="F170" r:id="rId919"/>
    <hyperlink xmlns:r="http://schemas.openxmlformats.org/officeDocument/2006/relationships" ref="G170" r:id="rId920"/>
    <hyperlink xmlns:r="http://schemas.openxmlformats.org/officeDocument/2006/relationships" ref="H170" r:id="rId921"/>
    <hyperlink xmlns:r="http://schemas.openxmlformats.org/officeDocument/2006/relationships" ref="J170" r:id="rId922"/>
    <hyperlink xmlns:r="http://schemas.openxmlformats.org/officeDocument/2006/relationships" ref="K170" r:id="rId923"/>
    <hyperlink xmlns:r="http://schemas.openxmlformats.org/officeDocument/2006/relationships" ref="L170" r:id="rId924"/>
    <hyperlink xmlns:r="http://schemas.openxmlformats.org/officeDocument/2006/relationships" ref="F171" r:id="rId925"/>
    <hyperlink xmlns:r="http://schemas.openxmlformats.org/officeDocument/2006/relationships" ref="G171" r:id="rId926"/>
    <hyperlink xmlns:r="http://schemas.openxmlformats.org/officeDocument/2006/relationships" ref="H171" r:id="rId927"/>
    <hyperlink xmlns:r="http://schemas.openxmlformats.org/officeDocument/2006/relationships" ref="J171" r:id="rId928"/>
    <hyperlink xmlns:r="http://schemas.openxmlformats.org/officeDocument/2006/relationships" ref="K171" r:id="rId929"/>
    <hyperlink xmlns:r="http://schemas.openxmlformats.org/officeDocument/2006/relationships" ref="L171" r:id="rId930"/>
    <hyperlink xmlns:r="http://schemas.openxmlformats.org/officeDocument/2006/relationships" ref="F173" r:id="rId931"/>
    <hyperlink xmlns:r="http://schemas.openxmlformats.org/officeDocument/2006/relationships" ref="G173" r:id="rId932"/>
    <hyperlink xmlns:r="http://schemas.openxmlformats.org/officeDocument/2006/relationships" ref="H173" r:id="rId933"/>
    <hyperlink xmlns:r="http://schemas.openxmlformats.org/officeDocument/2006/relationships" ref="J173" r:id="rId934"/>
    <hyperlink xmlns:r="http://schemas.openxmlformats.org/officeDocument/2006/relationships" ref="K173" r:id="rId935"/>
    <hyperlink xmlns:r="http://schemas.openxmlformats.org/officeDocument/2006/relationships" ref="L173" r:id="rId936"/>
    <hyperlink xmlns:r="http://schemas.openxmlformats.org/officeDocument/2006/relationships" ref="F174" r:id="rId937"/>
    <hyperlink xmlns:r="http://schemas.openxmlformats.org/officeDocument/2006/relationships" ref="G174" r:id="rId938"/>
    <hyperlink xmlns:r="http://schemas.openxmlformats.org/officeDocument/2006/relationships" ref="H174" r:id="rId939"/>
    <hyperlink xmlns:r="http://schemas.openxmlformats.org/officeDocument/2006/relationships" ref="J174" r:id="rId940"/>
    <hyperlink xmlns:r="http://schemas.openxmlformats.org/officeDocument/2006/relationships" ref="K174" r:id="rId941"/>
    <hyperlink xmlns:r="http://schemas.openxmlformats.org/officeDocument/2006/relationships" ref="L174" r:id="rId942"/>
    <hyperlink xmlns:r="http://schemas.openxmlformats.org/officeDocument/2006/relationships" ref="F175" r:id="rId943"/>
    <hyperlink xmlns:r="http://schemas.openxmlformats.org/officeDocument/2006/relationships" ref="G175" r:id="rId944"/>
    <hyperlink xmlns:r="http://schemas.openxmlformats.org/officeDocument/2006/relationships" ref="H175" r:id="rId945"/>
    <hyperlink xmlns:r="http://schemas.openxmlformats.org/officeDocument/2006/relationships" ref="J175" r:id="rId946"/>
    <hyperlink xmlns:r="http://schemas.openxmlformats.org/officeDocument/2006/relationships" ref="K175" r:id="rId947"/>
    <hyperlink xmlns:r="http://schemas.openxmlformats.org/officeDocument/2006/relationships" ref="L175" r:id="rId948"/>
    <hyperlink xmlns:r="http://schemas.openxmlformats.org/officeDocument/2006/relationships" ref="F176" r:id="rId949"/>
    <hyperlink xmlns:r="http://schemas.openxmlformats.org/officeDocument/2006/relationships" ref="G176" r:id="rId950"/>
    <hyperlink xmlns:r="http://schemas.openxmlformats.org/officeDocument/2006/relationships" ref="H176" r:id="rId951"/>
    <hyperlink xmlns:r="http://schemas.openxmlformats.org/officeDocument/2006/relationships" ref="J176" r:id="rId952"/>
    <hyperlink xmlns:r="http://schemas.openxmlformats.org/officeDocument/2006/relationships" ref="K176" r:id="rId953"/>
    <hyperlink xmlns:r="http://schemas.openxmlformats.org/officeDocument/2006/relationships" ref="L176" r:id="rId954"/>
    <hyperlink xmlns:r="http://schemas.openxmlformats.org/officeDocument/2006/relationships" ref="F177" r:id="rId955"/>
    <hyperlink xmlns:r="http://schemas.openxmlformats.org/officeDocument/2006/relationships" ref="G177" r:id="rId956"/>
    <hyperlink xmlns:r="http://schemas.openxmlformats.org/officeDocument/2006/relationships" ref="H177" r:id="rId957"/>
    <hyperlink xmlns:r="http://schemas.openxmlformats.org/officeDocument/2006/relationships" ref="J177" r:id="rId958"/>
    <hyperlink xmlns:r="http://schemas.openxmlformats.org/officeDocument/2006/relationships" ref="K177" r:id="rId959"/>
    <hyperlink xmlns:r="http://schemas.openxmlformats.org/officeDocument/2006/relationships" ref="L177" r:id="rId960"/>
    <hyperlink xmlns:r="http://schemas.openxmlformats.org/officeDocument/2006/relationships" ref="F178" r:id="rId961"/>
    <hyperlink xmlns:r="http://schemas.openxmlformats.org/officeDocument/2006/relationships" ref="G178" r:id="rId962"/>
    <hyperlink xmlns:r="http://schemas.openxmlformats.org/officeDocument/2006/relationships" ref="H178" r:id="rId963"/>
    <hyperlink xmlns:r="http://schemas.openxmlformats.org/officeDocument/2006/relationships" ref="J178" r:id="rId964"/>
    <hyperlink xmlns:r="http://schemas.openxmlformats.org/officeDocument/2006/relationships" ref="K178" r:id="rId965"/>
    <hyperlink xmlns:r="http://schemas.openxmlformats.org/officeDocument/2006/relationships" ref="L178" r:id="rId966"/>
    <hyperlink xmlns:r="http://schemas.openxmlformats.org/officeDocument/2006/relationships" ref="F179" r:id="rId967"/>
    <hyperlink xmlns:r="http://schemas.openxmlformats.org/officeDocument/2006/relationships" ref="G179" r:id="rId968"/>
    <hyperlink xmlns:r="http://schemas.openxmlformats.org/officeDocument/2006/relationships" ref="H179" r:id="rId969"/>
    <hyperlink xmlns:r="http://schemas.openxmlformats.org/officeDocument/2006/relationships" ref="J179" r:id="rId970"/>
    <hyperlink xmlns:r="http://schemas.openxmlformats.org/officeDocument/2006/relationships" ref="K179" r:id="rId971"/>
    <hyperlink xmlns:r="http://schemas.openxmlformats.org/officeDocument/2006/relationships" ref="L179" r:id="rId972"/>
    <hyperlink xmlns:r="http://schemas.openxmlformats.org/officeDocument/2006/relationships" ref="F180" r:id="rId973"/>
    <hyperlink xmlns:r="http://schemas.openxmlformats.org/officeDocument/2006/relationships" ref="G180" r:id="rId974"/>
    <hyperlink xmlns:r="http://schemas.openxmlformats.org/officeDocument/2006/relationships" ref="H180" r:id="rId975"/>
    <hyperlink xmlns:r="http://schemas.openxmlformats.org/officeDocument/2006/relationships" ref="J180" r:id="rId976"/>
    <hyperlink xmlns:r="http://schemas.openxmlformats.org/officeDocument/2006/relationships" ref="K180" r:id="rId977"/>
    <hyperlink xmlns:r="http://schemas.openxmlformats.org/officeDocument/2006/relationships" ref="L180" r:id="rId978"/>
    <hyperlink xmlns:r="http://schemas.openxmlformats.org/officeDocument/2006/relationships" ref="F181" r:id="rId979"/>
    <hyperlink xmlns:r="http://schemas.openxmlformats.org/officeDocument/2006/relationships" ref="G181" r:id="rId980"/>
    <hyperlink xmlns:r="http://schemas.openxmlformats.org/officeDocument/2006/relationships" ref="H181" r:id="rId981"/>
    <hyperlink xmlns:r="http://schemas.openxmlformats.org/officeDocument/2006/relationships" ref="J181" r:id="rId982"/>
    <hyperlink xmlns:r="http://schemas.openxmlformats.org/officeDocument/2006/relationships" ref="K181" r:id="rId983"/>
    <hyperlink xmlns:r="http://schemas.openxmlformats.org/officeDocument/2006/relationships" ref="L181" r:id="rId984"/>
    <hyperlink xmlns:r="http://schemas.openxmlformats.org/officeDocument/2006/relationships" ref="F182" r:id="rId985"/>
    <hyperlink xmlns:r="http://schemas.openxmlformats.org/officeDocument/2006/relationships" ref="G182" r:id="rId986"/>
    <hyperlink xmlns:r="http://schemas.openxmlformats.org/officeDocument/2006/relationships" ref="H182" r:id="rId987"/>
    <hyperlink xmlns:r="http://schemas.openxmlformats.org/officeDocument/2006/relationships" ref="J182" r:id="rId988"/>
    <hyperlink xmlns:r="http://schemas.openxmlformats.org/officeDocument/2006/relationships" ref="K182" r:id="rId989"/>
    <hyperlink xmlns:r="http://schemas.openxmlformats.org/officeDocument/2006/relationships" ref="L182" r:id="rId990"/>
    <hyperlink xmlns:r="http://schemas.openxmlformats.org/officeDocument/2006/relationships" ref="F183" r:id="rId991"/>
    <hyperlink xmlns:r="http://schemas.openxmlformats.org/officeDocument/2006/relationships" ref="G183" r:id="rId992"/>
    <hyperlink xmlns:r="http://schemas.openxmlformats.org/officeDocument/2006/relationships" ref="H183" r:id="rId993"/>
    <hyperlink xmlns:r="http://schemas.openxmlformats.org/officeDocument/2006/relationships" ref="J183" r:id="rId994"/>
    <hyperlink xmlns:r="http://schemas.openxmlformats.org/officeDocument/2006/relationships" ref="K183" r:id="rId995"/>
    <hyperlink xmlns:r="http://schemas.openxmlformats.org/officeDocument/2006/relationships" ref="L183" r:id="rId996"/>
    <hyperlink xmlns:r="http://schemas.openxmlformats.org/officeDocument/2006/relationships" ref="F184" r:id="rId997"/>
    <hyperlink xmlns:r="http://schemas.openxmlformats.org/officeDocument/2006/relationships" ref="G184" r:id="rId998"/>
    <hyperlink xmlns:r="http://schemas.openxmlformats.org/officeDocument/2006/relationships" ref="H184" r:id="rId999"/>
    <hyperlink xmlns:r="http://schemas.openxmlformats.org/officeDocument/2006/relationships" ref="J184" r:id="rId1000"/>
    <hyperlink xmlns:r="http://schemas.openxmlformats.org/officeDocument/2006/relationships" ref="K184" r:id="rId1001"/>
    <hyperlink xmlns:r="http://schemas.openxmlformats.org/officeDocument/2006/relationships" ref="L184" r:id="rId1002"/>
    <hyperlink xmlns:r="http://schemas.openxmlformats.org/officeDocument/2006/relationships" ref="F185" r:id="rId1003"/>
    <hyperlink xmlns:r="http://schemas.openxmlformats.org/officeDocument/2006/relationships" ref="G185" r:id="rId1004"/>
    <hyperlink xmlns:r="http://schemas.openxmlformats.org/officeDocument/2006/relationships" ref="H185" r:id="rId1005"/>
    <hyperlink xmlns:r="http://schemas.openxmlformats.org/officeDocument/2006/relationships" ref="J185" r:id="rId1006"/>
    <hyperlink xmlns:r="http://schemas.openxmlformats.org/officeDocument/2006/relationships" ref="K185" r:id="rId1007"/>
    <hyperlink xmlns:r="http://schemas.openxmlformats.org/officeDocument/2006/relationships" ref="L185" r:id="rId1008"/>
    <hyperlink xmlns:r="http://schemas.openxmlformats.org/officeDocument/2006/relationships" ref="F186" r:id="rId1009"/>
    <hyperlink xmlns:r="http://schemas.openxmlformats.org/officeDocument/2006/relationships" ref="G186" r:id="rId1010"/>
    <hyperlink xmlns:r="http://schemas.openxmlformats.org/officeDocument/2006/relationships" ref="H186" r:id="rId1011"/>
    <hyperlink xmlns:r="http://schemas.openxmlformats.org/officeDocument/2006/relationships" ref="J186" r:id="rId1012"/>
    <hyperlink xmlns:r="http://schemas.openxmlformats.org/officeDocument/2006/relationships" ref="K186" r:id="rId1013"/>
    <hyperlink xmlns:r="http://schemas.openxmlformats.org/officeDocument/2006/relationships" ref="L186" r:id="rId1014"/>
    <hyperlink xmlns:r="http://schemas.openxmlformats.org/officeDocument/2006/relationships" ref="F187" r:id="rId1015"/>
    <hyperlink xmlns:r="http://schemas.openxmlformats.org/officeDocument/2006/relationships" ref="G187" r:id="rId1016"/>
    <hyperlink xmlns:r="http://schemas.openxmlformats.org/officeDocument/2006/relationships" ref="H187" r:id="rId1017"/>
    <hyperlink xmlns:r="http://schemas.openxmlformats.org/officeDocument/2006/relationships" ref="J187" r:id="rId1018"/>
    <hyperlink xmlns:r="http://schemas.openxmlformats.org/officeDocument/2006/relationships" ref="K187" r:id="rId1019"/>
    <hyperlink xmlns:r="http://schemas.openxmlformats.org/officeDocument/2006/relationships" ref="L187" r:id="rId1020"/>
    <hyperlink xmlns:r="http://schemas.openxmlformats.org/officeDocument/2006/relationships" ref="F189" r:id="rId1021"/>
    <hyperlink xmlns:r="http://schemas.openxmlformats.org/officeDocument/2006/relationships" ref="G189" r:id="rId1022"/>
    <hyperlink xmlns:r="http://schemas.openxmlformats.org/officeDocument/2006/relationships" ref="H189" r:id="rId1023"/>
    <hyperlink xmlns:r="http://schemas.openxmlformats.org/officeDocument/2006/relationships" ref="J189" r:id="rId1024"/>
    <hyperlink xmlns:r="http://schemas.openxmlformats.org/officeDocument/2006/relationships" ref="K189" r:id="rId1025"/>
    <hyperlink xmlns:r="http://schemas.openxmlformats.org/officeDocument/2006/relationships" ref="L189" r:id="rId1026"/>
    <hyperlink xmlns:r="http://schemas.openxmlformats.org/officeDocument/2006/relationships" ref="F190" r:id="rId1027"/>
    <hyperlink xmlns:r="http://schemas.openxmlformats.org/officeDocument/2006/relationships" ref="G190" r:id="rId1028"/>
    <hyperlink xmlns:r="http://schemas.openxmlformats.org/officeDocument/2006/relationships" ref="H190" r:id="rId1029"/>
    <hyperlink xmlns:r="http://schemas.openxmlformats.org/officeDocument/2006/relationships" ref="J190" r:id="rId1030"/>
    <hyperlink xmlns:r="http://schemas.openxmlformats.org/officeDocument/2006/relationships" ref="K190" r:id="rId1031"/>
    <hyperlink xmlns:r="http://schemas.openxmlformats.org/officeDocument/2006/relationships" ref="L190" r:id="rId1032"/>
    <hyperlink xmlns:r="http://schemas.openxmlformats.org/officeDocument/2006/relationships" ref="F191" r:id="rId1033"/>
    <hyperlink xmlns:r="http://schemas.openxmlformats.org/officeDocument/2006/relationships" ref="G191" r:id="rId1034"/>
    <hyperlink xmlns:r="http://schemas.openxmlformats.org/officeDocument/2006/relationships" ref="H191" r:id="rId1035"/>
    <hyperlink xmlns:r="http://schemas.openxmlformats.org/officeDocument/2006/relationships" ref="J191" r:id="rId1036"/>
    <hyperlink xmlns:r="http://schemas.openxmlformats.org/officeDocument/2006/relationships" ref="K191" r:id="rId1037"/>
    <hyperlink xmlns:r="http://schemas.openxmlformats.org/officeDocument/2006/relationships" ref="L191" r:id="rId1038"/>
    <hyperlink xmlns:r="http://schemas.openxmlformats.org/officeDocument/2006/relationships" ref="F192" r:id="rId1039"/>
    <hyperlink xmlns:r="http://schemas.openxmlformats.org/officeDocument/2006/relationships" ref="G192" r:id="rId1040"/>
    <hyperlink xmlns:r="http://schemas.openxmlformats.org/officeDocument/2006/relationships" ref="H192" r:id="rId1041"/>
    <hyperlink xmlns:r="http://schemas.openxmlformats.org/officeDocument/2006/relationships" ref="J192" r:id="rId1042"/>
    <hyperlink xmlns:r="http://schemas.openxmlformats.org/officeDocument/2006/relationships" ref="K192" r:id="rId1043"/>
    <hyperlink xmlns:r="http://schemas.openxmlformats.org/officeDocument/2006/relationships" ref="L192" r:id="rId1044"/>
    <hyperlink xmlns:r="http://schemas.openxmlformats.org/officeDocument/2006/relationships" ref="F193" r:id="rId1045"/>
    <hyperlink xmlns:r="http://schemas.openxmlformats.org/officeDocument/2006/relationships" ref="G193" r:id="rId1046"/>
    <hyperlink xmlns:r="http://schemas.openxmlformats.org/officeDocument/2006/relationships" ref="H193" r:id="rId1047"/>
    <hyperlink xmlns:r="http://schemas.openxmlformats.org/officeDocument/2006/relationships" ref="J193" r:id="rId1048"/>
    <hyperlink xmlns:r="http://schemas.openxmlformats.org/officeDocument/2006/relationships" ref="K193" r:id="rId1049"/>
    <hyperlink xmlns:r="http://schemas.openxmlformats.org/officeDocument/2006/relationships" ref="L193" r:id="rId1050"/>
    <hyperlink xmlns:r="http://schemas.openxmlformats.org/officeDocument/2006/relationships" ref="F194" r:id="rId1051"/>
    <hyperlink xmlns:r="http://schemas.openxmlformats.org/officeDocument/2006/relationships" ref="G194" r:id="rId1052"/>
    <hyperlink xmlns:r="http://schemas.openxmlformats.org/officeDocument/2006/relationships" ref="H194" r:id="rId1053"/>
    <hyperlink xmlns:r="http://schemas.openxmlformats.org/officeDocument/2006/relationships" ref="J194" r:id="rId1054"/>
    <hyperlink xmlns:r="http://schemas.openxmlformats.org/officeDocument/2006/relationships" ref="K194" r:id="rId1055"/>
    <hyperlink xmlns:r="http://schemas.openxmlformats.org/officeDocument/2006/relationships" ref="L194" r:id="rId1056"/>
    <hyperlink xmlns:r="http://schemas.openxmlformats.org/officeDocument/2006/relationships" ref="F195" r:id="rId1057"/>
    <hyperlink xmlns:r="http://schemas.openxmlformats.org/officeDocument/2006/relationships" ref="G195" r:id="rId1058"/>
    <hyperlink xmlns:r="http://schemas.openxmlformats.org/officeDocument/2006/relationships" ref="H195" r:id="rId1059"/>
    <hyperlink xmlns:r="http://schemas.openxmlformats.org/officeDocument/2006/relationships" ref="J195" r:id="rId1060"/>
    <hyperlink xmlns:r="http://schemas.openxmlformats.org/officeDocument/2006/relationships" ref="K195" r:id="rId1061"/>
    <hyperlink xmlns:r="http://schemas.openxmlformats.org/officeDocument/2006/relationships" ref="L195" r:id="rId1062"/>
    <hyperlink xmlns:r="http://schemas.openxmlformats.org/officeDocument/2006/relationships" ref="F196" r:id="rId1063"/>
    <hyperlink xmlns:r="http://schemas.openxmlformats.org/officeDocument/2006/relationships" ref="G196" r:id="rId1064"/>
    <hyperlink xmlns:r="http://schemas.openxmlformats.org/officeDocument/2006/relationships" ref="H196" r:id="rId1065"/>
    <hyperlink xmlns:r="http://schemas.openxmlformats.org/officeDocument/2006/relationships" ref="J196" r:id="rId1066"/>
    <hyperlink xmlns:r="http://schemas.openxmlformats.org/officeDocument/2006/relationships" ref="K196" r:id="rId1067"/>
    <hyperlink xmlns:r="http://schemas.openxmlformats.org/officeDocument/2006/relationships" ref="L196" r:id="rId1068"/>
    <hyperlink xmlns:r="http://schemas.openxmlformats.org/officeDocument/2006/relationships" ref="F197" r:id="rId1069"/>
    <hyperlink xmlns:r="http://schemas.openxmlformats.org/officeDocument/2006/relationships" ref="G197" r:id="rId1070"/>
    <hyperlink xmlns:r="http://schemas.openxmlformats.org/officeDocument/2006/relationships" ref="H197" r:id="rId1071"/>
    <hyperlink xmlns:r="http://schemas.openxmlformats.org/officeDocument/2006/relationships" ref="J197" r:id="rId1072"/>
    <hyperlink xmlns:r="http://schemas.openxmlformats.org/officeDocument/2006/relationships" ref="K197" r:id="rId1073"/>
    <hyperlink xmlns:r="http://schemas.openxmlformats.org/officeDocument/2006/relationships" ref="L197" r:id="rId1074"/>
    <hyperlink xmlns:r="http://schemas.openxmlformats.org/officeDocument/2006/relationships" ref="F199" r:id="rId1075"/>
    <hyperlink xmlns:r="http://schemas.openxmlformats.org/officeDocument/2006/relationships" ref="G199" r:id="rId1076"/>
    <hyperlink xmlns:r="http://schemas.openxmlformats.org/officeDocument/2006/relationships" ref="H199" r:id="rId1077"/>
    <hyperlink xmlns:r="http://schemas.openxmlformats.org/officeDocument/2006/relationships" ref="J199" r:id="rId1078"/>
    <hyperlink xmlns:r="http://schemas.openxmlformats.org/officeDocument/2006/relationships" ref="K199" r:id="rId1079"/>
    <hyperlink xmlns:r="http://schemas.openxmlformats.org/officeDocument/2006/relationships" ref="L199" r:id="rId1080"/>
    <hyperlink xmlns:r="http://schemas.openxmlformats.org/officeDocument/2006/relationships" ref="F200" r:id="rId1081"/>
    <hyperlink xmlns:r="http://schemas.openxmlformats.org/officeDocument/2006/relationships" ref="G200" r:id="rId1082"/>
    <hyperlink xmlns:r="http://schemas.openxmlformats.org/officeDocument/2006/relationships" ref="H200" r:id="rId1083"/>
    <hyperlink xmlns:r="http://schemas.openxmlformats.org/officeDocument/2006/relationships" ref="J200" r:id="rId1084"/>
    <hyperlink xmlns:r="http://schemas.openxmlformats.org/officeDocument/2006/relationships" ref="K200" r:id="rId1085"/>
    <hyperlink xmlns:r="http://schemas.openxmlformats.org/officeDocument/2006/relationships" ref="L200" r:id="rId1086"/>
    <hyperlink xmlns:r="http://schemas.openxmlformats.org/officeDocument/2006/relationships" ref="F201" r:id="rId1087"/>
    <hyperlink xmlns:r="http://schemas.openxmlformats.org/officeDocument/2006/relationships" ref="G201" r:id="rId1088"/>
    <hyperlink xmlns:r="http://schemas.openxmlformats.org/officeDocument/2006/relationships" ref="H201" r:id="rId1089"/>
    <hyperlink xmlns:r="http://schemas.openxmlformats.org/officeDocument/2006/relationships" ref="J201" r:id="rId1090"/>
    <hyperlink xmlns:r="http://schemas.openxmlformats.org/officeDocument/2006/relationships" ref="K201" r:id="rId1091"/>
    <hyperlink xmlns:r="http://schemas.openxmlformats.org/officeDocument/2006/relationships" ref="L201" r:id="rId1092"/>
    <hyperlink xmlns:r="http://schemas.openxmlformats.org/officeDocument/2006/relationships" ref="F202" r:id="rId1093"/>
    <hyperlink xmlns:r="http://schemas.openxmlformats.org/officeDocument/2006/relationships" ref="G202" r:id="rId1094"/>
    <hyperlink xmlns:r="http://schemas.openxmlformats.org/officeDocument/2006/relationships" ref="H202" r:id="rId1095"/>
    <hyperlink xmlns:r="http://schemas.openxmlformats.org/officeDocument/2006/relationships" ref="J202" r:id="rId1096"/>
    <hyperlink xmlns:r="http://schemas.openxmlformats.org/officeDocument/2006/relationships" ref="K202" r:id="rId1097"/>
    <hyperlink xmlns:r="http://schemas.openxmlformats.org/officeDocument/2006/relationships" ref="L202" r:id="rId1098"/>
    <hyperlink xmlns:r="http://schemas.openxmlformats.org/officeDocument/2006/relationships" ref="F203" r:id="rId1099"/>
    <hyperlink xmlns:r="http://schemas.openxmlformats.org/officeDocument/2006/relationships" ref="G203" r:id="rId1100"/>
    <hyperlink xmlns:r="http://schemas.openxmlformats.org/officeDocument/2006/relationships" ref="H203" r:id="rId1101"/>
    <hyperlink xmlns:r="http://schemas.openxmlformats.org/officeDocument/2006/relationships" ref="J203" r:id="rId1102"/>
    <hyperlink xmlns:r="http://schemas.openxmlformats.org/officeDocument/2006/relationships" ref="K203" r:id="rId1103"/>
    <hyperlink xmlns:r="http://schemas.openxmlformats.org/officeDocument/2006/relationships" ref="L203" r:id="rId1104"/>
    <hyperlink xmlns:r="http://schemas.openxmlformats.org/officeDocument/2006/relationships" ref="F204" r:id="rId1105"/>
    <hyperlink xmlns:r="http://schemas.openxmlformats.org/officeDocument/2006/relationships" ref="G204" r:id="rId1106"/>
    <hyperlink xmlns:r="http://schemas.openxmlformats.org/officeDocument/2006/relationships" ref="H204" r:id="rId1107"/>
    <hyperlink xmlns:r="http://schemas.openxmlformats.org/officeDocument/2006/relationships" ref="J204" r:id="rId1108"/>
    <hyperlink xmlns:r="http://schemas.openxmlformats.org/officeDocument/2006/relationships" ref="K204" r:id="rId1109"/>
    <hyperlink xmlns:r="http://schemas.openxmlformats.org/officeDocument/2006/relationships" ref="L204" r:id="rId1110"/>
    <hyperlink xmlns:r="http://schemas.openxmlformats.org/officeDocument/2006/relationships" ref="F205" r:id="rId1111"/>
    <hyperlink xmlns:r="http://schemas.openxmlformats.org/officeDocument/2006/relationships" ref="G205" r:id="rId1112"/>
    <hyperlink xmlns:r="http://schemas.openxmlformats.org/officeDocument/2006/relationships" ref="H205" r:id="rId1113"/>
    <hyperlink xmlns:r="http://schemas.openxmlformats.org/officeDocument/2006/relationships" ref="J205" r:id="rId1114"/>
    <hyperlink xmlns:r="http://schemas.openxmlformats.org/officeDocument/2006/relationships" ref="K205" r:id="rId1115"/>
    <hyperlink xmlns:r="http://schemas.openxmlformats.org/officeDocument/2006/relationships" ref="L205" r:id="rId1116"/>
    <hyperlink xmlns:r="http://schemas.openxmlformats.org/officeDocument/2006/relationships" ref="F207" r:id="rId1117"/>
    <hyperlink xmlns:r="http://schemas.openxmlformats.org/officeDocument/2006/relationships" ref="G207" r:id="rId1118"/>
    <hyperlink xmlns:r="http://schemas.openxmlformats.org/officeDocument/2006/relationships" ref="H207" r:id="rId1119"/>
    <hyperlink xmlns:r="http://schemas.openxmlformats.org/officeDocument/2006/relationships" ref="J207" r:id="rId1120"/>
    <hyperlink xmlns:r="http://schemas.openxmlformats.org/officeDocument/2006/relationships" ref="K207" r:id="rId1121"/>
    <hyperlink xmlns:r="http://schemas.openxmlformats.org/officeDocument/2006/relationships" ref="L207" r:id="rId1122"/>
    <hyperlink xmlns:r="http://schemas.openxmlformats.org/officeDocument/2006/relationships" ref="F208" r:id="rId1123"/>
    <hyperlink xmlns:r="http://schemas.openxmlformats.org/officeDocument/2006/relationships" ref="G208" r:id="rId1124"/>
    <hyperlink xmlns:r="http://schemas.openxmlformats.org/officeDocument/2006/relationships" ref="H208" r:id="rId1125"/>
    <hyperlink xmlns:r="http://schemas.openxmlformats.org/officeDocument/2006/relationships" ref="J208" r:id="rId1126"/>
    <hyperlink xmlns:r="http://schemas.openxmlformats.org/officeDocument/2006/relationships" ref="K208" r:id="rId1127"/>
    <hyperlink xmlns:r="http://schemas.openxmlformats.org/officeDocument/2006/relationships" ref="L208" r:id="rId1128"/>
    <hyperlink xmlns:r="http://schemas.openxmlformats.org/officeDocument/2006/relationships" ref="F209" r:id="rId1129"/>
    <hyperlink xmlns:r="http://schemas.openxmlformats.org/officeDocument/2006/relationships" ref="G209" r:id="rId1130"/>
    <hyperlink xmlns:r="http://schemas.openxmlformats.org/officeDocument/2006/relationships" ref="H209" r:id="rId1131"/>
    <hyperlink xmlns:r="http://schemas.openxmlformats.org/officeDocument/2006/relationships" ref="J209" r:id="rId1132"/>
    <hyperlink xmlns:r="http://schemas.openxmlformats.org/officeDocument/2006/relationships" ref="K209" r:id="rId1133"/>
    <hyperlink xmlns:r="http://schemas.openxmlformats.org/officeDocument/2006/relationships" ref="L209" r:id="rId1134"/>
    <hyperlink xmlns:r="http://schemas.openxmlformats.org/officeDocument/2006/relationships" ref="F210" r:id="rId1135"/>
    <hyperlink xmlns:r="http://schemas.openxmlformats.org/officeDocument/2006/relationships" ref="G210" r:id="rId1136"/>
    <hyperlink xmlns:r="http://schemas.openxmlformats.org/officeDocument/2006/relationships" ref="H210" r:id="rId1137"/>
    <hyperlink xmlns:r="http://schemas.openxmlformats.org/officeDocument/2006/relationships" ref="J210" r:id="rId1138"/>
    <hyperlink xmlns:r="http://schemas.openxmlformats.org/officeDocument/2006/relationships" ref="K210" r:id="rId1139"/>
    <hyperlink xmlns:r="http://schemas.openxmlformats.org/officeDocument/2006/relationships" ref="L210" r:id="rId1140"/>
    <hyperlink xmlns:r="http://schemas.openxmlformats.org/officeDocument/2006/relationships" ref="F211" r:id="rId1141"/>
    <hyperlink xmlns:r="http://schemas.openxmlformats.org/officeDocument/2006/relationships" ref="G211" r:id="rId1142"/>
    <hyperlink xmlns:r="http://schemas.openxmlformats.org/officeDocument/2006/relationships" ref="H211" r:id="rId1143"/>
    <hyperlink xmlns:r="http://schemas.openxmlformats.org/officeDocument/2006/relationships" ref="J211" r:id="rId1144"/>
    <hyperlink xmlns:r="http://schemas.openxmlformats.org/officeDocument/2006/relationships" ref="K211" r:id="rId1145"/>
    <hyperlink xmlns:r="http://schemas.openxmlformats.org/officeDocument/2006/relationships" ref="L211" r:id="rId1146"/>
    <hyperlink xmlns:r="http://schemas.openxmlformats.org/officeDocument/2006/relationships" ref="F212" r:id="rId1147"/>
    <hyperlink xmlns:r="http://schemas.openxmlformats.org/officeDocument/2006/relationships" ref="G212" r:id="rId1148"/>
    <hyperlink xmlns:r="http://schemas.openxmlformats.org/officeDocument/2006/relationships" ref="H212" r:id="rId1149"/>
    <hyperlink xmlns:r="http://schemas.openxmlformats.org/officeDocument/2006/relationships" ref="J212" r:id="rId1150"/>
    <hyperlink xmlns:r="http://schemas.openxmlformats.org/officeDocument/2006/relationships" ref="K212" r:id="rId1151"/>
    <hyperlink xmlns:r="http://schemas.openxmlformats.org/officeDocument/2006/relationships" ref="L212" r:id="rId1152"/>
    <hyperlink xmlns:r="http://schemas.openxmlformats.org/officeDocument/2006/relationships" ref="F214" r:id="rId1153"/>
    <hyperlink xmlns:r="http://schemas.openxmlformats.org/officeDocument/2006/relationships" ref="G214" r:id="rId1154"/>
    <hyperlink xmlns:r="http://schemas.openxmlformats.org/officeDocument/2006/relationships" ref="H214" r:id="rId1155"/>
    <hyperlink xmlns:r="http://schemas.openxmlformats.org/officeDocument/2006/relationships" ref="F216" r:id="rId1156"/>
    <hyperlink xmlns:r="http://schemas.openxmlformats.org/officeDocument/2006/relationships" ref="G216" r:id="rId1157"/>
    <hyperlink xmlns:r="http://schemas.openxmlformats.org/officeDocument/2006/relationships" ref="H216" r:id="rId1158"/>
    <hyperlink xmlns:r="http://schemas.openxmlformats.org/officeDocument/2006/relationships" ref="J216" r:id="rId1159"/>
    <hyperlink xmlns:r="http://schemas.openxmlformats.org/officeDocument/2006/relationships" ref="K216" r:id="rId1160"/>
    <hyperlink xmlns:r="http://schemas.openxmlformats.org/officeDocument/2006/relationships" ref="L216" r:id="rId1161"/>
    <hyperlink xmlns:r="http://schemas.openxmlformats.org/officeDocument/2006/relationships" ref="F217" r:id="rId1162"/>
    <hyperlink xmlns:r="http://schemas.openxmlformats.org/officeDocument/2006/relationships" ref="G217" r:id="rId1163"/>
    <hyperlink xmlns:r="http://schemas.openxmlformats.org/officeDocument/2006/relationships" ref="H217" r:id="rId1164"/>
    <hyperlink xmlns:r="http://schemas.openxmlformats.org/officeDocument/2006/relationships" ref="J217" r:id="rId1165"/>
    <hyperlink xmlns:r="http://schemas.openxmlformats.org/officeDocument/2006/relationships" ref="K217" r:id="rId1166"/>
    <hyperlink xmlns:r="http://schemas.openxmlformats.org/officeDocument/2006/relationships" ref="L217" r:id="rId1167"/>
    <hyperlink xmlns:r="http://schemas.openxmlformats.org/officeDocument/2006/relationships" ref="F218" r:id="rId1168"/>
    <hyperlink xmlns:r="http://schemas.openxmlformats.org/officeDocument/2006/relationships" ref="G218" r:id="rId1169"/>
    <hyperlink xmlns:r="http://schemas.openxmlformats.org/officeDocument/2006/relationships" ref="H218" r:id="rId1170"/>
    <hyperlink xmlns:r="http://schemas.openxmlformats.org/officeDocument/2006/relationships" ref="J218" r:id="rId1171"/>
    <hyperlink xmlns:r="http://schemas.openxmlformats.org/officeDocument/2006/relationships" ref="K218" r:id="rId1172"/>
    <hyperlink xmlns:r="http://schemas.openxmlformats.org/officeDocument/2006/relationships" ref="L218" r:id="rId1173"/>
    <hyperlink xmlns:r="http://schemas.openxmlformats.org/officeDocument/2006/relationships" ref="F219" r:id="rId1174"/>
    <hyperlink xmlns:r="http://schemas.openxmlformats.org/officeDocument/2006/relationships" ref="G219" r:id="rId1175"/>
    <hyperlink xmlns:r="http://schemas.openxmlformats.org/officeDocument/2006/relationships" ref="H219" r:id="rId1176"/>
    <hyperlink xmlns:r="http://schemas.openxmlformats.org/officeDocument/2006/relationships" ref="J219" r:id="rId1177"/>
    <hyperlink xmlns:r="http://schemas.openxmlformats.org/officeDocument/2006/relationships" ref="K219" r:id="rId1178"/>
    <hyperlink xmlns:r="http://schemas.openxmlformats.org/officeDocument/2006/relationships" ref="L219" r:id="rId1179"/>
    <hyperlink xmlns:r="http://schemas.openxmlformats.org/officeDocument/2006/relationships" ref="F220" r:id="rId1180"/>
    <hyperlink xmlns:r="http://schemas.openxmlformats.org/officeDocument/2006/relationships" ref="G220" r:id="rId1181"/>
    <hyperlink xmlns:r="http://schemas.openxmlformats.org/officeDocument/2006/relationships" ref="H220" r:id="rId1182"/>
    <hyperlink xmlns:r="http://schemas.openxmlformats.org/officeDocument/2006/relationships" ref="J220" r:id="rId1183"/>
    <hyperlink xmlns:r="http://schemas.openxmlformats.org/officeDocument/2006/relationships" ref="K220" r:id="rId1184"/>
    <hyperlink xmlns:r="http://schemas.openxmlformats.org/officeDocument/2006/relationships" ref="L220" r:id="rId1185"/>
    <hyperlink xmlns:r="http://schemas.openxmlformats.org/officeDocument/2006/relationships" ref="F221" r:id="rId1186"/>
    <hyperlink xmlns:r="http://schemas.openxmlformats.org/officeDocument/2006/relationships" ref="G221" r:id="rId1187"/>
    <hyperlink xmlns:r="http://schemas.openxmlformats.org/officeDocument/2006/relationships" ref="H221" r:id="rId1188"/>
    <hyperlink xmlns:r="http://schemas.openxmlformats.org/officeDocument/2006/relationships" ref="J221" r:id="rId1189"/>
    <hyperlink xmlns:r="http://schemas.openxmlformats.org/officeDocument/2006/relationships" ref="K221" r:id="rId1190"/>
    <hyperlink xmlns:r="http://schemas.openxmlformats.org/officeDocument/2006/relationships" ref="L221" r:id="rId1191"/>
    <hyperlink xmlns:r="http://schemas.openxmlformats.org/officeDocument/2006/relationships" ref="F222" r:id="rId1192"/>
    <hyperlink xmlns:r="http://schemas.openxmlformats.org/officeDocument/2006/relationships" ref="G222" r:id="rId1193"/>
    <hyperlink xmlns:r="http://schemas.openxmlformats.org/officeDocument/2006/relationships" ref="H222" r:id="rId1194"/>
    <hyperlink xmlns:r="http://schemas.openxmlformats.org/officeDocument/2006/relationships" ref="J222" r:id="rId1195"/>
    <hyperlink xmlns:r="http://schemas.openxmlformats.org/officeDocument/2006/relationships" ref="K222" r:id="rId1196"/>
    <hyperlink xmlns:r="http://schemas.openxmlformats.org/officeDocument/2006/relationships" ref="L222" r:id="rId1197"/>
    <hyperlink xmlns:r="http://schemas.openxmlformats.org/officeDocument/2006/relationships" ref="F223" r:id="rId1198"/>
    <hyperlink xmlns:r="http://schemas.openxmlformats.org/officeDocument/2006/relationships" ref="G223" r:id="rId1199"/>
    <hyperlink xmlns:r="http://schemas.openxmlformats.org/officeDocument/2006/relationships" ref="H223" r:id="rId1200"/>
    <hyperlink xmlns:r="http://schemas.openxmlformats.org/officeDocument/2006/relationships" ref="J223" r:id="rId1201"/>
    <hyperlink xmlns:r="http://schemas.openxmlformats.org/officeDocument/2006/relationships" ref="K223" r:id="rId1202"/>
    <hyperlink xmlns:r="http://schemas.openxmlformats.org/officeDocument/2006/relationships" ref="L223" r:id="rId1203"/>
    <hyperlink xmlns:r="http://schemas.openxmlformats.org/officeDocument/2006/relationships" ref="F224" r:id="rId1204"/>
    <hyperlink xmlns:r="http://schemas.openxmlformats.org/officeDocument/2006/relationships" ref="G224" r:id="rId1205"/>
    <hyperlink xmlns:r="http://schemas.openxmlformats.org/officeDocument/2006/relationships" ref="H224" r:id="rId1206"/>
    <hyperlink xmlns:r="http://schemas.openxmlformats.org/officeDocument/2006/relationships" ref="J224" r:id="rId1207"/>
    <hyperlink xmlns:r="http://schemas.openxmlformats.org/officeDocument/2006/relationships" ref="K224" r:id="rId1208"/>
    <hyperlink xmlns:r="http://schemas.openxmlformats.org/officeDocument/2006/relationships" ref="L224" r:id="rId1209"/>
    <hyperlink xmlns:r="http://schemas.openxmlformats.org/officeDocument/2006/relationships" ref="F225" r:id="rId1210"/>
    <hyperlink xmlns:r="http://schemas.openxmlformats.org/officeDocument/2006/relationships" ref="G225" r:id="rId1211"/>
    <hyperlink xmlns:r="http://schemas.openxmlformats.org/officeDocument/2006/relationships" ref="H225" r:id="rId1212"/>
    <hyperlink xmlns:r="http://schemas.openxmlformats.org/officeDocument/2006/relationships" ref="J225" r:id="rId1213"/>
    <hyperlink xmlns:r="http://schemas.openxmlformats.org/officeDocument/2006/relationships" ref="K225" r:id="rId1214"/>
    <hyperlink xmlns:r="http://schemas.openxmlformats.org/officeDocument/2006/relationships" ref="L225" r:id="rId1215"/>
    <hyperlink xmlns:r="http://schemas.openxmlformats.org/officeDocument/2006/relationships" ref="F226" r:id="rId1216"/>
    <hyperlink xmlns:r="http://schemas.openxmlformats.org/officeDocument/2006/relationships" ref="G226" r:id="rId1217"/>
    <hyperlink xmlns:r="http://schemas.openxmlformats.org/officeDocument/2006/relationships" ref="H226" r:id="rId1218"/>
    <hyperlink xmlns:r="http://schemas.openxmlformats.org/officeDocument/2006/relationships" ref="J226" r:id="rId1219"/>
    <hyperlink xmlns:r="http://schemas.openxmlformats.org/officeDocument/2006/relationships" ref="K226" r:id="rId1220"/>
    <hyperlink xmlns:r="http://schemas.openxmlformats.org/officeDocument/2006/relationships" ref="L226" r:id="rId1221"/>
    <hyperlink xmlns:r="http://schemas.openxmlformats.org/officeDocument/2006/relationships" ref="F227" r:id="rId1222"/>
    <hyperlink xmlns:r="http://schemas.openxmlformats.org/officeDocument/2006/relationships" ref="G227" r:id="rId1223"/>
    <hyperlink xmlns:r="http://schemas.openxmlformats.org/officeDocument/2006/relationships" ref="H227" r:id="rId1224"/>
    <hyperlink xmlns:r="http://schemas.openxmlformats.org/officeDocument/2006/relationships" ref="J227" r:id="rId1225"/>
    <hyperlink xmlns:r="http://schemas.openxmlformats.org/officeDocument/2006/relationships" ref="K227" r:id="rId1226"/>
    <hyperlink xmlns:r="http://schemas.openxmlformats.org/officeDocument/2006/relationships" ref="L227" r:id="rId1227"/>
    <hyperlink xmlns:r="http://schemas.openxmlformats.org/officeDocument/2006/relationships" ref="F228" r:id="rId1228"/>
    <hyperlink xmlns:r="http://schemas.openxmlformats.org/officeDocument/2006/relationships" ref="G228" r:id="rId1229"/>
    <hyperlink xmlns:r="http://schemas.openxmlformats.org/officeDocument/2006/relationships" ref="H228" r:id="rId1230"/>
    <hyperlink xmlns:r="http://schemas.openxmlformats.org/officeDocument/2006/relationships" ref="J228" r:id="rId1231"/>
    <hyperlink xmlns:r="http://schemas.openxmlformats.org/officeDocument/2006/relationships" ref="K228" r:id="rId1232"/>
    <hyperlink xmlns:r="http://schemas.openxmlformats.org/officeDocument/2006/relationships" ref="L228" r:id="rId1233"/>
    <hyperlink xmlns:r="http://schemas.openxmlformats.org/officeDocument/2006/relationships" ref="F229" r:id="rId1234"/>
    <hyperlink xmlns:r="http://schemas.openxmlformats.org/officeDocument/2006/relationships" ref="G229" r:id="rId1235"/>
    <hyperlink xmlns:r="http://schemas.openxmlformats.org/officeDocument/2006/relationships" ref="H229" r:id="rId1236"/>
    <hyperlink xmlns:r="http://schemas.openxmlformats.org/officeDocument/2006/relationships" ref="J229" r:id="rId1237"/>
    <hyperlink xmlns:r="http://schemas.openxmlformats.org/officeDocument/2006/relationships" ref="K229" r:id="rId1238"/>
    <hyperlink xmlns:r="http://schemas.openxmlformats.org/officeDocument/2006/relationships" ref="L229" r:id="rId1239"/>
    <hyperlink xmlns:r="http://schemas.openxmlformats.org/officeDocument/2006/relationships" ref="F230" r:id="rId1240"/>
    <hyperlink xmlns:r="http://schemas.openxmlformats.org/officeDocument/2006/relationships" ref="G230" r:id="rId1241"/>
    <hyperlink xmlns:r="http://schemas.openxmlformats.org/officeDocument/2006/relationships" ref="H230" r:id="rId1242"/>
    <hyperlink xmlns:r="http://schemas.openxmlformats.org/officeDocument/2006/relationships" ref="J230" r:id="rId1243"/>
    <hyperlink xmlns:r="http://schemas.openxmlformats.org/officeDocument/2006/relationships" ref="K230" r:id="rId1244"/>
    <hyperlink xmlns:r="http://schemas.openxmlformats.org/officeDocument/2006/relationships" ref="L230" r:id="rId1245"/>
    <hyperlink xmlns:r="http://schemas.openxmlformats.org/officeDocument/2006/relationships" ref="F232" r:id="rId1246"/>
    <hyperlink xmlns:r="http://schemas.openxmlformats.org/officeDocument/2006/relationships" ref="G232" r:id="rId1247"/>
    <hyperlink xmlns:r="http://schemas.openxmlformats.org/officeDocument/2006/relationships" ref="H232" r:id="rId1248"/>
    <hyperlink xmlns:r="http://schemas.openxmlformats.org/officeDocument/2006/relationships" ref="J232" r:id="rId1249"/>
    <hyperlink xmlns:r="http://schemas.openxmlformats.org/officeDocument/2006/relationships" ref="K232" r:id="rId1250"/>
    <hyperlink xmlns:r="http://schemas.openxmlformats.org/officeDocument/2006/relationships" ref="L232" r:id="rId1251"/>
    <hyperlink xmlns:r="http://schemas.openxmlformats.org/officeDocument/2006/relationships" ref="F233" r:id="rId1252"/>
    <hyperlink xmlns:r="http://schemas.openxmlformats.org/officeDocument/2006/relationships" ref="G233" r:id="rId1253"/>
    <hyperlink xmlns:r="http://schemas.openxmlformats.org/officeDocument/2006/relationships" ref="H233" r:id="rId1254"/>
    <hyperlink xmlns:r="http://schemas.openxmlformats.org/officeDocument/2006/relationships" ref="J233" r:id="rId1255"/>
    <hyperlink xmlns:r="http://schemas.openxmlformats.org/officeDocument/2006/relationships" ref="K233" r:id="rId1256"/>
    <hyperlink xmlns:r="http://schemas.openxmlformats.org/officeDocument/2006/relationships" ref="L233" r:id="rId1257"/>
    <hyperlink xmlns:r="http://schemas.openxmlformats.org/officeDocument/2006/relationships" ref="F234" r:id="rId1258"/>
    <hyperlink xmlns:r="http://schemas.openxmlformats.org/officeDocument/2006/relationships" ref="G234" r:id="rId1259"/>
    <hyperlink xmlns:r="http://schemas.openxmlformats.org/officeDocument/2006/relationships" ref="H234" r:id="rId1260"/>
    <hyperlink xmlns:r="http://schemas.openxmlformats.org/officeDocument/2006/relationships" ref="J234" r:id="rId1261"/>
    <hyperlink xmlns:r="http://schemas.openxmlformats.org/officeDocument/2006/relationships" ref="K234" r:id="rId1262"/>
    <hyperlink xmlns:r="http://schemas.openxmlformats.org/officeDocument/2006/relationships" ref="L234" r:id="rId1263"/>
    <hyperlink xmlns:r="http://schemas.openxmlformats.org/officeDocument/2006/relationships" ref="F235" r:id="rId1264"/>
    <hyperlink xmlns:r="http://schemas.openxmlformats.org/officeDocument/2006/relationships" ref="G235" r:id="rId1265"/>
    <hyperlink xmlns:r="http://schemas.openxmlformats.org/officeDocument/2006/relationships" ref="H235" r:id="rId1266"/>
    <hyperlink xmlns:r="http://schemas.openxmlformats.org/officeDocument/2006/relationships" ref="J235" r:id="rId1267"/>
    <hyperlink xmlns:r="http://schemas.openxmlformats.org/officeDocument/2006/relationships" ref="K235" r:id="rId1268"/>
    <hyperlink xmlns:r="http://schemas.openxmlformats.org/officeDocument/2006/relationships" ref="L235" r:id="rId1269"/>
    <hyperlink xmlns:r="http://schemas.openxmlformats.org/officeDocument/2006/relationships" ref="F236" r:id="rId1270"/>
    <hyperlink xmlns:r="http://schemas.openxmlformats.org/officeDocument/2006/relationships" ref="G236" r:id="rId1271"/>
    <hyperlink xmlns:r="http://schemas.openxmlformats.org/officeDocument/2006/relationships" ref="H236" r:id="rId1272"/>
    <hyperlink xmlns:r="http://schemas.openxmlformats.org/officeDocument/2006/relationships" ref="J236" r:id="rId1273"/>
    <hyperlink xmlns:r="http://schemas.openxmlformats.org/officeDocument/2006/relationships" ref="K236" r:id="rId1274"/>
    <hyperlink xmlns:r="http://schemas.openxmlformats.org/officeDocument/2006/relationships" ref="L236" r:id="rId1275"/>
    <hyperlink xmlns:r="http://schemas.openxmlformats.org/officeDocument/2006/relationships" ref="F237" r:id="rId1276"/>
    <hyperlink xmlns:r="http://schemas.openxmlformats.org/officeDocument/2006/relationships" ref="G237" r:id="rId1277"/>
    <hyperlink xmlns:r="http://schemas.openxmlformats.org/officeDocument/2006/relationships" ref="H237" r:id="rId1278"/>
    <hyperlink xmlns:r="http://schemas.openxmlformats.org/officeDocument/2006/relationships" ref="J237" r:id="rId1279"/>
    <hyperlink xmlns:r="http://schemas.openxmlformats.org/officeDocument/2006/relationships" ref="K237" r:id="rId1280"/>
    <hyperlink xmlns:r="http://schemas.openxmlformats.org/officeDocument/2006/relationships" ref="L237" r:id="rId1281"/>
    <hyperlink xmlns:r="http://schemas.openxmlformats.org/officeDocument/2006/relationships" ref="F238" r:id="rId1282"/>
    <hyperlink xmlns:r="http://schemas.openxmlformats.org/officeDocument/2006/relationships" ref="G238" r:id="rId1283"/>
    <hyperlink xmlns:r="http://schemas.openxmlformats.org/officeDocument/2006/relationships" ref="H238" r:id="rId1284"/>
    <hyperlink xmlns:r="http://schemas.openxmlformats.org/officeDocument/2006/relationships" ref="J238" r:id="rId1285"/>
    <hyperlink xmlns:r="http://schemas.openxmlformats.org/officeDocument/2006/relationships" ref="K238" r:id="rId1286"/>
    <hyperlink xmlns:r="http://schemas.openxmlformats.org/officeDocument/2006/relationships" ref="L238" r:id="rId1287"/>
    <hyperlink xmlns:r="http://schemas.openxmlformats.org/officeDocument/2006/relationships" ref="F239" r:id="rId1288"/>
    <hyperlink xmlns:r="http://schemas.openxmlformats.org/officeDocument/2006/relationships" ref="G239" r:id="rId1289"/>
    <hyperlink xmlns:r="http://schemas.openxmlformats.org/officeDocument/2006/relationships" ref="H239" r:id="rId1290"/>
    <hyperlink xmlns:r="http://schemas.openxmlformats.org/officeDocument/2006/relationships" ref="J239" r:id="rId1291"/>
    <hyperlink xmlns:r="http://schemas.openxmlformats.org/officeDocument/2006/relationships" ref="K239" r:id="rId1292"/>
    <hyperlink xmlns:r="http://schemas.openxmlformats.org/officeDocument/2006/relationships" ref="L239" r:id="rId1293"/>
    <hyperlink xmlns:r="http://schemas.openxmlformats.org/officeDocument/2006/relationships" ref="F240" r:id="rId1294"/>
    <hyperlink xmlns:r="http://schemas.openxmlformats.org/officeDocument/2006/relationships" ref="G240" r:id="rId1295"/>
    <hyperlink xmlns:r="http://schemas.openxmlformats.org/officeDocument/2006/relationships" ref="H240" r:id="rId1296"/>
    <hyperlink xmlns:r="http://schemas.openxmlformats.org/officeDocument/2006/relationships" ref="J240" r:id="rId1297"/>
    <hyperlink xmlns:r="http://schemas.openxmlformats.org/officeDocument/2006/relationships" ref="K240" r:id="rId1298"/>
    <hyperlink xmlns:r="http://schemas.openxmlformats.org/officeDocument/2006/relationships" ref="L240" r:id="rId1299"/>
    <hyperlink xmlns:r="http://schemas.openxmlformats.org/officeDocument/2006/relationships" ref="F241" r:id="rId1300"/>
    <hyperlink xmlns:r="http://schemas.openxmlformats.org/officeDocument/2006/relationships" ref="G241" r:id="rId1301"/>
    <hyperlink xmlns:r="http://schemas.openxmlformats.org/officeDocument/2006/relationships" ref="H241" r:id="rId1302"/>
    <hyperlink xmlns:r="http://schemas.openxmlformats.org/officeDocument/2006/relationships" ref="J241" r:id="rId1303"/>
    <hyperlink xmlns:r="http://schemas.openxmlformats.org/officeDocument/2006/relationships" ref="K241" r:id="rId1304"/>
    <hyperlink xmlns:r="http://schemas.openxmlformats.org/officeDocument/2006/relationships" ref="L241" r:id="rId1305"/>
    <hyperlink xmlns:r="http://schemas.openxmlformats.org/officeDocument/2006/relationships" ref="F242" r:id="rId1306"/>
    <hyperlink xmlns:r="http://schemas.openxmlformats.org/officeDocument/2006/relationships" ref="G242" r:id="rId1307"/>
    <hyperlink xmlns:r="http://schemas.openxmlformats.org/officeDocument/2006/relationships" ref="H242" r:id="rId1308"/>
    <hyperlink xmlns:r="http://schemas.openxmlformats.org/officeDocument/2006/relationships" ref="J242" r:id="rId1309"/>
    <hyperlink xmlns:r="http://schemas.openxmlformats.org/officeDocument/2006/relationships" ref="K242" r:id="rId1310"/>
    <hyperlink xmlns:r="http://schemas.openxmlformats.org/officeDocument/2006/relationships" ref="L242" r:id="rId1311"/>
    <hyperlink xmlns:r="http://schemas.openxmlformats.org/officeDocument/2006/relationships" ref="F243" r:id="rId1312"/>
    <hyperlink xmlns:r="http://schemas.openxmlformats.org/officeDocument/2006/relationships" ref="G243" r:id="rId1313"/>
    <hyperlink xmlns:r="http://schemas.openxmlformats.org/officeDocument/2006/relationships" ref="H243" r:id="rId1314"/>
    <hyperlink xmlns:r="http://schemas.openxmlformats.org/officeDocument/2006/relationships" ref="J243" r:id="rId1315"/>
    <hyperlink xmlns:r="http://schemas.openxmlformats.org/officeDocument/2006/relationships" ref="K243" r:id="rId1316"/>
    <hyperlink xmlns:r="http://schemas.openxmlformats.org/officeDocument/2006/relationships" ref="L243" r:id="rId1317"/>
    <hyperlink xmlns:r="http://schemas.openxmlformats.org/officeDocument/2006/relationships" ref="F244" r:id="rId1318"/>
    <hyperlink xmlns:r="http://schemas.openxmlformats.org/officeDocument/2006/relationships" ref="G244" r:id="rId1319"/>
    <hyperlink xmlns:r="http://schemas.openxmlformats.org/officeDocument/2006/relationships" ref="H244" r:id="rId1320"/>
    <hyperlink xmlns:r="http://schemas.openxmlformats.org/officeDocument/2006/relationships" ref="J244" r:id="rId1321"/>
    <hyperlink xmlns:r="http://schemas.openxmlformats.org/officeDocument/2006/relationships" ref="K244" r:id="rId1322"/>
    <hyperlink xmlns:r="http://schemas.openxmlformats.org/officeDocument/2006/relationships" ref="L244" r:id="rId1323"/>
    <hyperlink xmlns:r="http://schemas.openxmlformats.org/officeDocument/2006/relationships" ref="F246" r:id="rId1324"/>
    <hyperlink xmlns:r="http://schemas.openxmlformats.org/officeDocument/2006/relationships" ref="G246" r:id="rId1325"/>
    <hyperlink xmlns:r="http://schemas.openxmlformats.org/officeDocument/2006/relationships" ref="H246" r:id="rId1326"/>
    <hyperlink xmlns:r="http://schemas.openxmlformats.org/officeDocument/2006/relationships" ref="J246" r:id="rId1327"/>
    <hyperlink xmlns:r="http://schemas.openxmlformats.org/officeDocument/2006/relationships" ref="K246" r:id="rId1328"/>
    <hyperlink xmlns:r="http://schemas.openxmlformats.org/officeDocument/2006/relationships" ref="L246" r:id="rId1329"/>
    <hyperlink xmlns:r="http://schemas.openxmlformats.org/officeDocument/2006/relationships" ref="F247" r:id="rId1330"/>
    <hyperlink xmlns:r="http://schemas.openxmlformats.org/officeDocument/2006/relationships" ref="G247" r:id="rId1331"/>
    <hyperlink xmlns:r="http://schemas.openxmlformats.org/officeDocument/2006/relationships" ref="H247" r:id="rId1332"/>
    <hyperlink xmlns:r="http://schemas.openxmlformats.org/officeDocument/2006/relationships" ref="J247" r:id="rId1333"/>
    <hyperlink xmlns:r="http://schemas.openxmlformats.org/officeDocument/2006/relationships" ref="K247" r:id="rId1334"/>
    <hyperlink xmlns:r="http://schemas.openxmlformats.org/officeDocument/2006/relationships" ref="L247" r:id="rId1335"/>
    <hyperlink xmlns:r="http://schemas.openxmlformats.org/officeDocument/2006/relationships" ref="F248" r:id="rId1336"/>
    <hyperlink xmlns:r="http://schemas.openxmlformats.org/officeDocument/2006/relationships" ref="G248" r:id="rId1337"/>
    <hyperlink xmlns:r="http://schemas.openxmlformats.org/officeDocument/2006/relationships" ref="H248" r:id="rId1338"/>
    <hyperlink xmlns:r="http://schemas.openxmlformats.org/officeDocument/2006/relationships" ref="J248" r:id="rId1339"/>
    <hyperlink xmlns:r="http://schemas.openxmlformats.org/officeDocument/2006/relationships" ref="K248" r:id="rId1340"/>
    <hyperlink xmlns:r="http://schemas.openxmlformats.org/officeDocument/2006/relationships" ref="L248" r:id="rId1341"/>
    <hyperlink xmlns:r="http://schemas.openxmlformats.org/officeDocument/2006/relationships" ref="F249" r:id="rId1342"/>
    <hyperlink xmlns:r="http://schemas.openxmlformats.org/officeDocument/2006/relationships" ref="G249" r:id="rId1343"/>
    <hyperlink xmlns:r="http://schemas.openxmlformats.org/officeDocument/2006/relationships" ref="H249" r:id="rId1344"/>
    <hyperlink xmlns:r="http://schemas.openxmlformats.org/officeDocument/2006/relationships" ref="J249" r:id="rId1345"/>
    <hyperlink xmlns:r="http://schemas.openxmlformats.org/officeDocument/2006/relationships" ref="K249" r:id="rId1346"/>
    <hyperlink xmlns:r="http://schemas.openxmlformats.org/officeDocument/2006/relationships" ref="L249" r:id="rId1347"/>
    <hyperlink xmlns:r="http://schemas.openxmlformats.org/officeDocument/2006/relationships" ref="F250" r:id="rId1348"/>
    <hyperlink xmlns:r="http://schemas.openxmlformats.org/officeDocument/2006/relationships" ref="G250" r:id="rId1349"/>
    <hyperlink xmlns:r="http://schemas.openxmlformats.org/officeDocument/2006/relationships" ref="H250" r:id="rId1350"/>
    <hyperlink xmlns:r="http://schemas.openxmlformats.org/officeDocument/2006/relationships" ref="J250" r:id="rId1351"/>
    <hyperlink xmlns:r="http://schemas.openxmlformats.org/officeDocument/2006/relationships" ref="K250" r:id="rId1352"/>
    <hyperlink xmlns:r="http://schemas.openxmlformats.org/officeDocument/2006/relationships" ref="L250" r:id="rId1353"/>
    <hyperlink xmlns:r="http://schemas.openxmlformats.org/officeDocument/2006/relationships" ref="F251" r:id="rId1354"/>
    <hyperlink xmlns:r="http://schemas.openxmlformats.org/officeDocument/2006/relationships" ref="G251" r:id="rId1355"/>
    <hyperlink xmlns:r="http://schemas.openxmlformats.org/officeDocument/2006/relationships" ref="H251" r:id="rId1356"/>
    <hyperlink xmlns:r="http://schemas.openxmlformats.org/officeDocument/2006/relationships" ref="J251" r:id="rId1357"/>
    <hyperlink xmlns:r="http://schemas.openxmlformats.org/officeDocument/2006/relationships" ref="K251" r:id="rId1358"/>
    <hyperlink xmlns:r="http://schemas.openxmlformats.org/officeDocument/2006/relationships" ref="L251" r:id="rId1359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30" customWidth="1" min="3" max="3"/>
    <col width="15" customWidth="1" min="4" max="4"/>
    <col width="16" customWidth="1" min="5" max="5"/>
    <col width="9" customWidth="1" min="6" max="6"/>
    <col width="10" customWidth="1" min="7" max="7"/>
    <col width="9" customWidth="1" min="8" max="8"/>
  </cols>
  <sheetData>
    <row r="1" ht="20.25" customHeight="1">
      <c r="A1" s="1" t="inlineStr">
        <is>
          <t>Summary</t>
        </is>
      </c>
    </row>
    <row r="2">
      <c r="A2" s="2" t="inlineStr">
        <is>
          <t>Fills in automatically as the RAG tracker is completed. Yellow cells can be changed.</t>
        </is>
      </c>
    </row>
    <row r="4">
      <c r="A4" s="9" t="inlineStr">
        <is>
          <t>Rating</t>
        </is>
      </c>
      <c r="B4" s="9" t="inlineStr">
        <is>
          <t>Topics</t>
        </is>
      </c>
      <c r="C4" s="9" t="inlineStr">
        <is>
          <t>Rough workload</t>
        </is>
      </c>
      <c r="D4" s="9" t="inlineStr">
        <is>
          <t>Questions each</t>
        </is>
      </c>
      <c r="E4" s="9" t="inlineStr">
        <is>
          <t>Questions total</t>
        </is>
      </c>
    </row>
    <row r="5">
      <c r="A5" s="23" t="inlineStr">
        <is>
          <t>R</t>
        </is>
      </c>
      <c r="B5" s="10">
        <f>COUNTIFS('RAG tracker'!$D$2:$D$251,$A5,'RAG tracker'!$B$2:$B$251,"&gt;0")</f>
        <v/>
      </c>
      <c r="C5" s="10" t="inlineStr">
        <is>
          <t>Full worksheet, taught first</t>
        </is>
      </c>
      <c r="D5" s="24" t="n">
        <v>10</v>
      </c>
      <c r="E5" s="10">
        <f>$B5*$D5</f>
        <v/>
      </c>
    </row>
    <row r="6">
      <c r="A6" s="25" t="inlineStr">
        <is>
          <t>A</t>
        </is>
      </c>
      <c r="B6" s="10">
        <f>COUNTIFS('RAG tracker'!$D$2:$D$251,$A6,'RAG tracker'!$B$2:$B$251,"&gt;0")</f>
        <v/>
      </c>
      <c r="C6" s="10" t="inlineStr">
        <is>
          <t>Work until 3 right in a row</t>
        </is>
      </c>
      <c r="D6" s="24" t="n">
        <v>5</v>
      </c>
      <c r="E6" s="10">
        <f>$B6*$D6</f>
        <v/>
      </c>
    </row>
    <row r="7">
      <c r="A7" s="26" t="inlineStr">
        <is>
          <t>G</t>
        </is>
      </c>
      <c r="B7" s="10">
        <f>COUNTIFS('RAG tracker'!$D$2:$D$251,$A7,'RAG tracker'!$B$2:$B$251,"&gt;0")</f>
        <v/>
      </c>
      <c r="C7" s="10" t="inlineStr">
        <is>
          <t>2 question spot check</t>
        </is>
      </c>
      <c r="D7" s="24" t="n">
        <v>2</v>
      </c>
      <c r="E7" s="10">
        <f>$B7*$D7</f>
        <v/>
      </c>
    </row>
    <row r="8">
      <c r="A8" s="10" t="inlineStr">
        <is>
          <t>Not yet rated</t>
        </is>
      </c>
      <c r="B8" s="10">
        <f>COUNTIFS('RAG tracker'!$D$2:$D$251,"",'RAG tracker'!$B$2:$B$251,"&gt;0")</f>
        <v/>
      </c>
      <c r="C8" s="10" t="inlineStr">
        <is>
          <t>Rows still to fill in</t>
        </is>
      </c>
      <c r="D8" s="10" t="n"/>
      <c r="E8" s="10" t="n"/>
    </row>
    <row r="9">
      <c r="A9" s="27" t="inlineStr">
        <is>
          <t>Total</t>
        </is>
      </c>
      <c r="B9" s="27">
        <f>SUM(B5:B8)</f>
        <v/>
      </c>
      <c r="C9" s="27" t="inlineStr">
        <is>
          <t>Topics in the specification</t>
        </is>
      </c>
      <c r="D9" s="27" t="n"/>
      <c r="E9" s="27" t="n"/>
    </row>
    <row r="11">
      <c r="C11" s="28" t="inlineStr">
        <is>
          <t>Total questions</t>
        </is>
      </c>
      <c r="D11" s="29" t="n"/>
      <c r="E11" s="28">
        <f>SUM(E5:E7)</f>
        <v/>
      </c>
    </row>
    <row r="12">
      <c r="C12" t="inlineStr">
        <is>
          <t>Minutes per question (A Level)</t>
        </is>
      </c>
      <c r="E12" s="30" t="n">
        <v>6</v>
      </c>
    </row>
    <row r="13">
      <c r="C13" t="inlineStr">
        <is>
          <t>Hours of practice needed</t>
        </is>
      </c>
      <c r="E13">
        <f>ROUND($E11*$E12/60,1)</f>
        <v/>
      </c>
    </row>
    <row r="14">
      <c r="C14" t="inlineStr">
        <is>
          <t>Rated topics that are Green</t>
        </is>
      </c>
      <c r="E14" s="31">
        <f>IFERROR(B7/(B9-B8),0)</f>
        <v/>
      </c>
    </row>
    <row r="15">
      <c r="C15" t="inlineStr">
        <is>
          <t>Specification rated so far</t>
        </is>
      </c>
      <c r="E15" s="31">
        <f>IFERROR((B9-B8)/B9,0)</f>
        <v/>
      </c>
    </row>
    <row r="17">
      <c r="A17" s="8" t="inlineStr">
        <is>
          <t>By year</t>
        </is>
      </c>
    </row>
    <row r="18">
      <c r="A18" s="9" t="inlineStr"/>
      <c r="B18" s="9" t="inlineStr">
        <is>
          <t>Paper</t>
        </is>
      </c>
      <c r="C18" s="9" t="inlineStr">
        <is>
          <t>Topics</t>
        </is>
      </c>
      <c r="D18" s="9" t="inlineStr">
        <is>
          <t>Red</t>
        </is>
      </c>
      <c r="E18" s="9" t="inlineStr">
        <is>
          <t>Amber</t>
        </is>
      </c>
      <c r="F18" s="9" t="inlineStr">
        <is>
          <t>Green</t>
        </is>
      </c>
      <c r="G18" s="9" t="inlineStr">
        <is>
          <t>Not rated</t>
        </is>
      </c>
      <c r="H18" s="9" t="inlineStr">
        <is>
          <t>% Green</t>
        </is>
      </c>
    </row>
    <row r="19">
      <c r="A19" s="10" t="inlineStr">
        <is>
          <t>Year 1 (AS content)</t>
        </is>
      </c>
      <c r="B19" s="10" t="inlineStr">
        <is>
          <t>All</t>
        </is>
      </c>
      <c r="C19" s="10">
        <f>COUNTIFS('RAG tracker'!$B$2:$B$251,1)</f>
        <v/>
      </c>
      <c r="D19" s="10">
        <f>COUNTIFS('RAG tracker'!$B$2:$B$251,1,'RAG tracker'!$D$2:$D$251,"R")</f>
        <v/>
      </c>
      <c r="E19" s="10">
        <f>COUNTIFS('RAG tracker'!$B$2:$B$251,1,'RAG tracker'!$D$2:$D$251,"A")</f>
        <v/>
      </c>
      <c r="F19" s="10">
        <f>COUNTIFS('RAG tracker'!$B$2:$B$251,1,'RAG tracker'!$D$2:$D$251,"G")</f>
        <v/>
      </c>
      <c r="G19" s="10">
        <f>COUNTIFS('RAG tracker'!$B$2:$B$251,1,'RAG tracker'!$D$2:$D$251,"")</f>
        <v/>
      </c>
      <c r="H19" s="32">
        <f>IFERROR(F19/C19,0)</f>
        <v/>
      </c>
    </row>
    <row r="20">
      <c r="A20" s="10" t="inlineStr">
        <is>
          <t>Year 2</t>
        </is>
      </c>
      <c r="B20" s="10" t="inlineStr">
        <is>
          <t>All</t>
        </is>
      </c>
      <c r="C20" s="10">
        <f>COUNTIFS('RAG tracker'!$B$2:$B$251,2)</f>
        <v/>
      </c>
      <c r="D20" s="10">
        <f>COUNTIFS('RAG tracker'!$B$2:$B$251,2,'RAG tracker'!$D$2:$D$251,"R")</f>
        <v/>
      </c>
      <c r="E20" s="10">
        <f>COUNTIFS('RAG tracker'!$B$2:$B$251,2,'RAG tracker'!$D$2:$D$251,"A")</f>
        <v/>
      </c>
      <c r="F20" s="10">
        <f>COUNTIFS('RAG tracker'!$B$2:$B$251,2,'RAG tracker'!$D$2:$D$251,"G")</f>
        <v/>
      </c>
      <c r="G20" s="10">
        <f>COUNTIFS('RAG tracker'!$B$2:$B$251,2,'RAG tracker'!$D$2:$D$251,"")</f>
        <v/>
      </c>
      <c r="H20" s="32">
        <f>IFERROR(F20/C20,0)</f>
        <v/>
      </c>
    </row>
    <row r="21">
      <c r="A21" s="33" t="inlineStr">
        <is>
          <t>Total</t>
        </is>
      </c>
      <c r="B21" s="33" t="n"/>
      <c r="C21" s="33">
        <f>SUM(C19:C20)</f>
        <v/>
      </c>
      <c r="D21" s="33">
        <f>SUM(D19:D20)</f>
        <v/>
      </c>
      <c r="E21" s="33">
        <f>SUM(E19:E20)</f>
        <v/>
      </c>
      <c r="F21" s="33">
        <f>SUM(F19:F20)</f>
        <v/>
      </c>
      <c r="G21" s="33">
        <f>SUM(G19:G20)</f>
        <v/>
      </c>
      <c r="H21" s="34">
        <f>IFERROR(F21/C21,0)</f>
        <v/>
      </c>
    </row>
    <row r="23">
      <c r="A23" s="8" t="inlineStr">
        <is>
          <t>By paper</t>
        </is>
      </c>
    </row>
    <row r="24">
      <c r="A24" s="9" t="inlineStr"/>
      <c r="B24" s="9" t="inlineStr">
        <is>
          <t>Paper</t>
        </is>
      </c>
      <c r="C24" s="9" t="inlineStr">
        <is>
          <t>Topics</t>
        </is>
      </c>
      <c r="D24" s="9" t="inlineStr">
        <is>
          <t>Red</t>
        </is>
      </c>
      <c r="E24" s="9" t="inlineStr">
        <is>
          <t>Amber</t>
        </is>
      </c>
      <c r="F24" s="9" t="inlineStr">
        <is>
          <t>Green</t>
        </is>
      </c>
      <c r="G24" s="9" t="inlineStr">
        <is>
          <t>Not rated</t>
        </is>
      </c>
      <c r="H24" s="9" t="inlineStr">
        <is>
          <t>% Green</t>
        </is>
      </c>
    </row>
    <row r="25">
      <c r="A25" s="10" t="inlineStr">
        <is>
          <t>Pure</t>
        </is>
      </c>
      <c r="B25" s="10" t="inlineStr">
        <is>
          <t>Paper 1 &amp; 2</t>
        </is>
      </c>
      <c r="C25" s="10">
        <f>COUNTIFS('RAG tracker'!$N$2:$N$251,"Pure")</f>
        <v/>
      </c>
      <c r="D25" s="10">
        <f>COUNTIFS('RAG tracker'!$N$2:$N$251,"Pure",'RAG tracker'!$D$2:$D$251,"R")</f>
        <v/>
      </c>
      <c r="E25" s="10">
        <f>COUNTIFS('RAG tracker'!$N$2:$N$251,"Pure",'RAG tracker'!$D$2:$D$251,"A")</f>
        <v/>
      </c>
      <c r="F25" s="10">
        <f>COUNTIFS('RAG tracker'!$N$2:$N$251,"Pure",'RAG tracker'!$D$2:$D$251,"G")</f>
        <v/>
      </c>
      <c r="G25" s="10">
        <f>COUNTIFS('RAG tracker'!$N$2:$N$251,"Pure",'RAG tracker'!$D$2:$D$251,"")</f>
        <v/>
      </c>
      <c r="H25" s="32">
        <f>IFERROR(F25/C25,0)</f>
        <v/>
      </c>
    </row>
    <row r="26">
      <c r="A26" s="10" t="inlineStr">
        <is>
          <t>Statistics</t>
        </is>
      </c>
      <c r="B26" s="10" t="inlineStr">
        <is>
          <t>Paper 3</t>
        </is>
      </c>
      <c r="C26" s="10">
        <f>COUNTIFS('RAG tracker'!$N$2:$N$251,"Statistics")</f>
        <v/>
      </c>
      <c r="D26" s="10">
        <f>COUNTIFS('RAG tracker'!$N$2:$N$251,"Statistics",'RAG tracker'!$D$2:$D$251,"R")</f>
        <v/>
      </c>
      <c r="E26" s="10">
        <f>COUNTIFS('RAG tracker'!$N$2:$N$251,"Statistics",'RAG tracker'!$D$2:$D$251,"A")</f>
        <v/>
      </c>
      <c r="F26" s="10">
        <f>COUNTIFS('RAG tracker'!$N$2:$N$251,"Statistics",'RAG tracker'!$D$2:$D$251,"G")</f>
        <v/>
      </c>
      <c r="G26" s="10">
        <f>COUNTIFS('RAG tracker'!$N$2:$N$251,"Statistics",'RAG tracker'!$D$2:$D$251,"")</f>
        <v/>
      </c>
      <c r="H26" s="32">
        <f>IFERROR(F26/C26,0)</f>
        <v/>
      </c>
    </row>
    <row r="27">
      <c r="A27" s="10" t="inlineStr">
        <is>
          <t>Mechanics</t>
        </is>
      </c>
      <c r="B27" s="10" t="inlineStr">
        <is>
          <t>Paper 3</t>
        </is>
      </c>
      <c r="C27" s="10">
        <f>COUNTIFS('RAG tracker'!$N$2:$N$251,"Mechanics")</f>
        <v/>
      </c>
      <c r="D27" s="10">
        <f>COUNTIFS('RAG tracker'!$N$2:$N$251,"Mechanics",'RAG tracker'!$D$2:$D$251,"R")</f>
        <v/>
      </c>
      <c r="E27" s="10">
        <f>COUNTIFS('RAG tracker'!$N$2:$N$251,"Mechanics",'RAG tracker'!$D$2:$D$251,"A")</f>
        <v/>
      </c>
      <c r="F27" s="10">
        <f>COUNTIFS('RAG tracker'!$N$2:$N$251,"Mechanics",'RAG tracker'!$D$2:$D$251,"G")</f>
        <v/>
      </c>
      <c r="G27" s="10">
        <f>COUNTIFS('RAG tracker'!$N$2:$N$251,"Mechanics",'RAG tracker'!$D$2:$D$251,"")</f>
        <v/>
      </c>
      <c r="H27" s="32">
        <f>IFERROR(F27/C27,0)</f>
        <v/>
      </c>
    </row>
    <row r="28">
      <c r="A28" s="33" t="inlineStr">
        <is>
          <t>Total</t>
        </is>
      </c>
      <c r="B28" s="33" t="n"/>
      <c r="C28" s="33">
        <f>SUM(C25:C27)</f>
        <v/>
      </c>
      <c r="D28" s="33">
        <f>SUM(D25:D27)</f>
        <v/>
      </c>
      <c r="E28" s="33">
        <f>SUM(E25:E27)</f>
        <v/>
      </c>
      <c r="F28" s="33">
        <f>SUM(F25:F27)</f>
        <v/>
      </c>
      <c r="G28" s="33">
        <f>SUM(G25:G27)</f>
        <v/>
      </c>
      <c r="H28" s="34">
        <f>IFERROR(F28/C28,0)</f>
        <v/>
      </c>
    </row>
    <row r="30">
      <c r="A30" s="8" t="inlineStr">
        <is>
          <t>By specification section</t>
        </is>
      </c>
    </row>
    <row r="31">
      <c r="A31" s="9" t="inlineStr"/>
      <c r="B31" s="9" t="inlineStr">
        <is>
          <t>Paper</t>
        </is>
      </c>
      <c r="C31" s="9" t="inlineStr">
        <is>
          <t>Topics</t>
        </is>
      </c>
      <c r="D31" s="9" t="inlineStr">
        <is>
          <t>Red</t>
        </is>
      </c>
      <c r="E31" s="9" t="inlineStr">
        <is>
          <t>Amber</t>
        </is>
      </c>
      <c r="F31" s="9" t="inlineStr">
        <is>
          <t>Green</t>
        </is>
      </c>
      <c r="G31" s="9" t="inlineStr">
        <is>
          <t>Not rated</t>
        </is>
      </c>
      <c r="H31" s="9" t="inlineStr">
        <is>
          <t>% Green</t>
        </is>
      </c>
    </row>
    <row r="32">
      <c r="A32" s="10" t="inlineStr">
        <is>
          <t>Pure 1: Proof</t>
        </is>
      </c>
      <c r="B32" s="10" t="inlineStr">
        <is>
          <t>Paper 1 &amp; 2</t>
        </is>
      </c>
      <c r="C32" s="10">
        <f>COUNTIFS('RAG tracker'!$M$2:$M$251,"P1")</f>
        <v/>
      </c>
      <c r="D32" s="10">
        <f>COUNTIFS('RAG tracker'!$M$2:$M$251,"P1",'RAG tracker'!$D$2:$D$251,"R")</f>
        <v/>
      </c>
      <c r="E32" s="10">
        <f>COUNTIFS('RAG tracker'!$M$2:$M$251,"P1",'RAG tracker'!$D$2:$D$251,"A")</f>
        <v/>
      </c>
      <c r="F32" s="10">
        <f>COUNTIFS('RAG tracker'!$M$2:$M$251,"P1",'RAG tracker'!$D$2:$D$251,"G")</f>
        <v/>
      </c>
      <c r="G32" s="10">
        <f>COUNTIFS('RAG tracker'!$M$2:$M$251,"P1",'RAG tracker'!$D$2:$D$251,"")</f>
        <v/>
      </c>
      <c r="H32" s="32">
        <f>IFERROR(F32/C32,0)</f>
        <v/>
      </c>
    </row>
    <row r="33">
      <c r="A33" s="10" t="inlineStr">
        <is>
          <t>Pure 2: Algebra and functions</t>
        </is>
      </c>
      <c r="B33" s="10" t="inlineStr">
        <is>
          <t>Paper 1 &amp; 2</t>
        </is>
      </c>
      <c r="C33" s="10">
        <f>COUNTIFS('RAG tracker'!$M$2:$M$251,"P2")</f>
        <v/>
      </c>
      <c r="D33" s="10">
        <f>COUNTIFS('RAG tracker'!$M$2:$M$251,"P2",'RAG tracker'!$D$2:$D$251,"R")</f>
        <v/>
      </c>
      <c r="E33" s="10">
        <f>COUNTIFS('RAG tracker'!$M$2:$M$251,"P2",'RAG tracker'!$D$2:$D$251,"A")</f>
        <v/>
      </c>
      <c r="F33" s="10">
        <f>COUNTIFS('RAG tracker'!$M$2:$M$251,"P2",'RAG tracker'!$D$2:$D$251,"G")</f>
        <v/>
      </c>
      <c r="G33" s="10">
        <f>COUNTIFS('RAG tracker'!$M$2:$M$251,"P2",'RAG tracker'!$D$2:$D$251,"")</f>
        <v/>
      </c>
      <c r="H33" s="32">
        <f>IFERROR(F33/C33,0)</f>
        <v/>
      </c>
    </row>
    <row r="34">
      <c r="A34" s="10" t="inlineStr">
        <is>
          <t>Pure 3: Coordinate geometry in the (x, y) plane</t>
        </is>
      </c>
      <c r="B34" s="10" t="inlineStr">
        <is>
          <t>Paper 1 &amp; 2</t>
        </is>
      </c>
      <c r="C34" s="10">
        <f>COUNTIFS('RAG tracker'!$M$2:$M$251,"P3")</f>
        <v/>
      </c>
      <c r="D34" s="10">
        <f>COUNTIFS('RAG tracker'!$M$2:$M$251,"P3",'RAG tracker'!$D$2:$D$251,"R")</f>
        <v/>
      </c>
      <c r="E34" s="10">
        <f>COUNTIFS('RAG tracker'!$M$2:$M$251,"P3",'RAG tracker'!$D$2:$D$251,"A")</f>
        <v/>
      </c>
      <c r="F34" s="10">
        <f>COUNTIFS('RAG tracker'!$M$2:$M$251,"P3",'RAG tracker'!$D$2:$D$251,"G")</f>
        <v/>
      </c>
      <c r="G34" s="10">
        <f>COUNTIFS('RAG tracker'!$M$2:$M$251,"P3",'RAG tracker'!$D$2:$D$251,"")</f>
        <v/>
      </c>
      <c r="H34" s="32">
        <f>IFERROR(F34/C34,0)</f>
        <v/>
      </c>
    </row>
    <row r="35">
      <c r="A35" s="10" t="inlineStr">
        <is>
          <t>Pure 4: Sequences and series</t>
        </is>
      </c>
      <c r="B35" s="10" t="inlineStr">
        <is>
          <t>Paper 1 &amp; 2</t>
        </is>
      </c>
      <c r="C35" s="10">
        <f>COUNTIFS('RAG tracker'!$M$2:$M$251,"P4")</f>
        <v/>
      </c>
      <c r="D35" s="10">
        <f>COUNTIFS('RAG tracker'!$M$2:$M$251,"P4",'RAG tracker'!$D$2:$D$251,"R")</f>
        <v/>
      </c>
      <c r="E35" s="10">
        <f>COUNTIFS('RAG tracker'!$M$2:$M$251,"P4",'RAG tracker'!$D$2:$D$251,"A")</f>
        <v/>
      </c>
      <c r="F35" s="10">
        <f>COUNTIFS('RAG tracker'!$M$2:$M$251,"P4",'RAG tracker'!$D$2:$D$251,"G")</f>
        <v/>
      </c>
      <c r="G35" s="10">
        <f>COUNTIFS('RAG tracker'!$M$2:$M$251,"P4",'RAG tracker'!$D$2:$D$251,"")</f>
        <v/>
      </c>
      <c r="H35" s="32">
        <f>IFERROR(F35/C35,0)</f>
        <v/>
      </c>
    </row>
    <row r="36">
      <c r="A36" s="10" t="inlineStr">
        <is>
          <t>Pure 5: Trigonometry</t>
        </is>
      </c>
      <c r="B36" s="10" t="inlineStr">
        <is>
          <t>Paper 1 &amp; 2</t>
        </is>
      </c>
      <c r="C36" s="10">
        <f>COUNTIFS('RAG tracker'!$M$2:$M$251,"P5")</f>
        <v/>
      </c>
      <c r="D36" s="10">
        <f>COUNTIFS('RAG tracker'!$M$2:$M$251,"P5",'RAG tracker'!$D$2:$D$251,"R")</f>
        <v/>
      </c>
      <c r="E36" s="10">
        <f>COUNTIFS('RAG tracker'!$M$2:$M$251,"P5",'RAG tracker'!$D$2:$D$251,"A")</f>
        <v/>
      </c>
      <c r="F36" s="10">
        <f>COUNTIFS('RAG tracker'!$M$2:$M$251,"P5",'RAG tracker'!$D$2:$D$251,"G")</f>
        <v/>
      </c>
      <c r="G36" s="10">
        <f>COUNTIFS('RAG tracker'!$M$2:$M$251,"P5",'RAG tracker'!$D$2:$D$251,"")</f>
        <v/>
      </c>
      <c r="H36" s="32">
        <f>IFERROR(F36/C36,0)</f>
        <v/>
      </c>
    </row>
    <row r="37">
      <c r="A37" s="10" t="inlineStr">
        <is>
          <t>Pure 6: Exponentials and logarithms</t>
        </is>
      </c>
      <c r="B37" s="10" t="inlineStr">
        <is>
          <t>Paper 1 &amp; 2</t>
        </is>
      </c>
      <c r="C37" s="10">
        <f>COUNTIFS('RAG tracker'!$M$2:$M$251,"P6")</f>
        <v/>
      </c>
      <c r="D37" s="10">
        <f>COUNTIFS('RAG tracker'!$M$2:$M$251,"P6",'RAG tracker'!$D$2:$D$251,"R")</f>
        <v/>
      </c>
      <c r="E37" s="10">
        <f>COUNTIFS('RAG tracker'!$M$2:$M$251,"P6",'RAG tracker'!$D$2:$D$251,"A")</f>
        <v/>
      </c>
      <c r="F37" s="10">
        <f>COUNTIFS('RAG tracker'!$M$2:$M$251,"P6",'RAG tracker'!$D$2:$D$251,"G")</f>
        <v/>
      </c>
      <c r="G37" s="10">
        <f>COUNTIFS('RAG tracker'!$M$2:$M$251,"P6",'RAG tracker'!$D$2:$D$251,"")</f>
        <v/>
      </c>
      <c r="H37" s="32">
        <f>IFERROR(F37/C37,0)</f>
        <v/>
      </c>
    </row>
    <row r="38">
      <c r="A38" s="10" t="inlineStr">
        <is>
          <t>Pure 7: Differentiation</t>
        </is>
      </c>
      <c r="B38" s="10" t="inlineStr">
        <is>
          <t>Paper 1 &amp; 2</t>
        </is>
      </c>
      <c r="C38" s="10">
        <f>COUNTIFS('RAG tracker'!$M$2:$M$251,"P7")</f>
        <v/>
      </c>
      <c r="D38" s="10">
        <f>COUNTIFS('RAG tracker'!$M$2:$M$251,"P7",'RAG tracker'!$D$2:$D$251,"R")</f>
        <v/>
      </c>
      <c r="E38" s="10">
        <f>COUNTIFS('RAG tracker'!$M$2:$M$251,"P7",'RAG tracker'!$D$2:$D$251,"A")</f>
        <v/>
      </c>
      <c r="F38" s="10">
        <f>COUNTIFS('RAG tracker'!$M$2:$M$251,"P7",'RAG tracker'!$D$2:$D$251,"G")</f>
        <v/>
      </c>
      <c r="G38" s="10">
        <f>COUNTIFS('RAG tracker'!$M$2:$M$251,"P7",'RAG tracker'!$D$2:$D$251,"")</f>
        <v/>
      </c>
      <c r="H38" s="32">
        <f>IFERROR(F38/C38,0)</f>
        <v/>
      </c>
    </row>
    <row r="39">
      <c r="A39" s="10" t="inlineStr">
        <is>
          <t>Pure 8: Integration</t>
        </is>
      </c>
      <c r="B39" s="10" t="inlineStr">
        <is>
          <t>Paper 1 &amp; 2</t>
        </is>
      </c>
      <c r="C39" s="10">
        <f>COUNTIFS('RAG tracker'!$M$2:$M$251,"P8")</f>
        <v/>
      </c>
      <c r="D39" s="10">
        <f>COUNTIFS('RAG tracker'!$M$2:$M$251,"P8",'RAG tracker'!$D$2:$D$251,"R")</f>
        <v/>
      </c>
      <c r="E39" s="10">
        <f>COUNTIFS('RAG tracker'!$M$2:$M$251,"P8",'RAG tracker'!$D$2:$D$251,"A")</f>
        <v/>
      </c>
      <c r="F39" s="10">
        <f>COUNTIFS('RAG tracker'!$M$2:$M$251,"P8",'RAG tracker'!$D$2:$D$251,"G")</f>
        <v/>
      </c>
      <c r="G39" s="10">
        <f>COUNTIFS('RAG tracker'!$M$2:$M$251,"P8",'RAG tracker'!$D$2:$D$251,"")</f>
        <v/>
      </c>
      <c r="H39" s="32">
        <f>IFERROR(F39/C39,0)</f>
        <v/>
      </c>
    </row>
    <row r="40">
      <c r="A40" s="10" t="inlineStr">
        <is>
          <t>Pure 9: Numerical methods</t>
        </is>
      </c>
      <c r="B40" s="10" t="inlineStr">
        <is>
          <t>Paper 1 &amp; 2</t>
        </is>
      </c>
      <c r="C40" s="10">
        <f>COUNTIFS('RAG tracker'!$M$2:$M$251,"P9")</f>
        <v/>
      </c>
      <c r="D40" s="10">
        <f>COUNTIFS('RAG tracker'!$M$2:$M$251,"P9",'RAG tracker'!$D$2:$D$251,"R")</f>
        <v/>
      </c>
      <c r="E40" s="10">
        <f>COUNTIFS('RAG tracker'!$M$2:$M$251,"P9",'RAG tracker'!$D$2:$D$251,"A")</f>
        <v/>
      </c>
      <c r="F40" s="10">
        <f>COUNTIFS('RAG tracker'!$M$2:$M$251,"P9",'RAG tracker'!$D$2:$D$251,"G")</f>
        <v/>
      </c>
      <c r="G40" s="10">
        <f>COUNTIFS('RAG tracker'!$M$2:$M$251,"P9",'RAG tracker'!$D$2:$D$251,"")</f>
        <v/>
      </c>
      <c r="H40" s="32">
        <f>IFERROR(F40/C40,0)</f>
        <v/>
      </c>
    </row>
    <row r="41">
      <c r="A41" s="10" t="inlineStr">
        <is>
          <t>Pure 10: Vectors</t>
        </is>
      </c>
      <c r="B41" s="10" t="inlineStr">
        <is>
          <t>Paper 1 &amp; 2</t>
        </is>
      </c>
      <c r="C41" s="10">
        <f>COUNTIFS('RAG tracker'!$M$2:$M$251,"P10")</f>
        <v/>
      </c>
      <c r="D41" s="10">
        <f>COUNTIFS('RAG tracker'!$M$2:$M$251,"P10",'RAG tracker'!$D$2:$D$251,"R")</f>
        <v/>
      </c>
      <c r="E41" s="10">
        <f>COUNTIFS('RAG tracker'!$M$2:$M$251,"P10",'RAG tracker'!$D$2:$D$251,"A")</f>
        <v/>
      </c>
      <c r="F41" s="10">
        <f>COUNTIFS('RAG tracker'!$M$2:$M$251,"P10",'RAG tracker'!$D$2:$D$251,"G")</f>
        <v/>
      </c>
      <c r="G41" s="10">
        <f>COUNTIFS('RAG tracker'!$M$2:$M$251,"P10",'RAG tracker'!$D$2:$D$251,"")</f>
        <v/>
      </c>
      <c r="H41" s="32">
        <f>IFERROR(F41/C41,0)</f>
        <v/>
      </c>
    </row>
    <row r="42">
      <c r="A42" s="10" t="inlineStr">
        <is>
          <t>Statistics 1: Statistical sampling</t>
        </is>
      </c>
      <c r="B42" s="10" t="inlineStr">
        <is>
          <t>Paper 3</t>
        </is>
      </c>
      <c r="C42" s="10">
        <f>COUNTIFS('RAG tracker'!$M$2:$M$251,"S1")</f>
        <v/>
      </c>
      <c r="D42" s="10">
        <f>COUNTIFS('RAG tracker'!$M$2:$M$251,"S1",'RAG tracker'!$D$2:$D$251,"R")</f>
        <v/>
      </c>
      <c r="E42" s="10">
        <f>COUNTIFS('RAG tracker'!$M$2:$M$251,"S1",'RAG tracker'!$D$2:$D$251,"A")</f>
        <v/>
      </c>
      <c r="F42" s="10">
        <f>COUNTIFS('RAG tracker'!$M$2:$M$251,"S1",'RAG tracker'!$D$2:$D$251,"G")</f>
        <v/>
      </c>
      <c r="G42" s="10">
        <f>COUNTIFS('RAG tracker'!$M$2:$M$251,"S1",'RAG tracker'!$D$2:$D$251,"")</f>
        <v/>
      </c>
      <c r="H42" s="32">
        <f>IFERROR(F42/C42,0)</f>
        <v/>
      </c>
    </row>
    <row r="43">
      <c r="A43" s="10" t="inlineStr">
        <is>
          <t>Statistics 2: Data presentation and interpretation</t>
        </is>
      </c>
      <c r="B43" s="10" t="inlineStr">
        <is>
          <t>Paper 3</t>
        </is>
      </c>
      <c r="C43" s="10">
        <f>COUNTIFS('RAG tracker'!$M$2:$M$251,"S2")</f>
        <v/>
      </c>
      <c r="D43" s="10">
        <f>COUNTIFS('RAG tracker'!$M$2:$M$251,"S2",'RAG tracker'!$D$2:$D$251,"R")</f>
        <v/>
      </c>
      <c r="E43" s="10">
        <f>COUNTIFS('RAG tracker'!$M$2:$M$251,"S2",'RAG tracker'!$D$2:$D$251,"A")</f>
        <v/>
      </c>
      <c r="F43" s="10">
        <f>COUNTIFS('RAG tracker'!$M$2:$M$251,"S2",'RAG tracker'!$D$2:$D$251,"G")</f>
        <v/>
      </c>
      <c r="G43" s="10">
        <f>COUNTIFS('RAG tracker'!$M$2:$M$251,"S2",'RAG tracker'!$D$2:$D$251,"")</f>
        <v/>
      </c>
      <c r="H43" s="32">
        <f>IFERROR(F43/C43,0)</f>
        <v/>
      </c>
    </row>
    <row r="44">
      <c r="A44" s="10" t="inlineStr">
        <is>
          <t>Statistics 3: Probability</t>
        </is>
      </c>
      <c r="B44" s="10" t="inlineStr">
        <is>
          <t>Paper 3</t>
        </is>
      </c>
      <c r="C44" s="10">
        <f>COUNTIFS('RAG tracker'!$M$2:$M$251,"S3")</f>
        <v/>
      </c>
      <c r="D44" s="10">
        <f>COUNTIFS('RAG tracker'!$M$2:$M$251,"S3",'RAG tracker'!$D$2:$D$251,"R")</f>
        <v/>
      </c>
      <c r="E44" s="10">
        <f>COUNTIFS('RAG tracker'!$M$2:$M$251,"S3",'RAG tracker'!$D$2:$D$251,"A")</f>
        <v/>
      </c>
      <c r="F44" s="10">
        <f>COUNTIFS('RAG tracker'!$M$2:$M$251,"S3",'RAG tracker'!$D$2:$D$251,"G")</f>
        <v/>
      </c>
      <c r="G44" s="10">
        <f>COUNTIFS('RAG tracker'!$M$2:$M$251,"S3",'RAG tracker'!$D$2:$D$251,"")</f>
        <v/>
      </c>
      <c r="H44" s="32">
        <f>IFERROR(F44/C44,0)</f>
        <v/>
      </c>
    </row>
    <row r="45">
      <c r="A45" s="10" t="inlineStr">
        <is>
          <t>Statistics 4: Statistical distributions</t>
        </is>
      </c>
      <c r="B45" s="10" t="inlineStr">
        <is>
          <t>Paper 3</t>
        </is>
      </c>
      <c r="C45" s="10">
        <f>COUNTIFS('RAG tracker'!$M$2:$M$251,"S4")</f>
        <v/>
      </c>
      <c r="D45" s="10">
        <f>COUNTIFS('RAG tracker'!$M$2:$M$251,"S4",'RAG tracker'!$D$2:$D$251,"R")</f>
        <v/>
      </c>
      <c r="E45" s="10">
        <f>COUNTIFS('RAG tracker'!$M$2:$M$251,"S4",'RAG tracker'!$D$2:$D$251,"A")</f>
        <v/>
      </c>
      <c r="F45" s="10">
        <f>COUNTIFS('RAG tracker'!$M$2:$M$251,"S4",'RAG tracker'!$D$2:$D$251,"G")</f>
        <v/>
      </c>
      <c r="G45" s="10">
        <f>COUNTIFS('RAG tracker'!$M$2:$M$251,"S4",'RAG tracker'!$D$2:$D$251,"")</f>
        <v/>
      </c>
      <c r="H45" s="32">
        <f>IFERROR(F45/C45,0)</f>
        <v/>
      </c>
    </row>
    <row r="46">
      <c r="A46" s="10" t="inlineStr">
        <is>
          <t>Statistics 5: Statistical hypothesis testing</t>
        </is>
      </c>
      <c r="B46" s="10" t="inlineStr">
        <is>
          <t>Paper 3</t>
        </is>
      </c>
      <c r="C46" s="10">
        <f>COUNTIFS('RAG tracker'!$M$2:$M$251,"S5")</f>
        <v/>
      </c>
      <c r="D46" s="10">
        <f>COUNTIFS('RAG tracker'!$M$2:$M$251,"S5",'RAG tracker'!$D$2:$D$251,"R")</f>
        <v/>
      </c>
      <c r="E46" s="10">
        <f>COUNTIFS('RAG tracker'!$M$2:$M$251,"S5",'RAG tracker'!$D$2:$D$251,"A")</f>
        <v/>
      </c>
      <c r="F46" s="10">
        <f>COUNTIFS('RAG tracker'!$M$2:$M$251,"S5",'RAG tracker'!$D$2:$D$251,"G")</f>
        <v/>
      </c>
      <c r="G46" s="10">
        <f>COUNTIFS('RAG tracker'!$M$2:$M$251,"S5",'RAG tracker'!$D$2:$D$251,"")</f>
        <v/>
      </c>
      <c r="H46" s="32">
        <f>IFERROR(F46/C46,0)</f>
        <v/>
      </c>
    </row>
    <row r="47">
      <c r="A47" s="10" t="inlineStr">
        <is>
          <t>Mechanics 6: Quantities and units in mechanics</t>
        </is>
      </c>
      <c r="B47" s="10" t="inlineStr">
        <is>
          <t>Paper 3</t>
        </is>
      </c>
      <c r="C47" s="10">
        <f>COUNTIFS('RAG tracker'!$M$2:$M$251,"M6")</f>
        <v/>
      </c>
      <c r="D47" s="10">
        <f>COUNTIFS('RAG tracker'!$M$2:$M$251,"M6",'RAG tracker'!$D$2:$D$251,"R")</f>
        <v/>
      </c>
      <c r="E47" s="10">
        <f>COUNTIFS('RAG tracker'!$M$2:$M$251,"M6",'RAG tracker'!$D$2:$D$251,"A")</f>
        <v/>
      </c>
      <c r="F47" s="10">
        <f>COUNTIFS('RAG tracker'!$M$2:$M$251,"M6",'RAG tracker'!$D$2:$D$251,"G")</f>
        <v/>
      </c>
      <c r="G47" s="10">
        <f>COUNTIFS('RAG tracker'!$M$2:$M$251,"M6",'RAG tracker'!$D$2:$D$251,"")</f>
        <v/>
      </c>
      <c r="H47" s="32">
        <f>IFERROR(F47/C47,0)</f>
        <v/>
      </c>
    </row>
    <row r="48">
      <c r="A48" s="10" t="inlineStr">
        <is>
          <t>Mechanics 7: Kinematics</t>
        </is>
      </c>
      <c r="B48" s="10" t="inlineStr">
        <is>
          <t>Paper 3</t>
        </is>
      </c>
      <c r="C48" s="10">
        <f>COUNTIFS('RAG tracker'!$M$2:$M$251,"M7")</f>
        <v/>
      </c>
      <c r="D48" s="10">
        <f>COUNTIFS('RAG tracker'!$M$2:$M$251,"M7",'RAG tracker'!$D$2:$D$251,"R")</f>
        <v/>
      </c>
      <c r="E48" s="10">
        <f>COUNTIFS('RAG tracker'!$M$2:$M$251,"M7",'RAG tracker'!$D$2:$D$251,"A")</f>
        <v/>
      </c>
      <c r="F48" s="10">
        <f>COUNTIFS('RAG tracker'!$M$2:$M$251,"M7",'RAG tracker'!$D$2:$D$251,"G")</f>
        <v/>
      </c>
      <c r="G48" s="10">
        <f>COUNTIFS('RAG tracker'!$M$2:$M$251,"M7",'RAG tracker'!$D$2:$D$251,"")</f>
        <v/>
      </c>
      <c r="H48" s="32">
        <f>IFERROR(F48/C48,0)</f>
        <v/>
      </c>
    </row>
    <row r="49">
      <c r="A49" s="10" t="inlineStr">
        <is>
          <t>Mechanics 8: Forces and Newton's laws</t>
        </is>
      </c>
      <c r="B49" s="10" t="inlineStr">
        <is>
          <t>Paper 3</t>
        </is>
      </c>
      <c r="C49" s="10">
        <f>COUNTIFS('RAG tracker'!$M$2:$M$251,"M8")</f>
        <v/>
      </c>
      <c r="D49" s="10">
        <f>COUNTIFS('RAG tracker'!$M$2:$M$251,"M8",'RAG tracker'!$D$2:$D$251,"R")</f>
        <v/>
      </c>
      <c r="E49" s="10">
        <f>COUNTIFS('RAG tracker'!$M$2:$M$251,"M8",'RAG tracker'!$D$2:$D$251,"A")</f>
        <v/>
      </c>
      <c r="F49" s="10">
        <f>COUNTIFS('RAG tracker'!$M$2:$M$251,"M8",'RAG tracker'!$D$2:$D$251,"G")</f>
        <v/>
      </c>
      <c r="G49" s="10">
        <f>COUNTIFS('RAG tracker'!$M$2:$M$251,"M8",'RAG tracker'!$D$2:$D$251,"")</f>
        <v/>
      </c>
      <c r="H49" s="32">
        <f>IFERROR(F49/C49,0)</f>
        <v/>
      </c>
    </row>
    <row r="50">
      <c r="A50" s="10" t="inlineStr">
        <is>
          <t>Mechanics 9: Moments</t>
        </is>
      </c>
      <c r="B50" s="10" t="inlineStr">
        <is>
          <t>Paper 3</t>
        </is>
      </c>
      <c r="C50" s="10">
        <f>COUNTIFS('RAG tracker'!$M$2:$M$251,"M9")</f>
        <v/>
      </c>
      <c r="D50" s="10">
        <f>COUNTIFS('RAG tracker'!$M$2:$M$251,"M9",'RAG tracker'!$D$2:$D$251,"R")</f>
        <v/>
      </c>
      <c r="E50" s="10">
        <f>COUNTIFS('RAG tracker'!$M$2:$M$251,"M9",'RAG tracker'!$D$2:$D$251,"A")</f>
        <v/>
      </c>
      <c r="F50" s="10">
        <f>COUNTIFS('RAG tracker'!$M$2:$M$251,"M9",'RAG tracker'!$D$2:$D$251,"G")</f>
        <v/>
      </c>
      <c r="G50" s="10">
        <f>COUNTIFS('RAG tracker'!$M$2:$M$251,"M9",'RAG tracker'!$D$2:$D$251,"")</f>
        <v/>
      </c>
      <c r="H50" s="32">
        <f>IFERROR(F50/C50,0)</f>
        <v/>
      </c>
    </row>
    <row r="51">
      <c r="A51" s="33" t="inlineStr">
        <is>
          <t>Total</t>
        </is>
      </c>
      <c r="B51" s="33" t="n"/>
      <c r="C51" s="33">
        <f>SUM(C32:C50)</f>
        <v/>
      </c>
      <c r="D51" s="33">
        <f>SUM(D32:D50)</f>
        <v/>
      </c>
      <c r="E51" s="33">
        <f>SUM(E32:E50)</f>
        <v/>
      </c>
      <c r="F51" s="33">
        <f>SUM(F32:F50)</f>
        <v/>
      </c>
      <c r="G51" s="33">
        <f>SUM(G32:G50)</f>
        <v/>
      </c>
      <c r="H51" s="34">
        <f>IFERROR(F51/C51,0)</f>
        <v/>
      </c>
    </row>
  </sheetData>
  <conditionalFormatting sqref="D19:D20">
    <cfRule type="cellIs" priority="1" operator="greaterThan" dxfId="0">
      <formula>0</formula>
    </cfRule>
  </conditionalFormatting>
  <conditionalFormatting sqref="H19:H20">
    <cfRule type="dataBar" priority="2">
      <dataBar>
        <cfvo type="num" val="0"/>
        <cfvo type="num" val="1"/>
        <color rgb="006AA84F"/>
      </dataBar>
    </cfRule>
  </conditionalFormatting>
  <conditionalFormatting sqref="D25:D27">
    <cfRule type="cellIs" priority="3" operator="greaterThan" dxfId="0">
      <formula>0</formula>
    </cfRule>
  </conditionalFormatting>
  <conditionalFormatting sqref="H25:H27">
    <cfRule type="dataBar" priority="4">
      <dataBar>
        <cfvo type="num" val="0"/>
        <cfvo type="num" val="1"/>
        <color rgb="006AA84F"/>
      </dataBar>
    </cfRule>
  </conditionalFormatting>
  <conditionalFormatting sqref="D32:D50">
    <cfRule type="cellIs" priority="5" operator="greaterThan" dxfId="0">
      <formula>0</formula>
    </cfRule>
  </conditionalFormatting>
  <conditionalFormatting sqref="H32:H50">
    <cfRule type="dataBar" priority="6">
      <dataBar>
        <cfvo type="num" val="0"/>
        <cfvo type="num" val="1"/>
        <color rgb="006AA84F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2026-09-23T16:32:15Z</dcterms:created>
  <dcterms:modified xsi:type="dcterms:W3CDTF">2026-09-23T16:32:15Z</dcterms:modified>
</cp:coreProperties>
</file>