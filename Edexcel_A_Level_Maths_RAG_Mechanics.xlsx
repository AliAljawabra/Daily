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echanics" sheetId="2" state="visible" r:id="rId2"/>
    <sheet name="Chapter tests" sheetId="3" state="visible" r:id="rId3"/>
    <sheet name="Progress" sheetId="4" state="visible" r:id="rId4"/>
  </sheets>
  <definedNames>
    <definedName name="_xlnm.Print_Titles" localSheetId="1">'Mechanics'!$6:$6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Y&quot;0"/>
  </numFmts>
  <fonts count="36">
    <font>
      <name val="Calibri"/>
      <family val="2"/>
      <color theme="1"/>
      <sz val="11"/>
      <scheme val="minor"/>
    </font>
    <font>
      <name val="Calibri"/>
      <b val="1"/>
      <color rgb="00D9480F"/>
      <sz val="22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FFFFFF"/>
      <sz val="10"/>
    </font>
    <font>
      <name val="Calibri"/>
      <b val="1"/>
      <color rgb="00D9480F"/>
      <sz val="13"/>
    </font>
    <font>
      <name val="Calibri"/>
      <color rgb="006B7280"/>
      <sz val="10"/>
    </font>
    <font>
      <name val="Calibri"/>
      <color rgb="006B7280"/>
      <sz val="9"/>
    </font>
    <font>
      <name val="Calibri"/>
      <color rgb="001F2937"/>
      <sz val="11"/>
    </font>
    <font>
      <name val="Calibri"/>
      <b val="1"/>
      <color rgb="001F2937"/>
      <sz val="12"/>
    </font>
    <font>
      <name val="Calibri"/>
      <color rgb="001F2937"/>
      <sz val="10"/>
    </font>
    <font>
      <name val="Calibri"/>
      <color rgb="001D4ED8"/>
      <sz val="10"/>
    </font>
    <font>
      <name val="Calibri"/>
      <i val="1"/>
      <color rgb="009CA3AF"/>
      <sz val="10"/>
    </font>
    <font>
      <name val="Calibri"/>
      <i val="1"/>
      <color rgb="009CA3AF"/>
      <sz val="9"/>
    </font>
    <font>
      <name val="Calibri"/>
      <b val="1"/>
      <color rgb="00D9480F"/>
      <sz val="9"/>
    </font>
    <font>
      <name val="Calibri"/>
      <b val="1"/>
      <color rgb="001F2937"/>
      <sz val="11"/>
    </font>
    <font>
      <name val="Calibri"/>
      <b val="1"/>
      <color rgb="001F2937"/>
      <sz val="22"/>
    </font>
    <font>
      <name val="Calibri"/>
      <b val="1"/>
      <color rgb="001F2937"/>
      <sz val="10"/>
    </font>
    <font>
      <name val="Calibri"/>
      <b val="1"/>
      <color rgb="001F2937"/>
      <sz val="26"/>
    </font>
    <font>
      <name val="Calibri"/>
      <b val="1"/>
      <color rgb="009B1C1C"/>
      <sz val="26"/>
    </font>
    <font>
      <name val="Calibri"/>
      <b val="1"/>
      <color rgb="009B1C1C"/>
      <sz val="10"/>
    </font>
    <font>
      <name val="Calibri"/>
      <b val="1"/>
      <color rgb="008A4B00"/>
      <sz val="26"/>
    </font>
    <font>
      <name val="Calibri"/>
      <b val="1"/>
      <color rgb="008A4B00"/>
      <sz val="10"/>
    </font>
    <font>
      <name val="Calibri"/>
      <b val="1"/>
      <color rgb="001E6B3A"/>
      <sz val="26"/>
    </font>
    <font>
      <name val="Calibri"/>
      <b val="1"/>
      <color rgb="001E6B3A"/>
      <sz val="10"/>
    </font>
    <font>
      <name val="Calibri"/>
      <b val="1"/>
      <color rgb="001F2937"/>
      <sz val="14"/>
    </font>
    <font>
      <name val="Calibri"/>
      <b val="1"/>
      <color rgb="009B1C1C"/>
      <sz val="11"/>
    </font>
    <font>
      <name val="Calibri"/>
      <b val="1"/>
      <color rgb="008A4B00"/>
      <sz val="11"/>
    </font>
    <font>
      <name val="Calibri"/>
      <b val="1"/>
      <color rgb="001E6B3A"/>
      <sz val="11"/>
    </font>
    <font>
      <name val="Calibri"/>
      <b val="1"/>
      <color rgb="001F2937"/>
      <sz val="24"/>
    </font>
    <font>
      <name val="Calibri"/>
      <color rgb="006B7280"/>
      <sz val="12"/>
    </font>
    <font>
      <name val="Calibri"/>
      <b val="1"/>
      <color rgb="00FFFFFF"/>
      <sz val="16"/>
    </font>
    <font>
      <name val="Calibri"/>
      <b val="1"/>
      <color rgb="009B1C1C"/>
      <sz val="12"/>
    </font>
    <font>
      <name val="Calibri"/>
      <b val="1"/>
      <color rgb="008A4B00"/>
      <sz val="12"/>
    </font>
    <font>
      <name val="Calibri"/>
      <b val="1"/>
      <color rgb="001E6B3A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D9480F"/>
      </patternFill>
    </fill>
    <fill>
      <patternFill patternType="solid">
        <fgColor rgb="00FFEEE3"/>
      </patternFill>
    </fill>
    <fill>
      <patternFill patternType="solid">
        <fgColor rgb="00FFFBEA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AD4D4"/>
      </patternFill>
    </fill>
    <fill>
      <patternFill patternType="solid">
        <fgColor rgb="00FFE4C2"/>
      </patternFill>
    </fill>
    <fill>
      <patternFill patternType="solid">
        <fgColor rgb="00D4F0DC"/>
      </patternFill>
    </fill>
    <fill>
      <patternFill patternType="solid">
        <fgColor rgb="006B7280"/>
      </patternFill>
    </fill>
    <fill>
      <patternFill patternType="solid">
        <fgColor rgb="001E6B3A"/>
      </patternFill>
    </fill>
  </fills>
  <borders count="5">
    <border>
      <left/>
      <right/>
      <top/>
      <bottom/>
      <diagonal/>
    </border>
    <border>
      <bottom style="thin">
        <color rgb="00C7CDD6"/>
      </bottom>
    </border>
    <border>
      <top style="medium">
        <color rgb="00D9480F"/>
      </top>
      <bottom style="thin">
        <color rgb="00D9480F"/>
      </bottom>
    </border>
    <border>
      <left style="thin">
        <color rgb="00E9D98B"/>
      </left>
      <right style="thin">
        <color rgb="00E9D98B"/>
      </right>
      <top style="thin">
        <color rgb="00F3E8B0"/>
      </top>
      <bottom style="thin">
        <color rgb="00F3E8B0"/>
      </bottom>
    </border>
    <border>
      <bottom style="thin">
        <color rgb="00E5E7E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5" fillId="0" borderId="0" pivotButton="0" quotePrefix="0" xfId="0"/>
    <xf numFmtId="0" fontId="31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2" fillId="7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/>
    </xf>
    <xf numFmtId="0" fontId="33" fillId="8" borderId="0" applyAlignment="1" pivotButton="0" quotePrefix="0" xfId="0">
      <alignment vertical="center" indent="1"/>
    </xf>
    <xf numFmtId="0" fontId="34" fillId="9" borderId="0" applyAlignment="1" pivotButton="0" quotePrefix="0" xfId="0">
      <alignment vertical="center" indent="1"/>
    </xf>
    <xf numFmtId="0" fontId="35" fillId="2" borderId="0" applyAlignment="1" pivotButton="0" quotePrefix="0" xfId="0">
      <alignment vertical="center" indent="1"/>
    </xf>
    <xf numFmtId="0" fontId="35" fillId="10" borderId="0" applyAlignment="1" pivotButton="0" quotePrefix="0" xfId="0">
      <alignment vertical="center" indent="1"/>
    </xf>
    <xf numFmtId="0" fontId="35" fillId="11" borderId="0" applyAlignment="1" pivotButton="0" quotePrefix="0" xfId="0">
      <alignment vertical="center" inden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 wrapText="1"/>
    </xf>
    <xf numFmtId="164" fontId="7" fillId="0" borderId="4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 wrapText="1"/>
    </xf>
    <xf numFmtId="0" fontId="0" fillId="0" borderId="4" pivotButton="0" quotePrefix="0" xfId="0"/>
    <xf numFmtId="0" fontId="1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4" fillId="0" borderId="4" applyAlignment="1" pivotButton="0" quotePrefix="0" xfId="0">
      <alignment horizontal="center" vertical="center"/>
    </xf>
    <xf numFmtId="0" fontId="16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3" borderId="2" pivotButton="0" quotePrefix="0" xfId="0"/>
    <xf numFmtId="0" fontId="0" fillId="3" borderId="2" pivotButton="0" quotePrefix="0" xfId="0"/>
    <xf numFmtId="0" fontId="6" fillId="3" borderId="2" pivotButton="0" quotePrefix="0" xfId="0"/>
    <xf numFmtId="0" fontId="7" fillId="0" borderId="4" applyAlignment="1" pivotButton="0" quotePrefix="0" xfId="0">
      <alignment vertical="center" wrapText="1"/>
    </xf>
    <xf numFmtId="0" fontId="17" fillId="4" borderId="0" applyAlignment="1" pivotButton="0" quotePrefix="0" xfId="0">
      <alignment horizontal="center" vertical="center"/>
    </xf>
    <xf numFmtId="0" fontId="17" fillId="0" borderId="4" applyAlignment="1" pivotButton="0" quotePrefix="0" xfId="0">
      <alignment vertical="center" wrapText="1"/>
    </xf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7" fillId="6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6" fillId="7" borderId="4" pivotButton="0" quotePrefix="0" xfId="0"/>
    <xf numFmtId="0" fontId="0" fillId="0" borderId="4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6" fillId="0" borderId="4" pivotButton="0" quotePrefix="0" xfId="0"/>
    <xf numFmtId="0" fontId="27" fillId="8" borderId="4" pivotButton="0" quotePrefix="0" xfId="0"/>
    <xf numFmtId="0" fontId="28" fillId="9" borderId="4" pivotButton="0" quotePrefix="0" xfId="0"/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8" fillId="0" borderId="4" pivotButton="0" quotePrefix="0" xfId="0"/>
    <xf numFmtId="9" fontId="0" fillId="0" borderId="4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9B1C1C"/>
      </font>
      <fill>
        <patternFill patternType="solid">
          <fgColor rgb="00FAD4D4"/>
        </patternFill>
      </fill>
    </dxf>
    <dxf>
      <font>
        <b val="1"/>
        <color rgb="008A4B00"/>
      </font>
      <fill>
        <patternFill patternType="solid">
          <fgColor rgb="00FFE4C2"/>
        </patternFill>
      </fill>
    </dxf>
    <dxf>
      <font>
        <b val="1"/>
        <color rgb="001E6B3A"/>
      </font>
      <fill>
        <patternFill patternType="solid">
          <fgColor rgb="00D4F0DC"/>
        </patternFill>
      </fill>
    </dxf>
    <dxf>
      <fill>
        <patternFill patternType="solid">
          <fgColor rgb="00FAD4D4"/>
        </patternFill>
      </fill>
    </dxf>
    <dxf>
      <fill>
        <patternFill patternType="solid">
          <fgColor rgb="00FFE4C2"/>
        </patternFill>
      </fill>
    </dxf>
    <dxf>
      <fill>
        <patternFill patternType="solid">
          <fgColor rgb="00D4F0DC"/>
        </patternFill>
      </fill>
    </dxf>
    <dxf>
      <font>
        <color rgb="009B1C1C"/>
      </font>
      <fill>
        <patternFill patternType="solid">
          <fgColor rgb="00FAD4D4"/>
        </patternFill>
      </fill>
    </dxf>
    <dxf>
      <font>
        <color rgb="008A4B00"/>
      </font>
      <fill>
        <patternFill patternType="solid">
          <fgColor rgb="00FFE4C2"/>
        </patternFill>
      </fill>
    </dxf>
    <dxf>
      <font>
        <color rgb="001E6B3A"/>
      </font>
      <fill>
        <patternFill patternType="solid">
          <fgColor rgb="00D4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Ratings by topic area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'Progress'!C24</f>
            </strRef>
          </tx>
          <spPr>
            <a:solidFill>
              <a:srgbClr val="E57373"/>
            </a:solidFill>
            <a:ln>
              <a:solidFill>
                <a:srgbClr val="E57373"/>
              </a:solidFill>
              <a:prstDash val="solid"/>
            </a:ln>
          </spPr>
          <cat>
            <numRef>
              <f>'Progress'!$A$25:$A$28</f>
            </numRef>
          </cat>
          <val>
            <numRef>
              <f>'Progress'!$C$25:$C$28</f>
            </numRef>
          </val>
        </ser>
        <ser>
          <idx val="1"/>
          <order val="1"/>
          <tx>
            <strRef>
              <f>'Progress'!D24</f>
            </strRef>
          </tx>
          <spPr>
            <a:solidFill>
              <a:srgbClr val="F6AE5B"/>
            </a:solidFill>
            <a:ln>
              <a:solidFill>
                <a:srgbClr val="F6AE5B"/>
              </a:solidFill>
              <a:prstDash val="solid"/>
            </a:ln>
          </spPr>
          <cat>
            <numRef>
              <f>'Progress'!$A$25:$A$28</f>
            </numRef>
          </cat>
          <val>
            <numRef>
              <f>'Progress'!$D$25:$D$28</f>
            </numRef>
          </val>
        </ser>
        <ser>
          <idx val="2"/>
          <order val="2"/>
          <tx>
            <strRef>
              <f>'Progress'!E24</f>
            </strRef>
          </tx>
          <spPr>
            <a:solidFill>
              <a:srgbClr val="5DBB7A"/>
            </a:solidFill>
            <a:ln>
              <a:solidFill>
                <a:srgbClr val="5DBB7A"/>
              </a:solidFill>
              <a:prstDash val="solid"/>
            </a:ln>
          </spPr>
          <cat>
            <numRef>
              <f>'Progress'!$A$25:$A$28</f>
            </numRef>
          </cat>
          <val>
            <numRef>
              <f>'Progress'!$E$25:$E$28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23</row>
      <rowOff>0</rowOff>
    </from>
    <ext cx="5760000" cy="23328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thsgenie.co.uk/a-level/maths/edexcel/as-mechanics-quantities-and-units" TargetMode="External" Id="rId1" /><Relationship Type="http://schemas.openxmlformats.org/officeDocument/2006/relationships/hyperlink" Target="https://assets.mathsgenie.co.uk/sources/mathsgenie/content/alevel/quantities-and-units.pdf" TargetMode="External" Id="rId2" /><Relationship Type="http://schemas.openxmlformats.org/officeDocument/2006/relationships/hyperlink" Target="https://assets.mathsgenie.co.uk/content/worksheets/a_level_maths/constant-acceleration-ans-ed4f0764.pdf" TargetMode="External" Id="rId3" /><Relationship Type="http://schemas.openxmlformats.org/officeDocument/2006/relationships/hyperlink" Target="https://mathsgenie.co.uk/a-level/maths/edexcel/as-mechanics-modelling-assumptions" TargetMode="External" Id="rId4" /><Relationship Type="http://schemas.openxmlformats.org/officeDocument/2006/relationships/hyperlink" Target="https://assets.mathsgenie.co.uk/sources/mathsgenie/content/alevel/modelling-assumptions.pdf" TargetMode="External" Id="rId5" /><Relationship Type="http://schemas.openxmlformats.org/officeDocument/2006/relationships/hyperlink" Target="https://assets.mathsgenie.co.uk/content/worksheets/a_level_maths/constant-acceleration-ans-ed4f0764.pdf" TargetMode="External" Id="rId6" /><Relationship Type="http://schemas.openxmlformats.org/officeDocument/2006/relationships/hyperlink" Target="https://mathsgenie.co.uk/a-level/maths/edexcel/as-mechanics-displacement-time-graphs" TargetMode="External" Id="rId7" /><Relationship Type="http://schemas.openxmlformats.org/officeDocument/2006/relationships/hyperlink" Target="https://assets.mathsgenie.co.uk/content/worksheets/a_level_maths/constant-acceleration-e79b95b1.pdf" TargetMode="External" Id="rId8" /><Relationship Type="http://schemas.openxmlformats.org/officeDocument/2006/relationships/hyperlink" Target="https://assets.mathsgenie.co.uk/content/worksheets/a_level_maths/constant-acceleration-ans-ed4f0764.pdf" TargetMode="External" Id="rId9" /><Relationship Type="http://schemas.openxmlformats.org/officeDocument/2006/relationships/hyperlink" Target="https://pmt.physicsandmathstutor.com/download/Maths/A-level/Mechanics/Kinematics-1/Edexcel-Set-C/QP/Kinematics%20-%20Uniform%20Acceleration%20Formulae%20QP.pdf" TargetMode="External" Id="rId10" /><Relationship Type="http://schemas.openxmlformats.org/officeDocument/2006/relationships/hyperlink" Target="https://pmt.physicsandmathstutor.com/download/Maths/A-level/Mechanics/Kinematics-1/Edexcel-Set-C/MS/Kinematics%20-%20Uniform%20Acceleration%20Formulae%20MS.pdf" TargetMode="External" Id="rId11" /><Relationship Type="http://schemas.openxmlformats.org/officeDocument/2006/relationships/hyperlink" Target="https://pmt.physicsandmathstutor.com/download/Maths/A-level/Mechanics/Kinematics-1/Edexcel-Set-C/MA/Kinematics%20-%20Uniform%20Acceleration%20Formulae%20MA.pdf" TargetMode="External" Id="rId12" /><Relationship Type="http://schemas.openxmlformats.org/officeDocument/2006/relationships/hyperlink" Target="https://www.yesterdaysmathsexam.com/_files/ugd/1ba96f_ca5b2e753db74712a58a19f43cd20632.pdf" TargetMode="External" Id="rId13" /><Relationship Type="http://schemas.openxmlformats.org/officeDocument/2006/relationships/hyperlink" Target="https://www.yesterdaysmathsexam.com/_files/ugd/1ba96f_09e49e6ba51c4072a93a223aa3914a7a.pdf" TargetMode="External" Id="rId14" /><Relationship Type="http://schemas.openxmlformats.org/officeDocument/2006/relationships/hyperlink" Target="https://mathsgenie.co.uk/a-level/maths/edexcel/as-mechanics-displacement-time-graphs" TargetMode="External" Id="rId15" /><Relationship Type="http://schemas.openxmlformats.org/officeDocument/2006/relationships/hyperlink" Target="https://assets.mathsgenie.co.uk/content/worksheets/a_level_maths/constant-acceleration-e79b95b1.pdf" TargetMode="External" Id="rId16" /><Relationship Type="http://schemas.openxmlformats.org/officeDocument/2006/relationships/hyperlink" Target="https://assets.mathsgenie.co.uk/content/worksheets/a_level_maths/constant-acceleration-ans-ed4f0764.pdf" TargetMode="External" Id="rId17" /><Relationship Type="http://schemas.openxmlformats.org/officeDocument/2006/relationships/hyperlink" Target="https://www.yesterdaysmathsexam.com/_files/ugd/1ba96f_ca5b2e753db74712a58a19f43cd20632.pdf" TargetMode="External" Id="rId18" /><Relationship Type="http://schemas.openxmlformats.org/officeDocument/2006/relationships/hyperlink" Target="https://www.yesterdaysmathsexam.com/_files/ugd/1ba96f_09e49e6ba51c4072a93a223aa3914a7a.pdf" TargetMode="External" Id="rId19" /><Relationship Type="http://schemas.openxmlformats.org/officeDocument/2006/relationships/hyperlink" Target="https://mathsgenie.co.uk/a-level/maths/edexcel/as-mechanics-velocity-time-graphs" TargetMode="External" Id="rId20" /><Relationship Type="http://schemas.openxmlformats.org/officeDocument/2006/relationships/hyperlink" Target="https://assets.mathsgenie.co.uk/content/worksheets/a_level_maths/as-mechanics-velocity-time-graphs-d54c1f70.pdf" TargetMode="External" Id="rId21" /><Relationship Type="http://schemas.openxmlformats.org/officeDocument/2006/relationships/hyperlink" Target="https://assets.mathsgenie.co.uk/content/worksheets/a_level_maths/as-mechanics-velocity-time-graphs-ans-086aa1f1.pdf" TargetMode="External" Id="rId22" /><Relationship Type="http://schemas.openxmlformats.org/officeDocument/2006/relationships/hyperlink" Target="https://pmt.physicsandmathstutor.com/download/Maths/A-level/Mechanics/Kinematics-1/Edexcel-Set-C/QP/Kinematics%20-%20by%20Graphical%20Methods%20QP.pdf" TargetMode="External" Id="rId23" /><Relationship Type="http://schemas.openxmlformats.org/officeDocument/2006/relationships/hyperlink" Target="https://pmt.physicsandmathstutor.com/download/Maths/A-level/Mechanics/Kinematics-1/Edexcel-Set-C/MS/Kinematics%20-%20by%20Graphical%20Methods%20MS.pdf" TargetMode="External" Id="rId24" /><Relationship Type="http://schemas.openxmlformats.org/officeDocument/2006/relationships/hyperlink" Target="https://pmt.physicsandmathstutor.com/download/Maths/A-level/Mechanics/Kinematics-1/Edexcel-Set-C/MA/Kinematics%20-%20by%20Graphical%20Methods%20MA.pdf" TargetMode="External" Id="rId25" /><Relationship Type="http://schemas.openxmlformats.org/officeDocument/2006/relationships/hyperlink" Target="https://www.yesterdaysmathsexam.com/_files/ugd/1ba96f_ca5b2e753db74712a58a19f43cd20632.pdf" TargetMode="External" Id="rId26" /><Relationship Type="http://schemas.openxmlformats.org/officeDocument/2006/relationships/hyperlink" Target="https://www.yesterdaysmathsexam.com/_files/ugd/1ba96f_09e49e6ba51c4072a93a223aa3914a7a.pdf" TargetMode="External" Id="rId27" /><Relationship Type="http://schemas.openxmlformats.org/officeDocument/2006/relationships/hyperlink" Target="https://mathsgenie.co.uk/a-level/maths/edexcel/as-mechanics-constant-acceleration-formulae-1" TargetMode="External" Id="rId28" /><Relationship Type="http://schemas.openxmlformats.org/officeDocument/2006/relationships/hyperlink" Target="https://assets.mathsgenie.co.uk/content/worksheets/a_level_maths/constant-acceleration-e79b95b1.pdf" TargetMode="External" Id="rId29" /><Relationship Type="http://schemas.openxmlformats.org/officeDocument/2006/relationships/hyperlink" Target="https://assets.mathsgenie.co.uk/content/worksheets/a_level_maths/constant-acceleration-ans-ed4f0764.pdf" TargetMode="External" Id="rId30" /><Relationship Type="http://schemas.openxmlformats.org/officeDocument/2006/relationships/hyperlink" Target="https://pmt.physicsandmathstutor.com/download/Maths/A-level/Mechanics/Kinematics-1/Edexcel-Set-C/QP/Kinematics%20-%20Uniform%20Acceleration%20Formulae%20QP.pdf" TargetMode="External" Id="rId31" /><Relationship Type="http://schemas.openxmlformats.org/officeDocument/2006/relationships/hyperlink" Target="https://pmt.physicsandmathstutor.com/download/Maths/A-level/Mechanics/Kinematics-1/Edexcel-Set-C/MS/Kinematics%20-%20Uniform%20Acceleration%20Formulae%20MS.pdf" TargetMode="External" Id="rId32" /><Relationship Type="http://schemas.openxmlformats.org/officeDocument/2006/relationships/hyperlink" Target="https://pmt.physicsandmathstutor.com/download/Maths/A-level/Mechanics/Kinematics-1/Edexcel-Set-C/MA/Kinematics%20-%20Uniform%20Acceleration%20Formulae%20MA.pdf" TargetMode="External" Id="rId33" /><Relationship Type="http://schemas.openxmlformats.org/officeDocument/2006/relationships/hyperlink" Target="https://www.yesterdaysmathsexam.com/_files/ugd/1ba96f_ca5b2e753db74712a58a19f43cd20632.pdf" TargetMode="External" Id="rId34" /><Relationship Type="http://schemas.openxmlformats.org/officeDocument/2006/relationships/hyperlink" Target="https://www.yesterdaysmathsexam.com/_files/ugd/1ba96f_09e49e6ba51c4072a93a223aa3914a7a.pdf" TargetMode="External" Id="rId35" /><Relationship Type="http://schemas.openxmlformats.org/officeDocument/2006/relationships/hyperlink" Target="https://mathsgenie.co.uk/a-level/maths/edexcel/as-mechanics-constant-acceleration-formulae-2" TargetMode="External" Id="rId36" /><Relationship Type="http://schemas.openxmlformats.org/officeDocument/2006/relationships/hyperlink" Target="https://assets.mathsgenie.co.uk/content/worksheets/a_level_maths/constant-acceleration-e79b95b1.pdf" TargetMode="External" Id="rId37" /><Relationship Type="http://schemas.openxmlformats.org/officeDocument/2006/relationships/hyperlink" Target="https://assets.mathsgenie.co.uk/content/worksheets/a_level_maths/constant-acceleration-ans-ed4f0764.pdf" TargetMode="External" Id="rId38" /><Relationship Type="http://schemas.openxmlformats.org/officeDocument/2006/relationships/hyperlink" Target="https://pmt.physicsandmathstutor.com/download/Maths/A-level/Mechanics/Kinematics-1/Edexcel-Set-C/QP/Kinematics%20-%20by%20Graphical%20Methods%20QP.pdf" TargetMode="External" Id="rId39" /><Relationship Type="http://schemas.openxmlformats.org/officeDocument/2006/relationships/hyperlink" Target="https://pmt.physicsandmathstutor.com/download/Maths/A-level/Mechanics/Kinematics-1/Edexcel-Set-C/MS/Kinematics%20-%20by%20Graphical%20Methods%20MS.pdf" TargetMode="External" Id="rId40" /><Relationship Type="http://schemas.openxmlformats.org/officeDocument/2006/relationships/hyperlink" Target="https://pmt.physicsandmathstutor.com/download/Maths/A-level/Mechanics/Kinematics-1/Edexcel-Set-C/MA/Kinematics%20-%20by%20Graphical%20Methods%20MA.pdf" TargetMode="External" Id="rId41" /><Relationship Type="http://schemas.openxmlformats.org/officeDocument/2006/relationships/hyperlink" Target="https://www.yesterdaysmathsexam.com/_files/ugd/1ba96f_ca5b2e753db74712a58a19f43cd20632.pdf" TargetMode="External" Id="rId42" /><Relationship Type="http://schemas.openxmlformats.org/officeDocument/2006/relationships/hyperlink" Target="https://www.yesterdaysmathsexam.com/_files/ugd/1ba96f_09e49e6ba51c4072a93a223aa3914a7a.pdf" TargetMode="External" Id="rId43" /><Relationship Type="http://schemas.openxmlformats.org/officeDocument/2006/relationships/hyperlink" Target="https://mathsgenie.co.uk/a-level/maths/edexcel/as-mechanics-vertical-motion-under-gravity" TargetMode="External" Id="rId44" /><Relationship Type="http://schemas.openxmlformats.org/officeDocument/2006/relationships/hyperlink" Target="https://assets.mathsgenie.co.uk/content/worksheets/a_level_maths/constant-acceleration-e79b95b1.pdf" TargetMode="External" Id="rId45" /><Relationship Type="http://schemas.openxmlformats.org/officeDocument/2006/relationships/hyperlink" Target="https://assets.mathsgenie.co.uk/content/worksheets/a_level_maths/constant-acceleration-ans-ed4f0764.pdf" TargetMode="External" Id="rId46" /><Relationship Type="http://schemas.openxmlformats.org/officeDocument/2006/relationships/hyperlink" Target="https://pmt.physicsandmathstutor.com/download/Maths/A-level/Mechanics/Kinematics-1/Edexcel-Set-C/QP/Kinematics%20-%20Uniform%20Acceleration%20Formulae%20QP.pdf" TargetMode="External" Id="rId47" /><Relationship Type="http://schemas.openxmlformats.org/officeDocument/2006/relationships/hyperlink" Target="https://pmt.physicsandmathstutor.com/download/Maths/A-level/Mechanics/Kinematics-1/Edexcel-Set-C/MS/Kinematics%20-%20Uniform%20Acceleration%20Formulae%20MS.pdf" TargetMode="External" Id="rId48" /><Relationship Type="http://schemas.openxmlformats.org/officeDocument/2006/relationships/hyperlink" Target="https://pmt.physicsandmathstutor.com/download/Maths/A-level/Mechanics/Kinematics-1/Edexcel-Set-C/MA/Kinematics%20-%20Uniform%20Acceleration%20Formulae%20MA.pdf" TargetMode="External" Id="rId49" /><Relationship Type="http://schemas.openxmlformats.org/officeDocument/2006/relationships/hyperlink" Target="https://www.yesterdaysmathsexam.com/_files/ugd/1ba96f_ca5b2e753db74712a58a19f43cd20632.pdf" TargetMode="External" Id="rId50" /><Relationship Type="http://schemas.openxmlformats.org/officeDocument/2006/relationships/hyperlink" Target="https://www.yesterdaysmathsexam.com/_files/ugd/1ba96f_09e49e6ba51c4072a93a223aa3914a7a.pdf" TargetMode="External" Id="rId51" /><Relationship Type="http://schemas.openxmlformats.org/officeDocument/2006/relationships/hyperlink" Target="https://mathsgenie.co.uk/a-level/maths/edexcel/as-mechanics-using-differentiation" TargetMode="External" Id="rId52" /><Relationship Type="http://schemas.openxmlformats.org/officeDocument/2006/relationships/hyperlink" Target="https://assets.mathsgenie.co.uk/content/worksheets/as_level_maths/as-mechanics-variable-acceleration-229d3a0e.pdf" TargetMode="External" Id="rId53" /><Relationship Type="http://schemas.openxmlformats.org/officeDocument/2006/relationships/hyperlink" Target="https://assets.mathsgenie.co.uk/content/worksheets/as_level_maths/variable-acceleration-ans-23257282.pdf" TargetMode="External" Id="rId54" /><Relationship Type="http://schemas.openxmlformats.org/officeDocument/2006/relationships/hyperlink" Target="https://pmt.physicsandmathstutor.com/download/Maths/A-level/Mechanics/Kinematics-1/Edexcel-Set-C/QP/Kinematics%20-%20Problems%20in%20Calculus%20QP.pdf" TargetMode="External" Id="rId55" /><Relationship Type="http://schemas.openxmlformats.org/officeDocument/2006/relationships/hyperlink" Target="https://pmt.physicsandmathstutor.com/download/Maths/A-level/Mechanics/Kinematics-1/Edexcel-Set-C/MS/Kinematics%20-%20Problems%20in%20Calculus%20MS.pdf" TargetMode="External" Id="rId56" /><Relationship Type="http://schemas.openxmlformats.org/officeDocument/2006/relationships/hyperlink" Target="https://pmt.physicsandmathstutor.com/download/Maths/A-level/Mechanics/Kinematics-1/Edexcel-Set-C/MA/Kinematics%20-%20Problems%20in%20Calculus%20MA.pdf" TargetMode="External" Id="rId57" /><Relationship Type="http://schemas.openxmlformats.org/officeDocument/2006/relationships/hyperlink" Target="https://www.yesterdaysmathsexam.com/_files/ugd/1ba96f_03293376581b4798885139a1f84f1fcf.pdf" TargetMode="External" Id="rId58" /><Relationship Type="http://schemas.openxmlformats.org/officeDocument/2006/relationships/hyperlink" Target="https://www.yesterdaysmathsexam.com/_files/ugd/1ba96f_a0fe1265d5b14750ba99d38ec48aca2a.pdf" TargetMode="External" Id="rId59" /><Relationship Type="http://schemas.openxmlformats.org/officeDocument/2006/relationships/hyperlink" Target="https://mathsgenie.co.uk/a-level/maths/edexcel/as-mechanics-maxima-and-minima-problems" TargetMode="External" Id="rId60" /><Relationship Type="http://schemas.openxmlformats.org/officeDocument/2006/relationships/hyperlink" Target="https://assets.mathsgenie.co.uk/content/worksheets/as_level_maths/as-mechanics-variable-acceleration-229d3a0e.pdf" TargetMode="External" Id="rId61" /><Relationship Type="http://schemas.openxmlformats.org/officeDocument/2006/relationships/hyperlink" Target="https://assets.mathsgenie.co.uk/content/worksheets/as_level_maths/variable-acceleration-ans-23257282.pdf" TargetMode="External" Id="rId62" /><Relationship Type="http://schemas.openxmlformats.org/officeDocument/2006/relationships/hyperlink" Target="https://pmt.physicsandmathstutor.com/download/Maths/A-level/Mechanics/Kinematics-1/Edexcel-Set-C/QP/Kinematics%20-%20Problems%20in%20Calculus%20QP.pdf" TargetMode="External" Id="rId63" /><Relationship Type="http://schemas.openxmlformats.org/officeDocument/2006/relationships/hyperlink" Target="https://pmt.physicsandmathstutor.com/download/Maths/A-level/Mechanics/Kinematics-1/Edexcel-Set-C/MS/Kinematics%20-%20Problems%20in%20Calculus%20MS.pdf" TargetMode="External" Id="rId64" /><Relationship Type="http://schemas.openxmlformats.org/officeDocument/2006/relationships/hyperlink" Target="https://pmt.physicsandmathstutor.com/download/Maths/A-level/Mechanics/Kinematics-1/Edexcel-Set-C/MA/Kinematics%20-%20Problems%20in%20Calculus%20MA.pdf" TargetMode="External" Id="rId65" /><Relationship Type="http://schemas.openxmlformats.org/officeDocument/2006/relationships/hyperlink" Target="https://www.yesterdaysmathsexam.com/_files/ugd/1ba96f_03293376581b4798885139a1f84f1fcf.pdf" TargetMode="External" Id="rId66" /><Relationship Type="http://schemas.openxmlformats.org/officeDocument/2006/relationships/hyperlink" Target="https://www.yesterdaysmathsexam.com/_files/ugd/1ba96f_a0fe1265d5b14750ba99d38ec48aca2a.pdf" TargetMode="External" Id="rId67" /><Relationship Type="http://schemas.openxmlformats.org/officeDocument/2006/relationships/hyperlink" Target="https://mathsgenie.co.uk/a-level/maths/edexcel/as-mechanics-using-integration" TargetMode="External" Id="rId68" /><Relationship Type="http://schemas.openxmlformats.org/officeDocument/2006/relationships/hyperlink" Target="https://assets.mathsgenie.co.uk/content/worksheets/as_level_maths/as-mechanics-variable-acceleration-229d3a0e.pdf" TargetMode="External" Id="rId69" /><Relationship Type="http://schemas.openxmlformats.org/officeDocument/2006/relationships/hyperlink" Target="https://assets.mathsgenie.co.uk/content/worksheets/as_level_maths/variable-acceleration-ans-23257282.pdf" TargetMode="External" Id="rId70" /><Relationship Type="http://schemas.openxmlformats.org/officeDocument/2006/relationships/hyperlink" Target="https://pmt.physicsandmathstutor.com/download/Maths/A-level/Mechanics/Kinematics-1/Edexcel-Set-C/QP/Kinematics%20-%20Problems%20in%20Calculus%20QP.pdf" TargetMode="External" Id="rId71" /><Relationship Type="http://schemas.openxmlformats.org/officeDocument/2006/relationships/hyperlink" Target="https://pmt.physicsandmathstutor.com/download/Maths/A-level/Mechanics/Kinematics-1/Edexcel-Set-C/MS/Kinematics%20-%20Problems%20in%20Calculus%20MS.pdf" TargetMode="External" Id="rId72" /><Relationship Type="http://schemas.openxmlformats.org/officeDocument/2006/relationships/hyperlink" Target="https://pmt.physicsandmathstutor.com/download/Maths/A-level/Mechanics/Kinematics-1/Edexcel-Set-C/MA/Kinematics%20-%20Problems%20in%20Calculus%20MA.pdf" TargetMode="External" Id="rId73" /><Relationship Type="http://schemas.openxmlformats.org/officeDocument/2006/relationships/hyperlink" Target="https://www.yesterdaysmathsexam.com/_files/ugd/1ba96f_03293376581b4798885139a1f84f1fcf.pdf" TargetMode="External" Id="rId74" /><Relationship Type="http://schemas.openxmlformats.org/officeDocument/2006/relationships/hyperlink" Target="https://www.yesterdaysmathsexam.com/_files/ugd/1ba96f_a0fe1265d5b14750ba99d38ec48aca2a.pdf" TargetMode="External" Id="rId75" /><Relationship Type="http://schemas.openxmlformats.org/officeDocument/2006/relationships/hyperlink" Target="https://mathsgenie.co.uk/a-level/maths/edexcel/as-mechanics-constant-acceleration-formulae" TargetMode="External" Id="rId76" /><Relationship Type="http://schemas.openxmlformats.org/officeDocument/2006/relationships/hyperlink" Target="https://assets.mathsgenie.co.uk/content/worksheets/as_level_maths/as-mechanics-variable-acceleration-229d3a0e.pdf" TargetMode="External" Id="rId77" /><Relationship Type="http://schemas.openxmlformats.org/officeDocument/2006/relationships/hyperlink" Target="https://assets.mathsgenie.co.uk/content/worksheets/as_level_maths/variable-acceleration-ans-23257282.pdf" TargetMode="External" Id="rId78" /><Relationship Type="http://schemas.openxmlformats.org/officeDocument/2006/relationships/hyperlink" Target="https://www.yesterdaysmathsexam.com/_files/ugd/1ba96f_03293376581b4798885139a1f84f1fcf.pdf" TargetMode="External" Id="rId79" /><Relationship Type="http://schemas.openxmlformats.org/officeDocument/2006/relationships/hyperlink" Target="https://www.yesterdaysmathsexam.com/_files/ugd/1ba96f_a0fe1265d5b14750ba99d38ec48aca2a.pdf" TargetMode="External" Id="rId80" /><Relationship Type="http://schemas.openxmlformats.org/officeDocument/2006/relationships/hyperlink" Target="https://mathsgenie.co.uk/a-level/maths/edexcel/a-level-mechanics-vectors-in-kinematics" TargetMode="External" Id="rId81" /><Relationship Type="http://schemas.openxmlformats.org/officeDocument/2006/relationships/hyperlink" Target="https://assets.mathsgenie.co.uk/content/worksheets/a_level_maths/further-kinematics-0e6d3c8b.pdf" TargetMode="External" Id="rId82" /><Relationship Type="http://schemas.openxmlformats.org/officeDocument/2006/relationships/hyperlink" Target="https://assets.mathsgenie.co.uk/content/worksheets/a_level_maths/further-kinematics-ans-18f15cf2.pdf" TargetMode="External" Id="rId83" /><Relationship Type="http://schemas.openxmlformats.org/officeDocument/2006/relationships/hyperlink" Target="https://pmt.physicsandmathstutor.com/download/Maths/A-level/Mechanics/Kinematics-2/Edexcel-Set-C/QP/Kinematics%20-%20Uniform%20Acceleration%20Formulae%20QP.pdf" TargetMode="External" Id="rId84" /><Relationship Type="http://schemas.openxmlformats.org/officeDocument/2006/relationships/hyperlink" Target="https://pmt.physicsandmathstutor.com/download/Maths/A-level/Mechanics/Kinematics-2/Edexcel-Set-C/MS/Kinematics%20-%20Uniform%20Acceleration%20Formulae%20MS.pdf" TargetMode="External" Id="rId85" /><Relationship Type="http://schemas.openxmlformats.org/officeDocument/2006/relationships/hyperlink" Target="https://pmt.physicsandmathstutor.com/download/Maths/A-level/Mechanics/Kinematics-2/Edexcel-Set-C/MA/Kinematics%20-%20Uniform%20Acceleration%20Formulae%20MA.pdf" TargetMode="External" Id="rId86" /><Relationship Type="http://schemas.openxmlformats.org/officeDocument/2006/relationships/hyperlink" Target="https://www.yesterdaysmathsexam.com/_files/ugd/1ba96f_6797340efb45461d82d40b09003d7b87.pdf" TargetMode="External" Id="rId87" /><Relationship Type="http://schemas.openxmlformats.org/officeDocument/2006/relationships/hyperlink" Target="https://www.yesterdaysmathsexam.com/_files/ugd/1ba96f_1be075b9bf254ea9af9b6a1ae5e869d1.pdf" TargetMode="External" Id="rId88" /><Relationship Type="http://schemas.openxmlformats.org/officeDocument/2006/relationships/hyperlink" Target="https://mathsgenie.co.uk/a-level/maths/edexcel/a-level-mechanics-differentiating-vectors" TargetMode="External" Id="rId89" /><Relationship Type="http://schemas.openxmlformats.org/officeDocument/2006/relationships/hyperlink" Target="https://assets.mathsgenie.co.uk/content/worksheets/a_level_maths/further-kinematics-0e6d3c8b.pdf" TargetMode="External" Id="rId90" /><Relationship Type="http://schemas.openxmlformats.org/officeDocument/2006/relationships/hyperlink" Target="https://assets.mathsgenie.co.uk/content/worksheets/a_level_maths/further-kinematics-ans-18f15cf2.pdf" TargetMode="External" Id="rId91" /><Relationship Type="http://schemas.openxmlformats.org/officeDocument/2006/relationships/hyperlink" Target="https://pmt.physicsandmathstutor.com/download/Maths/A-level/Mechanics/Kinematics-2/Edexcel-Set-C/QP/Kinematics%20-%20Problems%20in%20Calculus%20QP.pdf" TargetMode="External" Id="rId92" /><Relationship Type="http://schemas.openxmlformats.org/officeDocument/2006/relationships/hyperlink" Target="https://pmt.physicsandmathstutor.com/download/Maths/A-level/Mechanics/Kinematics-2/Edexcel-Set-C/MS/Kinematics%20-%20Problems%20in%20Calculus%20MS.pdf" TargetMode="External" Id="rId93" /><Relationship Type="http://schemas.openxmlformats.org/officeDocument/2006/relationships/hyperlink" Target="https://pmt.physicsandmathstutor.com/download/Maths/A-level/Mechanics/Kinematics-2/Edexcel-Set-C/MA/Kinematics%20-%20Problems%20in%20Calculus%20MA.pdf" TargetMode="External" Id="rId94" /><Relationship Type="http://schemas.openxmlformats.org/officeDocument/2006/relationships/hyperlink" Target="https://www.yesterdaysmathsexam.com/_files/ugd/1ba96f_6797340efb45461d82d40b09003d7b87.pdf" TargetMode="External" Id="rId95" /><Relationship Type="http://schemas.openxmlformats.org/officeDocument/2006/relationships/hyperlink" Target="https://www.yesterdaysmathsexam.com/_files/ugd/1ba96f_1be075b9bf254ea9af9b6a1ae5e869d1.pdf" TargetMode="External" Id="rId96" /><Relationship Type="http://schemas.openxmlformats.org/officeDocument/2006/relationships/hyperlink" Target="https://mathsgenie.co.uk/a-level/maths/edexcel/a-level-mechanics-horizontal-projection" TargetMode="External" Id="rId97" /><Relationship Type="http://schemas.openxmlformats.org/officeDocument/2006/relationships/hyperlink" Target="https://assets.mathsgenie.co.uk/content/worksheets/a_level_maths/projectiles-892f2e50.pdf" TargetMode="External" Id="rId98" /><Relationship Type="http://schemas.openxmlformats.org/officeDocument/2006/relationships/hyperlink" Target="https://assets.mathsgenie.co.uk/content/worksheets/a_level_maths/projectiles-ans-97e24b40.pdf" TargetMode="External" Id="rId99" /><Relationship Type="http://schemas.openxmlformats.org/officeDocument/2006/relationships/hyperlink" Target="https://www.yesterdaysmathsexam.com/_files/ugd/1ba96f_b07a482d94fc4ddab9a44221dec61693.pdf" TargetMode="External" Id="rId100" /><Relationship Type="http://schemas.openxmlformats.org/officeDocument/2006/relationships/hyperlink" Target="https://www.yesterdaysmathsexam.com/_files/ugd/1ba96f_dc75bd77c5d0434bbe8bba090a9ea2a9.pdf" TargetMode="External" Id="rId101" /><Relationship Type="http://schemas.openxmlformats.org/officeDocument/2006/relationships/hyperlink" Target="https://mathsgenie.co.uk/a-level/maths/edexcel/a-level-mechanics-projection-at-any-angle" TargetMode="External" Id="rId102" /><Relationship Type="http://schemas.openxmlformats.org/officeDocument/2006/relationships/hyperlink" Target="https://assets.mathsgenie.co.uk/content/worksheets/a_level_maths/projectiles-892f2e50.pdf" TargetMode="External" Id="rId103" /><Relationship Type="http://schemas.openxmlformats.org/officeDocument/2006/relationships/hyperlink" Target="https://assets.mathsgenie.co.uk/content/worksheets/a_level_maths/projectiles-ans-97e24b40.pdf" TargetMode="External" Id="rId104" /><Relationship Type="http://schemas.openxmlformats.org/officeDocument/2006/relationships/hyperlink" Target="https://pmt.physicsandmathstutor.com/download/Maths/A-level/Mechanics/Kinematics-2/Edexcel-Set-C/QP/Kinematics%20-%20Projectiles%20QP.pdf" TargetMode="External" Id="rId105" /><Relationship Type="http://schemas.openxmlformats.org/officeDocument/2006/relationships/hyperlink" Target="https://pmt.physicsandmathstutor.com/download/Maths/A-level/Mechanics/Kinematics-2/Edexcel-Set-C/MS/Kinematics%20-%20Projectiles%20MS.pdf" TargetMode="External" Id="rId106" /><Relationship Type="http://schemas.openxmlformats.org/officeDocument/2006/relationships/hyperlink" Target="https://pmt.physicsandmathstutor.com/download/Maths/A-level/Mechanics/Kinematics-2/Edexcel-Set-C/MA/Kinematics%20-%20Projectiles%20MA.pdf" TargetMode="External" Id="rId107" /><Relationship Type="http://schemas.openxmlformats.org/officeDocument/2006/relationships/hyperlink" Target="https://www.yesterdaysmathsexam.com/_files/ugd/1ba96f_b07a482d94fc4ddab9a44221dec61693.pdf" TargetMode="External" Id="rId108" /><Relationship Type="http://schemas.openxmlformats.org/officeDocument/2006/relationships/hyperlink" Target="https://www.yesterdaysmathsexam.com/_files/ugd/1ba96f_dc75bd77c5d0434bbe8bba090a9ea2a9.pdf" TargetMode="External" Id="rId109" /><Relationship Type="http://schemas.openxmlformats.org/officeDocument/2006/relationships/hyperlink" Target="https://mathsgenie.co.uk/a-level/maths/edexcel/a-level-mechanics-projectile-motion-formulae" TargetMode="External" Id="rId110" /><Relationship Type="http://schemas.openxmlformats.org/officeDocument/2006/relationships/hyperlink" Target="https://assets.mathsgenie.co.uk/content/worksheets/a_level_maths/projectiles-892f2e50.pdf" TargetMode="External" Id="rId111" /><Relationship Type="http://schemas.openxmlformats.org/officeDocument/2006/relationships/hyperlink" Target="https://assets.mathsgenie.co.uk/content/worksheets/a_level_maths/projectiles-ans-97e24b40.pdf" TargetMode="External" Id="rId112" /><Relationship Type="http://schemas.openxmlformats.org/officeDocument/2006/relationships/hyperlink" Target="https://pmt.physicsandmathstutor.com/download/Maths/A-level/Mechanics/Kinematics-2/Edexcel-Set-C/QP/Kinematics%20-%20Projectiles%20QP.pdf" TargetMode="External" Id="rId113" /><Relationship Type="http://schemas.openxmlformats.org/officeDocument/2006/relationships/hyperlink" Target="https://pmt.physicsandmathstutor.com/download/Maths/A-level/Mechanics/Kinematics-2/Edexcel-Set-C/MS/Kinematics%20-%20Projectiles%20MS.pdf" TargetMode="External" Id="rId114" /><Relationship Type="http://schemas.openxmlformats.org/officeDocument/2006/relationships/hyperlink" Target="https://pmt.physicsandmathstutor.com/download/Maths/A-level/Mechanics/Kinematics-2/Edexcel-Set-C/MA/Kinematics%20-%20Projectiles%20MA.pdf" TargetMode="External" Id="rId115" /><Relationship Type="http://schemas.openxmlformats.org/officeDocument/2006/relationships/hyperlink" Target="https://www.yesterdaysmathsexam.com/_files/ugd/1ba96f_b07a482d94fc4ddab9a44221dec61693.pdf" TargetMode="External" Id="rId116" /><Relationship Type="http://schemas.openxmlformats.org/officeDocument/2006/relationships/hyperlink" Target="https://www.yesterdaysmathsexam.com/_files/ugd/1ba96f_dc75bd77c5d0434bbe8bba090a9ea2a9.pdf" TargetMode="External" Id="rId117" /><Relationship Type="http://schemas.openxmlformats.org/officeDocument/2006/relationships/hyperlink" Target="https://mathsgenie.co.uk/a-level/maths/edexcel/as-mechanics-force-diagrams" TargetMode="External" Id="rId118" /><Relationship Type="http://schemas.openxmlformats.org/officeDocument/2006/relationships/hyperlink" Target="https://assets.mathsgenie.co.uk/content/worksheets/as_level_maths/forces-and-motion-44ac0226.pdf" TargetMode="External" Id="rId119" /><Relationship Type="http://schemas.openxmlformats.org/officeDocument/2006/relationships/hyperlink" Target="https://assets.mathsgenie.co.uk/content/worksheets/as_level_maths/forces-and-motion-ans-54858836.pdf" TargetMode="External" Id="rId120" /><Relationship Type="http://schemas.openxmlformats.org/officeDocument/2006/relationships/hyperlink" Target="https://pmt.physicsandmathstutor.com/download/Maths/A-level/Mechanics/Forces-and-Newtons-Laws-1/Edexcel-Set-C/QP/Forces%20and%20Newton%27s%20Laws%20of%20Motion%20QP.pdf" TargetMode="External" Id="rId121" /><Relationship Type="http://schemas.openxmlformats.org/officeDocument/2006/relationships/hyperlink" Target="https://pmt.physicsandmathstutor.com/download/Maths/A-level/Mechanics/Forces-and-Newtons-Laws-1/Edexcel-Set-C/MS/Forces%20and%20Newton%27s%20Laws%20of%20Motion%20MS.pdf" TargetMode="External" Id="rId122" /><Relationship Type="http://schemas.openxmlformats.org/officeDocument/2006/relationships/hyperlink" Target="https://pmt.physicsandmathstutor.com/download/Maths/A-level/Mechanics/Forces-and-Newtons-Laws-1/Edexcel-Set-C/MA/Forces%20and%20Newton%27s%20Laws%20of%20Motion%20MA.pdf" TargetMode="External" Id="rId123" /><Relationship Type="http://schemas.openxmlformats.org/officeDocument/2006/relationships/hyperlink" Target="https://www.yesterdaysmathsexam.com/_files/ugd/1ba96f_f4b7f4620bcf40dcba318fe559b4949a.pdf" TargetMode="External" Id="rId124" /><Relationship Type="http://schemas.openxmlformats.org/officeDocument/2006/relationships/hyperlink" Target="https://www.yesterdaysmathsexam.com/_files/ugd/1ba96f_fbd15a4c534c45a3b09ac76fbd95c2b1.pdf" TargetMode="External" Id="rId125" /><Relationship Type="http://schemas.openxmlformats.org/officeDocument/2006/relationships/hyperlink" Target="https://mathsgenie.co.uk/a-level/maths/edexcel/as-mechanics-forces-as-vectors" TargetMode="External" Id="rId126" /><Relationship Type="http://schemas.openxmlformats.org/officeDocument/2006/relationships/hyperlink" Target="https://assets.mathsgenie.co.uk/content/worksheets/as_level_maths/forces-and-motion-44ac0226.pdf" TargetMode="External" Id="rId127" /><Relationship Type="http://schemas.openxmlformats.org/officeDocument/2006/relationships/hyperlink" Target="https://assets.mathsgenie.co.uk/content/worksheets/as_level_maths/forces-and-motion-ans-54858836.pdf" TargetMode="External" Id="rId128" /><Relationship Type="http://schemas.openxmlformats.org/officeDocument/2006/relationships/hyperlink" Target="https://pmt.physicsandmathstutor.com/download/Maths/A-level/Mechanics/Forces-and-Newtons-Laws-1/Edexcel-Set-C/QP/Forces%20and%20Newton%27s%20Laws%20of%20Motion%20QP.pdf" TargetMode="External" Id="rId129" /><Relationship Type="http://schemas.openxmlformats.org/officeDocument/2006/relationships/hyperlink" Target="https://pmt.physicsandmathstutor.com/download/Maths/A-level/Mechanics/Forces-and-Newtons-Laws-1/Edexcel-Set-C/MS/Forces%20and%20Newton%27s%20Laws%20of%20Motion%20MS.pdf" TargetMode="External" Id="rId130" /><Relationship Type="http://schemas.openxmlformats.org/officeDocument/2006/relationships/hyperlink" Target="https://pmt.physicsandmathstutor.com/download/Maths/A-level/Mechanics/Forces-and-Newtons-Laws-1/Edexcel-Set-C/MA/Forces%20and%20Newton%27s%20Laws%20of%20Motion%20MA.pdf" TargetMode="External" Id="rId131" /><Relationship Type="http://schemas.openxmlformats.org/officeDocument/2006/relationships/hyperlink" Target="https://www.yesterdaysmathsexam.com/_files/ugd/1ba96f_f4b7f4620bcf40dcba318fe559b4949a.pdf" TargetMode="External" Id="rId132" /><Relationship Type="http://schemas.openxmlformats.org/officeDocument/2006/relationships/hyperlink" Target="https://www.yesterdaysmathsexam.com/_files/ugd/1ba96f_fbd15a4c534c45a3b09ac76fbd95c2b1.pdf" TargetMode="External" Id="rId133" /><Relationship Type="http://schemas.openxmlformats.org/officeDocument/2006/relationships/hyperlink" Target="https://mathsgenie.co.uk/a-level/maths/edexcel/as-mechanics-forces-and-acceleration" TargetMode="External" Id="rId134" /><Relationship Type="http://schemas.openxmlformats.org/officeDocument/2006/relationships/hyperlink" Target="https://assets.mathsgenie.co.uk/content/worksheets/as_level_maths/forces-and-motion-44ac0226.pdf" TargetMode="External" Id="rId135" /><Relationship Type="http://schemas.openxmlformats.org/officeDocument/2006/relationships/hyperlink" Target="https://assets.mathsgenie.co.uk/content/worksheets/as_level_maths/forces-and-motion-ans-54858836.pdf" TargetMode="External" Id="rId136" /><Relationship Type="http://schemas.openxmlformats.org/officeDocument/2006/relationships/hyperlink" Target="https://pmt.physicsandmathstutor.com/download/Maths/A-level/Mechanics/Forces-and-Newtons-Laws-1/Edexcel-Set-C/QP/Forces%20and%20Newton%27s%20Laws%20of%20Motion%20QP.pdf" TargetMode="External" Id="rId137" /><Relationship Type="http://schemas.openxmlformats.org/officeDocument/2006/relationships/hyperlink" Target="https://pmt.physicsandmathstutor.com/download/Maths/A-level/Mechanics/Forces-and-Newtons-Laws-1/Edexcel-Set-C/MS/Forces%20and%20Newton%27s%20Laws%20of%20Motion%20MS.pdf" TargetMode="External" Id="rId138" /><Relationship Type="http://schemas.openxmlformats.org/officeDocument/2006/relationships/hyperlink" Target="https://pmt.physicsandmathstutor.com/download/Maths/A-level/Mechanics/Forces-and-Newtons-Laws-1/Edexcel-Set-C/MA/Forces%20and%20Newton%27s%20Laws%20of%20Motion%20MA.pdf" TargetMode="External" Id="rId139" /><Relationship Type="http://schemas.openxmlformats.org/officeDocument/2006/relationships/hyperlink" Target="https://www.yesterdaysmathsexam.com/_files/ugd/1ba96f_f4b7f4620bcf40dcba318fe559b4949a.pdf" TargetMode="External" Id="rId140" /><Relationship Type="http://schemas.openxmlformats.org/officeDocument/2006/relationships/hyperlink" Target="https://www.yesterdaysmathsexam.com/_files/ugd/1ba96f_fbd15a4c534c45a3b09ac76fbd95c2b1.pdf" TargetMode="External" Id="rId141" /><Relationship Type="http://schemas.openxmlformats.org/officeDocument/2006/relationships/hyperlink" Target="https://mathsgenie.co.uk/a-level/maths/edexcel/as-mechanics-motion-in-2-dimensions" TargetMode="External" Id="rId142" /><Relationship Type="http://schemas.openxmlformats.org/officeDocument/2006/relationships/hyperlink" Target="https://assets.mathsgenie.co.uk/content/worksheets/as_level_maths/forces-and-motion-44ac0226.pdf" TargetMode="External" Id="rId143" /><Relationship Type="http://schemas.openxmlformats.org/officeDocument/2006/relationships/hyperlink" Target="https://assets.mathsgenie.co.uk/content/worksheets/as_level_maths/forces-and-motion-ans-54858836.pdf" TargetMode="External" Id="rId144" /><Relationship Type="http://schemas.openxmlformats.org/officeDocument/2006/relationships/hyperlink" Target="https://pmt.physicsandmathstutor.com/download/Maths/A-level/Mechanics/Forces-and-Newtons-Laws-1/Edexcel-Set-C/QP/Forces%20and%20Newton%27s%20Laws%20of%20Motion%20QP.pdf" TargetMode="External" Id="rId145" /><Relationship Type="http://schemas.openxmlformats.org/officeDocument/2006/relationships/hyperlink" Target="https://pmt.physicsandmathstutor.com/download/Maths/A-level/Mechanics/Forces-and-Newtons-Laws-1/Edexcel-Set-C/MS/Forces%20and%20Newton%27s%20Laws%20of%20Motion%20MS.pdf" TargetMode="External" Id="rId146" /><Relationship Type="http://schemas.openxmlformats.org/officeDocument/2006/relationships/hyperlink" Target="https://pmt.physicsandmathstutor.com/download/Maths/A-level/Mechanics/Forces-and-Newtons-Laws-1/Edexcel-Set-C/MA/Forces%20and%20Newton%27s%20Laws%20of%20Motion%20MA.pdf" TargetMode="External" Id="rId147" /><Relationship Type="http://schemas.openxmlformats.org/officeDocument/2006/relationships/hyperlink" Target="https://www.yesterdaysmathsexam.com/_files/ugd/1ba96f_f4b7f4620bcf40dcba318fe559b4949a.pdf" TargetMode="External" Id="rId148" /><Relationship Type="http://schemas.openxmlformats.org/officeDocument/2006/relationships/hyperlink" Target="https://www.yesterdaysmathsexam.com/_files/ugd/1ba96f_fbd15a4c534c45a3b09ac76fbd95c2b1.pdf" TargetMode="External" Id="rId149" /><Relationship Type="http://schemas.openxmlformats.org/officeDocument/2006/relationships/hyperlink" Target="https://mathsgenie.co.uk/a-level/maths/edexcel/as-mechanics-connected-particles" TargetMode="External" Id="rId150" /><Relationship Type="http://schemas.openxmlformats.org/officeDocument/2006/relationships/hyperlink" Target="https://assets.mathsgenie.co.uk/content/worksheets/as_level_maths/forces-and-motion-44ac0226.pdf" TargetMode="External" Id="rId151" /><Relationship Type="http://schemas.openxmlformats.org/officeDocument/2006/relationships/hyperlink" Target="https://assets.mathsgenie.co.uk/content/worksheets/as_level_maths/forces-and-motion-ans-54858836.pdf" TargetMode="External" Id="rId152" /><Relationship Type="http://schemas.openxmlformats.org/officeDocument/2006/relationships/hyperlink" Target="https://pmt.physicsandmathstutor.com/download/Maths/A-level/Mechanics/Forces-and-Newtons-Laws-2/Edexcel-Set-C/QP/Dynamics%20-%20Connected%20Particles%20QP.pdf" TargetMode="External" Id="rId153" /><Relationship Type="http://schemas.openxmlformats.org/officeDocument/2006/relationships/hyperlink" Target="https://pmt.physicsandmathstutor.com/download/Maths/A-level/Mechanics/Forces-and-Newtons-Laws-2/Edexcel-Set-C/MS/Dynamics%20-%20Connected%20Particles%20MS.pdf" TargetMode="External" Id="rId154" /><Relationship Type="http://schemas.openxmlformats.org/officeDocument/2006/relationships/hyperlink" Target="https://pmt.physicsandmathstutor.com/download/Maths/A-level/Mechanics/Forces-and-Newtons-Laws-2/Edexcel-Set-C/MA/Dynamics%20-%20Connected%20Particles%20MA.pdf" TargetMode="External" Id="rId155" /><Relationship Type="http://schemas.openxmlformats.org/officeDocument/2006/relationships/hyperlink" Target="https://www.yesterdaysmathsexam.com/_files/ugd/1ba96f_f4b7f4620bcf40dcba318fe559b4949a.pdf" TargetMode="External" Id="rId156" /><Relationship Type="http://schemas.openxmlformats.org/officeDocument/2006/relationships/hyperlink" Target="https://www.yesterdaysmathsexam.com/_files/ugd/1ba96f_fbd15a4c534c45a3b09ac76fbd95c2b1.pdf" TargetMode="External" Id="rId157" /><Relationship Type="http://schemas.openxmlformats.org/officeDocument/2006/relationships/hyperlink" Target="https://mathsgenie.co.uk/a-level/maths/edexcel/as-mechanics-pulleys" TargetMode="External" Id="rId158" /><Relationship Type="http://schemas.openxmlformats.org/officeDocument/2006/relationships/hyperlink" Target="https://assets.mathsgenie.co.uk/content/worksheets/as_level_maths/forces-and-motion-44ac0226.pdf" TargetMode="External" Id="rId159" /><Relationship Type="http://schemas.openxmlformats.org/officeDocument/2006/relationships/hyperlink" Target="https://assets.mathsgenie.co.uk/content/worksheets/as_level_maths/forces-and-motion-ans-54858836.pdf" TargetMode="External" Id="rId160" /><Relationship Type="http://schemas.openxmlformats.org/officeDocument/2006/relationships/hyperlink" Target="https://pmt.physicsandmathstutor.com/download/Maths/A-level/Mechanics/Forces-and-Newtons-Laws-2/Edexcel-Set-C/QP/Dynamics%20-%20Connected%20Particles%20QP.pdf" TargetMode="External" Id="rId161" /><Relationship Type="http://schemas.openxmlformats.org/officeDocument/2006/relationships/hyperlink" Target="https://pmt.physicsandmathstutor.com/download/Maths/A-level/Mechanics/Forces-and-Newtons-Laws-2/Edexcel-Set-C/MS/Dynamics%20-%20Connected%20Particles%20MS.pdf" TargetMode="External" Id="rId162" /><Relationship Type="http://schemas.openxmlformats.org/officeDocument/2006/relationships/hyperlink" Target="https://pmt.physicsandmathstutor.com/download/Maths/A-level/Mechanics/Forces-and-Newtons-Laws-2/Edexcel-Set-C/MA/Dynamics%20-%20Connected%20Particles%20MA.pdf" TargetMode="External" Id="rId163" /><Relationship Type="http://schemas.openxmlformats.org/officeDocument/2006/relationships/hyperlink" Target="https://www.yesterdaysmathsexam.com/_files/ugd/1ba96f_f4b7f4620bcf40dcba318fe559b4949a.pdf" TargetMode="External" Id="rId164" /><Relationship Type="http://schemas.openxmlformats.org/officeDocument/2006/relationships/hyperlink" Target="https://www.yesterdaysmathsexam.com/_files/ugd/1ba96f_fbd15a4c534c45a3b09ac76fbd95c2b1.pdf" TargetMode="External" Id="rId165" /><Relationship Type="http://schemas.openxmlformats.org/officeDocument/2006/relationships/hyperlink" Target="https://mathsgenie.co.uk/a-level/maths/edexcel/a-level-mechanics-resolving-forces" TargetMode="External" Id="rId166" /><Relationship Type="http://schemas.openxmlformats.org/officeDocument/2006/relationships/hyperlink" Target="https://assets.mathsgenie.co.uk/content/worksheets/a_level_maths/forces-and-friction-a67d1967.pdf" TargetMode="External" Id="rId167" /><Relationship Type="http://schemas.openxmlformats.org/officeDocument/2006/relationships/hyperlink" Target="https://assets.mathsgenie.co.uk/content/worksheets/a_level_maths/forces-and-friction-ans-702dd276.pdf" TargetMode="External" Id="rId168" /><Relationship Type="http://schemas.openxmlformats.org/officeDocument/2006/relationships/hyperlink" Target="https://pmt.physicsandmathstutor.com/download/Maths/A-level/Mechanics/Forces-and-Newtons-Laws-2/Edexcel-Set-C/QP/Forces%20and%20Newton%27s%20Laws%20of%20Motion%20QP.pdf" TargetMode="External" Id="rId169" /><Relationship Type="http://schemas.openxmlformats.org/officeDocument/2006/relationships/hyperlink" Target="https://pmt.physicsandmathstutor.com/download/Maths/A-level/Mechanics/Forces-and-Newtons-Laws-2/Edexcel-Set-C/MS/Forces%20and%20Newton%27s%20Laws%20of%20Motion%20MS.pdf" TargetMode="External" Id="rId170" /><Relationship Type="http://schemas.openxmlformats.org/officeDocument/2006/relationships/hyperlink" Target="https://pmt.physicsandmathstutor.com/download/Maths/A-level/Mechanics/Forces-and-Newtons-Laws-2/Edexcel-Set-C/MA/Forces%20and%20Newton%27s%20Laws%20of%20Motion%20MA.pdf" TargetMode="External" Id="rId171" /><Relationship Type="http://schemas.openxmlformats.org/officeDocument/2006/relationships/hyperlink" Target="https://www.yesterdaysmathsexam.com/_files/ugd/1ba96f_188b80f80c924a7bb79682e7b0cef99e.pdf" TargetMode="External" Id="rId172" /><Relationship Type="http://schemas.openxmlformats.org/officeDocument/2006/relationships/hyperlink" Target="https://www.yesterdaysmathsexam.com/_files/ugd/1ba96f_492f9020e4ef4563b32683b63932ae6d.pdf" TargetMode="External" Id="rId173" /><Relationship Type="http://schemas.openxmlformats.org/officeDocument/2006/relationships/hyperlink" Target="https://mathsgenie.co.uk/a-level/maths/edexcel/a-level-mechanics-inclined-planes" TargetMode="External" Id="rId174" /><Relationship Type="http://schemas.openxmlformats.org/officeDocument/2006/relationships/hyperlink" Target="https://assets.mathsgenie.co.uk/content/worksheets/a_level_maths/forces-and-friction-a67d1967.pdf" TargetMode="External" Id="rId175" /><Relationship Type="http://schemas.openxmlformats.org/officeDocument/2006/relationships/hyperlink" Target="https://assets.mathsgenie.co.uk/content/worksheets/a_level_maths/forces-and-friction-ans-702dd276.pdf" TargetMode="External" Id="rId176" /><Relationship Type="http://schemas.openxmlformats.org/officeDocument/2006/relationships/hyperlink" Target="https://pmt.physicsandmathstutor.com/download/Maths/A-level/Mechanics/Forces-and-Newtons-Laws-2/Edexcel-Set-C/QP/Dynamics%20-%20F%20%3D%20ma%20on%20a%20slope%20QP.pdf" TargetMode="External" Id="rId177" /><Relationship Type="http://schemas.openxmlformats.org/officeDocument/2006/relationships/hyperlink" Target="https://pmt.physicsandmathstutor.com/download/Maths/A-level/Mechanics/Forces-and-Newtons-Laws-2/Edexcel-Set-C/MS/Dynamics%20-%20F%20%3D%20ma%20on%20a%20slope%20MS.pdf" TargetMode="External" Id="rId178" /><Relationship Type="http://schemas.openxmlformats.org/officeDocument/2006/relationships/hyperlink" Target="https://pmt.physicsandmathstutor.com/download/Maths/A-level/Mechanics/Forces-and-Newtons-Laws-2/Edexcel-Set-C/MA/Dynamics%20-%20F%20%3D%20ma%20on%20a%20slope%20MA.pdf" TargetMode="External" Id="rId179" /><Relationship Type="http://schemas.openxmlformats.org/officeDocument/2006/relationships/hyperlink" Target="https://www.yesterdaysmathsexam.com/_files/ugd/1ba96f_188b80f80c924a7bb79682e7b0cef99e.pdf" TargetMode="External" Id="rId180" /><Relationship Type="http://schemas.openxmlformats.org/officeDocument/2006/relationships/hyperlink" Target="https://www.yesterdaysmathsexam.com/_files/ugd/1ba96f_492f9020e4ef4563b32683b63932ae6d.pdf" TargetMode="External" Id="rId181" /><Relationship Type="http://schemas.openxmlformats.org/officeDocument/2006/relationships/hyperlink" Target="https://mathsgenie.co.uk/a-level/maths/edexcel/a-level-mechanics-friction" TargetMode="External" Id="rId182" /><Relationship Type="http://schemas.openxmlformats.org/officeDocument/2006/relationships/hyperlink" Target="https://assets.mathsgenie.co.uk/content/worksheets/a_level_maths/forces-and-friction-a67d1967.pdf" TargetMode="External" Id="rId183" /><Relationship Type="http://schemas.openxmlformats.org/officeDocument/2006/relationships/hyperlink" Target="https://assets.mathsgenie.co.uk/content/worksheets/a_level_maths/forces-and-friction-ans-702dd276.pdf" TargetMode="External" Id="rId184" /><Relationship Type="http://schemas.openxmlformats.org/officeDocument/2006/relationships/hyperlink" Target="https://pmt.physicsandmathstutor.com/download/Maths/A-level/Mechanics/Forces-and-Newtons-Laws-2/Edexcel-Set-C/QP/Dynamics%20-%20F%20%3D%20ma%20on%20a%20slope%20QP.pdf" TargetMode="External" Id="rId185" /><Relationship Type="http://schemas.openxmlformats.org/officeDocument/2006/relationships/hyperlink" Target="https://pmt.physicsandmathstutor.com/download/Maths/A-level/Mechanics/Forces-and-Newtons-Laws-2/Edexcel-Set-C/MS/Dynamics%20-%20F%20%3D%20ma%20on%20a%20slope%20MS.pdf" TargetMode="External" Id="rId186" /><Relationship Type="http://schemas.openxmlformats.org/officeDocument/2006/relationships/hyperlink" Target="https://pmt.physicsandmathstutor.com/download/Maths/A-level/Mechanics/Forces-and-Newtons-Laws-2/Edexcel-Set-C/MA/Dynamics%20-%20F%20%3D%20ma%20on%20a%20slope%20MA.pdf" TargetMode="External" Id="rId187" /><Relationship Type="http://schemas.openxmlformats.org/officeDocument/2006/relationships/hyperlink" Target="https://www.yesterdaysmathsexam.com/_files/ugd/1ba96f_188b80f80c924a7bb79682e7b0cef99e.pdf" TargetMode="External" Id="rId188" /><Relationship Type="http://schemas.openxmlformats.org/officeDocument/2006/relationships/hyperlink" Target="https://www.yesterdaysmathsexam.com/_files/ugd/1ba96f_492f9020e4ef4563b32683b63932ae6d.pdf" TargetMode="External" Id="rId189" /><Relationship Type="http://schemas.openxmlformats.org/officeDocument/2006/relationships/hyperlink" Target="https://mathsgenie.co.uk/a-level/maths/edexcel/a-level-mechanics-static-particles" TargetMode="External" Id="rId190" /><Relationship Type="http://schemas.openxmlformats.org/officeDocument/2006/relationships/hyperlink" Target="https://assets.mathsgenie.co.uk/content/worksheets/a_level_maths/applications-of-forces-457885b2.pdf" TargetMode="External" Id="rId191" /><Relationship Type="http://schemas.openxmlformats.org/officeDocument/2006/relationships/hyperlink" Target="https://assets.mathsgenie.co.uk/content/worksheets/a_level_maths/applications-of-forces-ans-863b54af.pdf" TargetMode="External" Id="rId192" /><Relationship Type="http://schemas.openxmlformats.org/officeDocument/2006/relationships/hyperlink" Target="https://pmt.physicsandmathstutor.com/download/Maths/A-level/Mechanics/Forces-and-Newtons-Laws-2/Edexcel-Set-C/QP/Forces%20and%20Newton%27s%20Laws%20of%20Motion%20QP.pdf" TargetMode="External" Id="rId193" /><Relationship Type="http://schemas.openxmlformats.org/officeDocument/2006/relationships/hyperlink" Target="https://pmt.physicsandmathstutor.com/download/Maths/A-level/Mechanics/Forces-and-Newtons-Laws-2/Edexcel-Set-C/MS/Forces%20and%20Newton%27s%20Laws%20of%20Motion%20MS.pdf" TargetMode="External" Id="rId194" /><Relationship Type="http://schemas.openxmlformats.org/officeDocument/2006/relationships/hyperlink" Target="https://pmt.physicsandmathstutor.com/download/Maths/A-level/Mechanics/Forces-and-Newtons-Laws-2/Edexcel-Set-C/MA/Forces%20and%20Newton%27s%20Laws%20of%20Motion%20MA.pdf" TargetMode="External" Id="rId195" /><Relationship Type="http://schemas.openxmlformats.org/officeDocument/2006/relationships/hyperlink" Target="https://www.yesterdaysmathsexam.com/_files/ugd/1ba96f_188b80f80c924a7bb79682e7b0cef99e.pdf" TargetMode="External" Id="rId196" /><Relationship Type="http://schemas.openxmlformats.org/officeDocument/2006/relationships/hyperlink" Target="https://www.yesterdaysmathsexam.com/_files/ugd/1ba96f_492f9020e4ef4563b32683b63932ae6d.pdf" TargetMode="External" Id="rId197" /><Relationship Type="http://schemas.openxmlformats.org/officeDocument/2006/relationships/hyperlink" Target="https://mathsgenie.co.uk/a-level/maths/edexcel/a-level-mechanics-friction-and-static-particles" TargetMode="External" Id="rId198" /><Relationship Type="http://schemas.openxmlformats.org/officeDocument/2006/relationships/hyperlink" Target="https://assets.mathsgenie.co.uk/content/worksheets/a_level_maths/applications-of-forces-457885b2.pdf" TargetMode="External" Id="rId199" /><Relationship Type="http://schemas.openxmlformats.org/officeDocument/2006/relationships/hyperlink" Target="https://assets.mathsgenie.co.uk/content/worksheets/a_level_maths/applications-of-forces-ans-863b54af.pdf" TargetMode="External" Id="rId200" /><Relationship Type="http://schemas.openxmlformats.org/officeDocument/2006/relationships/hyperlink" Target="https://pmt.physicsandmathstutor.com/download/Maths/A-level/Mechanics/Forces-and-Newtons-Laws-2/Edexcel-Set-C/QP/Forces%20and%20Newton%27s%20Laws%20of%20Motion%20QP.pdf" TargetMode="External" Id="rId201" /><Relationship Type="http://schemas.openxmlformats.org/officeDocument/2006/relationships/hyperlink" Target="https://pmt.physicsandmathstutor.com/download/Maths/A-level/Mechanics/Forces-and-Newtons-Laws-2/Edexcel-Set-C/MS/Forces%20and%20Newton%27s%20Laws%20of%20Motion%20MS.pdf" TargetMode="External" Id="rId202" /><Relationship Type="http://schemas.openxmlformats.org/officeDocument/2006/relationships/hyperlink" Target="https://pmt.physicsandmathstutor.com/download/Maths/A-level/Mechanics/Forces-and-Newtons-Laws-2/Edexcel-Set-C/MA/Forces%20and%20Newton%27s%20Laws%20of%20Motion%20MA.pdf" TargetMode="External" Id="rId203" /><Relationship Type="http://schemas.openxmlformats.org/officeDocument/2006/relationships/hyperlink" Target="https://www.yesterdaysmathsexam.com/_files/ugd/1ba96f_188b80f80c924a7bb79682e7b0cef99e.pdf" TargetMode="External" Id="rId204" /><Relationship Type="http://schemas.openxmlformats.org/officeDocument/2006/relationships/hyperlink" Target="https://www.yesterdaysmathsexam.com/_files/ugd/1ba96f_492f9020e4ef4563b32683b63932ae6d.pdf" TargetMode="External" Id="rId205" /><Relationship Type="http://schemas.openxmlformats.org/officeDocument/2006/relationships/hyperlink" Target="https://mathsgenie.co.uk/a-level/maths/edexcel/a-level-mechanics-dynamics-and-inclined-planes" TargetMode="External" Id="rId206" /><Relationship Type="http://schemas.openxmlformats.org/officeDocument/2006/relationships/hyperlink" Target="https://assets.mathsgenie.co.uk/content/worksheets/a_level_maths/applications-of-forces-457885b2.pdf" TargetMode="External" Id="rId207" /><Relationship Type="http://schemas.openxmlformats.org/officeDocument/2006/relationships/hyperlink" Target="https://assets.mathsgenie.co.uk/content/worksheets/a_level_maths/applications-of-forces-ans-863b54af.pdf" TargetMode="External" Id="rId208" /><Relationship Type="http://schemas.openxmlformats.org/officeDocument/2006/relationships/hyperlink" Target="https://pmt.physicsandmathstutor.com/download/Maths/A-level/Mechanics/Forces-and-Newtons-Laws-2/Edexcel-Set-C/QP/Dynamics%20-%20F%20%3D%20ma%20on%20a%20slope%20QP.pdf" TargetMode="External" Id="rId209" /><Relationship Type="http://schemas.openxmlformats.org/officeDocument/2006/relationships/hyperlink" Target="https://pmt.physicsandmathstutor.com/download/Maths/A-level/Mechanics/Forces-and-Newtons-Laws-2/Edexcel-Set-C/MS/Dynamics%20-%20F%20%3D%20ma%20on%20a%20slope%20MS.pdf" TargetMode="External" Id="rId210" /><Relationship Type="http://schemas.openxmlformats.org/officeDocument/2006/relationships/hyperlink" Target="https://pmt.physicsandmathstutor.com/download/Maths/A-level/Mechanics/Forces-and-Newtons-Laws-2/Edexcel-Set-C/MA/Dynamics%20-%20F%20%3D%20ma%20on%20a%20slope%20MA.pdf" TargetMode="External" Id="rId211" /><Relationship Type="http://schemas.openxmlformats.org/officeDocument/2006/relationships/hyperlink" Target="https://www.yesterdaysmathsexam.com/_files/ugd/1ba96f_188b80f80c924a7bb79682e7b0cef99e.pdf" TargetMode="External" Id="rId212" /><Relationship Type="http://schemas.openxmlformats.org/officeDocument/2006/relationships/hyperlink" Target="https://www.yesterdaysmathsexam.com/_files/ugd/1ba96f_492f9020e4ef4563b32683b63932ae6d.pdf" TargetMode="External" Id="rId213" /><Relationship Type="http://schemas.openxmlformats.org/officeDocument/2006/relationships/hyperlink" Target="https://mathsgenie.co.uk/a-level/maths/edexcel/a-level-mechanics-connected-particles-2" TargetMode="External" Id="rId214" /><Relationship Type="http://schemas.openxmlformats.org/officeDocument/2006/relationships/hyperlink" Target="https://assets.mathsgenie.co.uk/content/worksheets/a_level_maths/applications-of-forces-457885b2.pdf" TargetMode="External" Id="rId215" /><Relationship Type="http://schemas.openxmlformats.org/officeDocument/2006/relationships/hyperlink" Target="https://assets.mathsgenie.co.uk/content/worksheets/a_level_maths/applications-of-forces-ans-863b54af.pdf" TargetMode="External" Id="rId216" /><Relationship Type="http://schemas.openxmlformats.org/officeDocument/2006/relationships/hyperlink" Target="https://pmt.physicsandmathstutor.com/download/Maths/A-level/Mechanics/Forces-and-Newtons-Laws-2/Edexcel-Set-C/QP/Dynamics%20-%20Connected%20Particles%20QP.pdf" TargetMode="External" Id="rId217" /><Relationship Type="http://schemas.openxmlformats.org/officeDocument/2006/relationships/hyperlink" Target="https://pmt.physicsandmathstutor.com/download/Maths/A-level/Mechanics/Forces-and-Newtons-Laws-2/Edexcel-Set-C/MS/Dynamics%20-%20Connected%20Particles%20MS.pdf" TargetMode="External" Id="rId218" /><Relationship Type="http://schemas.openxmlformats.org/officeDocument/2006/relationships/hyperlink" Target="https://pmt.physicsandmathstutor.com/download/Maths/A-level/Mechanics/Forces-and-Newtons-Laws-2/Edexcel-Set-C/MA/Dynamics%20-%20Connected%20Particles%20MA.pdf" TargetMode="External" Id="rId219" /><Relationship Type="http://schemas.openxmlformats.org/officeDocument/2006/relationships/hyperlink" Target="https://www.yesterdaysmathsexam.com/_files/ugd/1ba96f_188b80f80c924a7bb79682e7b0cef99e.pdf" TargetMode="External" Id="rId220" /><Relationship Type="http://schemas.openxmlformats.org/officeDocument/2006/relationships/hyperlink" Target="https://www.yesterdaysmathsexam.com/_files/ugd/1ba96f_492f9020e4ef4563b32683b63932ae6d.pdf" TargetMode="External" Id="rId221" /><Relationship Type="http://schemas.openxmlformats.org/officeDocument/2006/relationships/hyperlink" Target="https://mathsgenie.co.uk/a-level/maths/edexcel/a-level-mechanics-moments" TargetMode="External" Id="rId222" /><Relationship Type="http://schemas.openxmlformats.org/officeDocument/2006/relationships/hyperlink" Target="https://assets.mathsgenie.co.uk/content/worksheets/a_level_maths/moments-2ce740de.pdf" TargetMode="External" Id="rId223" /><Relationship Type="http://schemas.openxmlformats.org/officeDocument/2006/relationships/hyperlink" Target="https://assets.mathsgenie.co.uk/content/worksheets/a_level_maths/moments-ans-221405b9.pdf" TargetMode="External" Id="rId224" /><Relationship Type="http://schemas.openxmlformats.org/officeDocument/2006/relationships/hyperlink" Target="https://pmt.physicsandmathstutor.com/download/Maths/A-level/Mechanics/Moments-2/Edexcel-Set-C/QP/Moments%20QP.pdf" TargetMode="External" Id="rId225" /><Relationship Type="http://schemas.openxmlformats.org/officeDocument/2006/relationships/hyperlink" Target="https://pmt.physicsandmathstutor.com/download/Maths/A-level/Mechanics/Moments-2/Edexcel-Set-C/MS/Moments%20MS.pdf" TargetMode="External" Id="rId226" /><Relationship Type="http://schemas.openxmlformats.org/officeDocument/2006/relationships/hyperlink" Target="https://pmt.physicsandmathstutor.com/download/Maths/A-level/Mechanics/Moments-2/Edexcel-Set-C/MA/Moments%20MA.pdf" TargetMode="External" Id="rId227" /><Relationship Type="http://schemas.openxmlformats.org/officeDocument/2006/relationships/hyperlink" Target="https://www.yesterdaysmathsexam.com/_files/ugd/1ba96f_100e3684264c4e1592f8ed2058699254.pdf" TargetMode="External" Id="rId228" /><Relationship Type="http://schemas.openxmlformats.org/officeDocument/2006/relationships/hyperlink" Target="https://www.yesterdaysmathsexam.com/_files/ugd/1ba96f_3422fa4bb48d4fc49389b56e479c5c41.pdf" TargetMode="External" Id="rId229" /><Relationship Type="http://schemas.openxmlformats.org/officeDocument/2006/relationships/hyperlink" Target="https://mathsgenie.co.uk/a-level/maths/edexcel/a-level-mechanics-resultant-moments" TargetMode="External" Id="rId230" /><Relationship Type="http://schemas.openxmlformats.org/officeDocument/2006/relationships/hyperlink" Target="https://assets.mathsgenie.co.uk/content/worksheets/a_level_maths/moments-2ce740de.pdf" TargetMode="External" Id="rId231" /><Relationship Type="http://schemas.openxmlformats.org/officeDocument/2006/relationships/hyperlink" Target="https://assets.mathsgenie.co.uk/content/worksheets/a_level_maths/moments-ans-221405b9.pdf" TargetMode="External" Id="rId232" /><Relationship Type="http://schemas.openxmlformats.org/officeDocument/2006/relationships/hyperlink" Target="https://pmt.physicsandmathstutor.com/download/Maths/A-level/Mechanics/Moments-2/Edexcel-Set-C/QP/Moments%20QP.pdf" TargetMode="External" Id="rId233" /><Relationship Type="http://schemas.openxmlformats.org/officeDocument/2006/relationships/hyperlink" Target="https://pmt.physicsandmathstutor.com/download/Maths/A-level/Mechanics/Moments-2/Edexcel-Set-C/MS/Moments%20MS.pdf" TargetMode="External" Id="rId234" /><Relationship Type="http://schemas.openxmlformats.org/officeDocument/2006/relationships/hyperlink" Target="https://pmt.physicsandmathstutor.com/download/Maths/A-level/Mechanics/Moments-2/Edexcel-Set-C/MA/Moments%20MA.pdf" TargetMode="External" Id="rId235" /><Relationship Type="http://schemas.openxmlformats.org/officeDocument/2006/relationships/hyperlink" Target="https://www.yesterdaysmathsexam.com/_files/ugd/1ba96f_100e3684264c4e1592f8ed2058699254.pdf" TargetMode="External" Id="rId236" /><Relationship Type="http://schemas.openxmlformats.org/officeDocument/2006/relationships/hyperlink" Target="https://www.yesterdaysmathsexam.com/_files/ugd/1ba96f_3422fa4bb48d4fc49389b56e479c5c41.pdf" TargetMode="External" Id="rId237" /><Relationship Type="http://schemas.openxmlformats.org/officeDocument/2006/relationships/hyperlink" Target="https://mathsgenie.co.uk/a-level/maths/edexcel/a-level-mechanics-equilibrium" TargetMode="External" Id="rId238" /><Relationship Type="http://schemas.openxmlformats.org/officeDocument/2006/relationships/hyperlink" Target="https://assets.mathsgenie.co.uk/content/worksheets/a_level_maths/moments-2ce740de.pdf" TargetMode="External" Id="rId239" /><Relationship Type="http://schemas.openxmlformats.org/officeDocument/2006/relationships/hyperlink" Target="https://assets.mathsgenie.co.uk/content/worksheets/a_level_maths/moments-ans-221405b9.pdf" TargetMode="External" Id="rId240" /><Relationship Type="http://schemas.openxmlformats.org/officeDocument/2006/relationships/hyperlink" Target="https://pmt.physicsandmathstutor.com/download/Maths/A-level/Mechanics/Moments-2/Edexcel-Set-C/QP/Moments%20QP.pdf" TargetMode="External" Id="rId241" /><Relationship Type="http://schemas.openxmlformats.org/officeDocument/2006/relationships/hyperlink" Target="https://pmt.physicsandmathstutor.com/download/Maths/A-level/Mechanics/Moments-2/Edexcel-Set-C/MS/Moments%20MS.pdf" TargetMode="External" Id="rId242" /><Relationship Type="http://schemas.openxmlformats.org/officeDocument/2006/relationships/hyperlink" Target="https://pmt.physicsandmathstutor.com/download/Maths/A-level/Mechanics/Moments-2/Edexcel-Set-C/MA/Moments%20MA.pdf" TargetMode="External" Id="rId243" /><Relationship Type="http://schemas.openxmlformats.org/officeDocument/2006/relationships/hyperlink" Target="https://www.yesterdaysmathsexam.com/_files/ugd/1ba96f_100e3684264c4e1592f8ed2058699254.pdf" TargetMode="External" Id="rId244" /><Relationship Type="http://schemas.openxmlformats.org/officeDocument/2006/relationships/hyperlink" Target="https://www.yesterdaysmathsexam.com/_files/ugd/1ba96f_3422fa4bb48d4fc49389b56e479c5c41.pdf" TargetMode="External" Id="rId245" /><Relationship Type="http://schemas.openxmlformats.org/officeDocument/2006/relationships/hyperlink" Target="https://mathsgenie.co.uk/a-level/maths/edexcel/a-level-mechanics-centres-of-mass" TargetMode="External" Id="rId246" /><Relationship Type="http://schemas.openxmlformats.org/officeDocument/2006/relationships/hyperlink" Target="https://assets.mathsgenie.co.uk/content/worksheets/a_level_maths/moments-2ce740de.pdf" TargetMode="External" Id="rId247" /><Relationship Type="http://schemas.openxmlformats.org/officeDocument/2006/relationships/hyperlink" Target="https://assets.mathsgenie.co.uk/content/worksheets/a_level_maths/moments-ans-221405b9.pdf" TargetMode="External" Id="rId248" /><Relationship Type="http://schemas.openxmlformats.org/officeDocument/2006/relationships/hyperlink" Target="https://www.yesterdaysmathsexam.com/_files/ugd/1ba96f_100e3684264c4e1592f8ed2058699254.pdf" TargetMode="External" Id="rId249" /><Relationship Type="http://schemas.openxmlformats.org/officeDocument/2006/relationships/hyperlink" Target="https://www.yesterdaysmathsexam.com/_files/ugd/1ba96f_3422fa4bb48d4fc49389b56e479c5c41.pdf" TargetMode="External" Id="rId250" /><Relationship Type="http://schemas.openxmlformats.org/officeDocument/2006/relationships/hyperlink" Target="https://mathsgenie.co.uk/a-level/maths/edexcel/a-level-mechanics-tilting" TargetMode="External" Id="rId251" /><Relationship Type="http://schemas.openxmlformats.org/officeDocument/2006/relationships/hyperlink" Target="https://assets.mathsgenie.co.uk/content/worksheets/a_level_maths/moments-2ce740de.pdf" TargetMode="External" Id="rId252" /><Relationship Type="http://schemas.openxmlformats.org/officeDocument/2006/relationships/hyperlink" Target="https://assets.mathsgenie.co.uk/content/worksheets/a_level_maths/moments-ans-221405b9.pdf" TargetMode="External" Id="rId253" /><Relationship Type="http://schemas.openxmlformats.org/officeDocument/2006/relationships/hyperlink" Target="https://www.yesterdaysmathsexam.com/_files/ugd/1ba96f_100e3684264c4e1592f8ed2058699254.pdf" TargetMode="External" Id="rId254" /><Relationship Type="http://schemas.openxmlformats.org/officeDocument/2006/relationships/hyperlink" Target="https://www.yesterdaysmathsexam.com/_files/ugd/1ba96f_3422fa4bb48d4fc49389b56e479c5c41.pdf" TargetMode="External" Id="rId255" /><Relationship Type="http://schemas.openxmlformats.org/officeDocument/2006/relationships/hyperlink" Target="https://mathsgenie.co.uk/a-level/maths/edexcel/a-level-mechanics-static-rigid-bodies" TargetMode="External" Id="rId256" /><Relationship Type="http://schemas.openxmlformats.org/officeDocument/2006/relationships/hyperlink" Target="https://assets.mathsgenie.co.uk/content/worksheets/a_level_maths/applications-of-forces-457885b2.pdf" TargetMode="External" Id="rId257" /><Relationship Type="http://schemas.openxmlformats.org/officeDocument/2006/relationships/hyperlink" Target="https://assets.mathsgenie.co.uk/content/worksheets/a_level_maths/applications-of-forces-ans-863b54af.pdf" TargetMode="External" Id="rId258" /><Relationship Type="http://schemas.openxmlformats.org/officeDocument/2006/relationships/hyperlink" Target="https://pmt.physicsandmathstutor.com/download/Maths/A-level/Mechanics/Moments-2/Edexcel-Set-C/QP/Moments%20QP.pdf" TargetMode="External" Id="rId259" /><Relationship Type="http://schemas.openxmlformats.org/officeDocument/2006/relationships/hyperlink" Target="https://pmt.physicsandmathstutor.com/download/Maths/A-level/Mechanics/Moments-2/Edexcel-Set-C/MS/Moments%20MS.pdf" TargetMode="External" Id="rId260" /><Relationship Type="http://schemas.openxmlformats.org/officeDocument/2006/relationships/hyperlink" Target="https://pmt.physicsandmathstutor.com/download/Maths/A-level/Mechanics/Moments-2/Edexcel-Set-C/MA/Moments%20MA.pdf" TargetMode="External" Id="rId261" /><Relationship Type="http://schemas.openxmlformats.org/officeDocument/2006/relationships/hyperlink" Target="https://www.yesterdaysmathsexam.com/_files/ugd/1ba96f_188b80f80c924a7bb79682e7b0cef99e.pdf" TargetMode="External" Id="rId262" /><Relationship Type="http://schemas.openxmlformats.org/officeDocument/2006/relationships/hyperlink" Target="https://www.yesterdaysmathsexam.com/_files/ugd/1ba96f_492f9020e4ef4563b32683b63932ae6d.pdf" TargetMode="External" Id="rId26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esterdaysmathsexam.com/_files/ugd/1ba96f_ca5b2e753db74712a58a19f43cd20632.pdf" TargetMode="External" Id="rId1" /><Relationship Type="http://schemas.openxmlformats.org/officeDocument/2006/relationships/hyperlink" Target="https://www.yesterdaysmathsexam.com/_files/ugd/1ba96f_09e49e6ba51c4072a93a223aa3914a7a.pdf" TargetMode="External" Id="rId2" /><Relationship Type="http://schemas.openxmlformats.org/officeDocument/2006/relationships/hyperlink" Target="https://www.yesterdaysmathsexam.com/_files/ugd/1ba96f_b315f5201a2b4e32bf0713e9977cf16c.pdf" TargetMode="External" Id="rId3" /><Relationship Type="http://schemas.openxmlformats.org/officeDocument/2006/relationships/hyperlink" Target="https://www.yesterdaysmathsexam.com/_files/ugd/1ba96f_fc703295344d450dacbb5487e067849c.pdf" TargetMode="External" Id="rId4" /><Relationship Type="http://schemas.openxmlformats.org/officeDocument/2006/relationships/hyperlink" Target="https://www.yesterdaysmathsexam.com/_files/ugd/1ba96f_f4b7f4620bcf40dcba318fe559b4949a.pdf" TargetMode="External" Id="rId5" /><Relationship Type="http://schemas.openxmlformats.org/officeDocument/2006/relationships/hyperlink" Target="https://www.yesterdaysmathsexam.com/_files/ugd/1ba96f_fbd15a4c534c45a3b09ac76fbd95c2b1.pdf" TargetMode="External" Id="rId6" /><Relationship Type="http://schemas.openxmlformats.org/officeDocument/2006/relationships/hyperlink" Target="https://www.yesterdaysmathsexam.com/_files/ugd/1ba96f_03293376581b4798885139a1f84f1fcf.pdf" TargetMode="External" Id="rId7" /><Relationship Type="http://schemas.openxmlformats.org/officeDocument/2006/relationships/hyperlink" Target="https://www.yesterdaysmathsexam.com/_files/ugd/1ba96f_a0fe1265d5b14750ba99d38ec48aca2a.pdf" TargetMode="External" Id="rId8" /><Relationship Type="http://schemas.openxmlformats.org/officeDocument/2006/relationships/hyperlink" Target="https://www.yesterdaysmathsexam.com/_files/ugd/1ba96f_100e3684264c4e1592f8ed2058699254.pdf" TargetMode="External" Id="rId9" /><Relationship Type="http://schemas.openxmlformats.org/officeDocument/2006/relationships/hyperlink" Target="https://www.yesterdaysmathsexam.com/_files/ugd/1ba96f_3422fa4bb48d4fc49389b56e479c5c41.pdf" TargetMode="External" Id="rId10" /><Relationship Type="http://schemas.openxmlformats.org/officeDocument/2006/relationships/hyperlink" Target="https://www.yesterdaysmathsexam.com/_files/ugd/1ba96f_b07a482d94fc4ddab9a44221dec61693.pdf" TargetMode="External" Id="rId11" /><Relationship Type="http://schemas.openxmlformats.org/officeDocument/2006/relationships/hyperlink" Target="https://www.yesterdaysmathsexam.com/_files/ugd/1ba96f_dc75bd77c5d0434bbe8bba090a9ea2a9.pdf" TargetMode="External" Id="rId12" /><Relationship Type="http://schemas.openxmlformats.org/officeDocument/2006/relationships/hyperlink" Target="https://www.yesterdaysmathsexam.com/_files/ugd/1ba96f_188b80f80c924a7bb79682e7b0cef99e.pdf" TargetMode="External" Id="rId13" /><Relationship Type="http://schemas.openxmlformats.org/officeDocument/2006/relationships/hyperlink" Target="https://www.yesterdaysmathsexam.com/_files/ugd/1ba96f_492f9020e4ef4563b32683b63932ae6d.pdf" TargetMode="External" Id="rId14" /><Relationship Type="http://schemas.openxmlformats.org/officeDocument/2006/relationships/hyperlink" Target="https://www.yesterdaysmathsexam.com/_files/ugd/1ba96f_4d745904c08e492c940afadc7155065d.pdf" TargetMode="External" Id="rId15" /><Relationship Type="http://schemas.openxmlformats.org/officeDocument/2006/relationships/hyperlink" Target="https://www.yesterdaysmathsexam.com/_files/ugd/1ba96f_6b07c8c2e38b43f291366e6a5580d331.pdf" TargetMode="External" Id="rId16" /><Relationship Type="http://schemas.openxmlformats.org/officeDocument/2006/relationships/hyperlink" Target="https://www.yesterdaysmathsexam.com/_files/ugd/1ba96f_6797340efb45461d82d40b09003d7b87.pdf" TargetMode="External" Id="rId17" /><Relationship Type="http://schemas.openxmlformats.org/officeDocument/2006/relationships/hyperlink" Target="https://www.yesterdaysmathsexam.com/_files/ugd/1ba96f_1be075b9bf254ea9af9b6a1ae5e869d1.pdf" TargetMode="External" Id="rId18" /><Relationship Type="http://schemas.openxmlformats.org/officeDocument/2006/relationships/hyperlink" Target="https://www.yesterdaysmathsexam.com/_files/ugd/1ba96f_bb55c2e7c1c04f78b0d03d8be585f3b0.pdf" TargetMode="External" Id="rId19" /><Relationship Type="http://schemas.openxmlformats.org/officeDocument/2006/relationships/hyperlink" Target="https://www.yesterdaysmathsexam.com/_files/ugd/1ba96f_f2cbcccfe8e14f97a3d041f3b2013b71.pdf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C30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4" customWidth="1" min="4" max="4"/>
    <col width="4" customWidth="1" min="5" max="5"/>
  </cols>
  <sheetData>
    <row r="1" ht="38" customHeight="1">
      <c r="B1" s="1" t="inlineStr">
        <is>
          <t>Edexcel A Level Maths: Mechanics</t>
        </is>
      </c>
    </row>
    <row r="2">
      <c r="B2" s="2" t="inlineStr">
        <is>
          <t>A quick check of how confident you feel on every topic, so revision goes where it's needed most.</t>
        </is>
      </c>
    </row>
    <row r="4">
      <c r="B4" s="3" t="inlineStr">
        <is>
          <t>How it works</t>
        </is>
      </c>
    </row>
    <row r="5" ht="36" customHeight="1">
      <c r="A5" s="4" t="n">
        <v>1</v>
      </c>
      <c r="B5" s="5" t="inlineStr">
        <is>
          <t>Open the Mechanics tab</t>
        </is>
      </c>
      <c r="C5" s="6" t="inlineStr">
        <is>
          <t>Each topic has a yellow Rating box. Click it and pick R, A or G. That's the only thing to fill in (Notes are optional).</t>
        </is>
      </c>
    </row>
    <row r="6" ht="6" customHeight="1"/>
    <row r="7" ht="36" customHeight="1">
      <c r="A7" s="4" t="n">
        <v>2</v>
      </c>
      <c r="B7" s="5" t="inlineStr">
        <is>
          <t>Be honest, not kind</t>
        </is>
      </c>
      <c r="C7" s="6" t="inlineStr">
        <is>
          <t>If you're torn between two colours, pick the lower one. A Green topic gets almost no time, so only use it when you're sure.</t>
        </is>
      </c>
    </row>
    <row r="8" ht="6" customHeight="1"/>
    <row r="9" ht="36" customHeight="1">
      <c r="A9" s="4" t="n">
        <v>3</v>
      </c>
      <c r="B9" s="5" t="inlineStr">
        <is>
          <t>Take your time</t>
        </is>
      </c>
      <c r="C9" s="6" t="inlineStr">
        <is>
          <t>36 topics, most take a glance. About 10 minutes.</t>
        </is>
      </c>
    </row>
    <row r="10" ht="6" customHeight="1"/>
    <row r="12">
      <c r="B12" s="3" t="inlineStr">
        <is>
          <t>What the colours mean</t>
        </is>
      </c>
    </row>
    <row r="13" ht="26" customHeight="1">
      <c r="B13" s="7" t="inlineStr">
        <is>
          <t>R  ·  Red</t>
        </is>
      </c>
      <c r="C13" s="8" t="inlineStr">
        <is>
          <t>I can't do this yet, or I'd probably get it wrong.</t>
        </is>
      </c>
    </row>
    <row r="14" ht="26" customHeight="1">
      <c r="B14" s="9" t="inlineStr">
        <is>
          <t>A  ·  Amber</t>
        </is>
      </c>
      <c r="C14" s="8" t="inlineStr">
        <is>
          <t>I can do some of it, or I'm slow and make mistakes.</t>
        </is>
      </c>
    </row>
    <row r="15" ht="26" customHeight="1">
      <c r="B15" s="10" t="inlineStr">
        <is>
          <t>G  ·  Green</t>
        </is>
      </c>
      <c r="C15" s="8" t="inlineStr">
        <is>
          <t>I can do this confidently in exam conditions.</t>
        </is>
      </c>
    </row>
    <row r="17">
      <c r="B17" s="3" t="inlineStr">
        <is>
          <t>The tabs</t>
        </is>
      </c>
    </row>
    <row r="18" ht="24" customHeight="1">
      <c r="B18" s="11" t="inlineStr">
        <is>
          <t>Mechanics</t>
        </is>
      </c>
      <c r="C18" s="8" t="inlineStr">
        <is>
          <t>36 topics for Paper 3, Section B.</t>
        </is>
      </c>
    </row>
    <row r="19" ht="24" customHeight="1">
      <c r="B19" s="12" t="inlineStr">
        <is>
          <t>Chapter tests</t>
        </is>
      </c>
      <c r="C19" s="8" t="inlineStr">
        <is>
          <t>Real exam questions for each textbook chapter. Mark them Done as you go.</t>
        </is>
      </c>
    </row>
    <row r="20" ht="24" customHeight="1">
      <c r="B20" s="13" t="inlineStr">
        <is>
          <t>Progress</t>
        </is>
      </c>
      <c r="C20" s="8" t="inlineStr">
        <is>
          <t>Fills itself in: your Red / Amber / Green totals and a practice plan.</t>
        </is>
      </c>
    </row>
    <row r="22">
      <c r="B22" s="3" t="inlineStr">
        <is>
          <t>Want to check a topic first?</t>
        </is>
      </c>
    </row>
    <row r="23" ht="20" customHeight="1">
      <c r="B23" s="14" t="inlineStr">
        <is>
          <t>▶ Watch</t>
        </is>
      </c>
      <c r="C23" s="15" t="inlineStr">
        <is>
          <t>A short Maths Genie video lesson on the topic.</t>
        </is>
      </c>
    </row>
    <row r="24" ht="30" customHeight="1">
      <c r="B24" s="14" t="inlineStr">
        <is>
          <t>Maths Genie</t>
        </is>
      </c>
      <c r="C24" s="15" t="inlineStr">
        <is>
          <t>Exam-style questions for the chapter, with worked answers. 'Topic set' = questions on just that topic.</t>
        </is>
      </c>
    </row>
    <row r="25" ht="20" customHeight="1">
      <c r="B25" s="14" t="inlineStr">
        <is>
          <t>PMT worksheet</t>
        </is>
      </c>
      <c r="C25" s="15" t="inlineStr">
        <is>
          <t>Physics &amp; Maths Tutor questions, the mark scheme and model answers.</t>
        </is>
      </c>
    </row>
    <row r="26" ht="30" customHeight="1">
      <c r="B26" s="14" t="inlineStr">
        <is>
          <t>Textbook</t>
        </is>
      </c>
      <c r="C26" s="15" t="inlineStr">
        <is>
          <t>Where it is in the Pearson textbooks (Pure 1 and 2, Applied 1 and 2), with a chapter test of real exam questions.</t>
        </is>
      </c>
    </row>
    <row r="27" ht="30" customHeight="1">
      <c r="B27" s="14" t="inlineStr">
        <is>
          <t>Ref and Year</t>
        </is>
      </c>
      <c r="C27" s="15" t="inlineStr">
        <is>
          <t>The official specification reference (e.g. P7.4). Y1 = AS / first-year content, Y2 = second year.</t>
        </is>
      </c>
    </row>
    <row r="29">
      <c r="B29" s="3" t="inlineStr">
        <is>
          <t>The exams</t>
        </is>
      </c>
    </row>
    <row r="30" ht="48" customHeight="1">
      <c r="C30" s="16" t="inlineStr">
        <is>
          <t>Three 2-hour papers, 100 marks each, each worth a third: Paper 1 and Paper 2 are Pure; Paper 3 is Statistics (Section A) and Mechanics (Section B). Year 1 content is examined too, and Pure can come up on Paper 3.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D9480F"/>
    <outlinePr summaryBelow="0"/>
    <pageSetUpPr fitToPage="1"/>
  </sheetPr>
  <dimension ref="A1:P50"/>
  <sheetViews>
    <sheetView showGridLines="0" zoomScale="11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4" customWidth="1" min="2" max="2"/>
    <col width="6" customWidth="1" min="3" max="3"/>
    <col width="9" customWidth="1" min="4" max="4"/>
    <col width="30" customWidth="1" min="5" max="5"/>
    <col width="10" customWidth="1" min="6" max="6"/>
    <col width="11" customWidth="1" min="7" max="7"/>
    <col width="10" customWidth="1" min="8" max="8"/>
    <col width="30" customWidth="1" min="9" max="9"/>
    <col width="10" customWidth="1" min="10" max="10"/>
    <col width="11" customWidth="1" min="11" max="11"/>
    <col width="9" customWidth="1" min="12" max="12"/>
    <col width="13" customWidth="1" min="13" max="13"/>
    <col width="11" customWidth="1" min="14" max="14"/>
    <col width="11" customWidth="1" min="15" max="15"/>
    <col hidden="1" width="13" customWidth="1" min="16" max="16"/>
  </cols>
  <sheetData>
    <row r="1" ht="34" customHeight="1">
      <c r="A1" s="17" t="inlineStr">
        <is>
          <t>Mechanics</t>
        </is>
      </c>
    </row>
    <row r="2">
      <c r="A2" s="18" t="inlineStr">
        <is>
          <t>Paper 3, Section B  ·  36 topics  ·  pick R, A or G in the yellow Rating column for each one</t>
        </is>
      </c>
    </row>
    <row r="3">
      <c r="A3" s="19">
        <f>"Rated so far: "&amp;(COUNTIF($D$7:$D$50,"R")+COUNTIF($D$7:$D$50,"A")+COUNTIF($D$7:$D$50,"G"))&amp;" of 36     Red "&amp;COUNTIF($D$7:$D$50,"R")&amp;"   ·   Amber "&amp;COUNTIF($D$7:$D$50,"A")&amp;"   ·   Green "&amp;COUNTIF($D$7:$D$50,"G")</f>
        <v/>
      </c>
    </row>
    <row r="4" ht="8" customHeight="1"/>
    <row r="5">
      <c r="A5" s="20" t="inlineStr">
        <is>
          <t>Your check</t>
        </is>
      </c>
      <c r="B5" s="21" t="n"/>
      <c r="C5" s="21" t="n"/>
      <c r="D5" s="21" t="n"/>
      <c r="E5" s="21" t="n"/>
      <c r="F5" s="22" t="inlineStr">
        <is>
          <t>Maths Genie</t>
        </is>
      </c>
      <c r="G5" s="21" t="n"/>
      <c r="H5" s="21" t="n"/>
      <c r="I5" s="22" t="inlineStr">
        <is>
          <t>PMT worksheet</t>
        </is>
      </c>
      <c r="J5" s="21" t="n"/>
      <c r="K5" s="21" t="n"/>
      <c r="L5" s="21" t="n"/>
      <c r="M5" s="22" t="inlineStr">
        <is>
          <t>Textbook chapter test</t>
        </is>
      </c>
      <c r="N5" s="21" t="n"/>
      <c r="O5" s="21" t="n"/>
    </row>
    <row r="6" ht="22" customHeight="1">
      <c r="A6" s="23" t="inlineStr">
        <is>
          <t>Ref</t>
        </is>
      </c>
      <c r="B6" s="24" t="inlineStr">
        <is>
          <t>Topic</t>
        </is>
      </c>
      <c r="C6" s="23" t="inlineStr">
        <is>
          <t>Year</t>
        </is>
      </c>
      <c r="D6" s="23" t="inlineStr">
        <is>
          <t>Rating</t>
        </is>
      </c>
      <c r="E6" s="24" t="inlineStr">
        <is>
          <t>Notes</t>
        </is>
      </c>
      <c r="F6" s="23" t="inlineStr">
        <is>
          <t>Video</t>
        </is>
      </c>
      <c r="G6" s="23" t="inlineStr">
        <is>
          <t>Questions</t>
        </is>
      </c>
      <c r="H6" s="23" t="inlineStr">
        <is>
          <t>Answers</t>
        </is>
      </c>
      <c r="I6" s="24" t="inlineStr">
        <is>
          <t>Worksheet</t>
        </is>
      </c>
      <c r="J6" s="23" t="inlineStr">
        <is>
          <t>Questions</t>
        </is>
      </c>
      <c r="K6" s="23" t="inlineStr">
        <is>
          <t>Mark scheme</t>
        </is>
      </c>
      <c r="L6" s="23" t="inlineStr">
        <is>
          <t>Answers</t>
        </is>
      </c>
      <c r="M6" s="23" t="inlineStr">
        <is>
          <t>Textbook</t>
        </is>
      </c>
      <c r="N6" s="23" t="inlineStr">
        <is>
          <t>Questions</t>
        </is>
      </c>
      <c r="O6" s="23" t="inlineStr">
        <is>
          <t>Mark scheme</t>
        </is>
      </c>
    </row>
    <row r="7" ht="10" customHeight="1"/>
    <row r="8" ht="26" customHeight="1">
      <c r="A8" s="25" t="inlineStr">
        <is>
          <t>6</t>
        </is>
      </c>
      <c r="B8" s="26" t="inlineStr">
        <is>
          <t>Quantities and units in mechanics</t>
        </is>
      </c>
      <c r="C8" s="27" t="n"/>
      <c r="D8" s="27" t="n"/>
      <c r="E8" s="28" t="inlineStr">
        <is>
          <t>2 topics  ·  Year 1: 2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</row>
    <row r="9" outlineLevel="1" ht="20" customHeight="1">
      <c r="A9" s="29" t="inlineStr">
        <is>
          <t>M6.1</t>
        </is>
      </c>
      <c r="B9" s="30" t="inlineStr">
        <is>
          <t>SI units and derived quantities</t>
        </is>
      </c>
      <c r="C9" s="31" t="n">
        <v>1</v>
      </c>
      <c r="D9" s="32" t="n"/>
      <c r="E9" s="33" t="n"/>
      <c r="F9" s="34" t="inlineStr">
        <is>
          <t>▶ Watch</t>
        </is>
      </c>
      <c r="G9" s="34" t="inlineStr">
        <is>
          <t>Topic set</t>
        </is>
      </c>
      <c r="H9" s="34" t="inlineStr">
        <is>
          <t>Answers</t>
        </is>
      </c>
      <c r="I9" s="35" t="inlineStr">
        <is>
          <t>none for this topic</t>
        </is>
      </c>
      <c r="J9" s="36" t="n"/>
      <c r="K9" s="36" t="n"/>
      <c r="L9" s="36" t="n"/>
      <c r="M9" s="29" t="inlineStr">
        <is>
          <t>Applied 1 Ch8</t>
        </is>
      </c>
      <c r="N9" s="37" t="inlineStr">
        <is>
          <t>none</t>
        </is>
      </c>
      <c r="O9" s="38" t="n"/>
      <c r="P9" t="inlineStr">
        <is>
          <t>M6</t>
        </is>
      </c>
    </row>
    <row r="10" outlineLevel="1" ht="32" customHeight="1">
      <c r="A10" s="29" t="inlineStr">
        <is>
          <t>OT3.5</t>
        </is>
      </c>
      <c r="B10" s="30" t="inlineStr">
        <is>
          <t>Modelling assumptions (particle, light, inextensible, smooth, rigid)</t>
        </is>
      </c>
      <c r="C10" s="31" t="n">
        <v>1</v>
      </c>
      <c r="D10" s="32" t="n"/>
      <c r="E10" s="33" t="n"/>
      <c r="F10" s="34" t="inlineStr">
        <is>
          <t>▶ Watch</t>
        </is>
      </c>
      <c r="G10" s="34" t="inlineStr">
        <is>
          <t>Topic set</t>
        </is>
      </c>
      <c r="H10" s="34" t="inlineStr">
        <is>
          <t>Answers</t>
        </is>
      </c>
      <c r="I10" s="35" t="inlineStr">
        <is>
          <t>none for this topic</t>
        </is>
      </c>
      <c r="J10" s="36" t="n"/>
      <c r="K10" s="36" t="n"/>
      <c r="L10" s="36" t="n"/>
      <c r="M10" s="29" t="inlineStr">
        <is>
          <t>Applied 1 Ch8</t>
        </is>
      </c>
      <c r="N10" s="37" t="inlineStr">
        <is>
          <t>none</t>
        </is>
      </c>
      <c r="O10" s="38" t="n"/>
      <c r="P10" t="inlineStr">
        <is>
          <t>M6</t>
        </is>
      </c>
    </row>
    <row r="11" ht="10" customHeight="1"/>
    <row r="12" ht="26" customHeight="1">
      <c r="A12" s="25" t="inlineStr">
        <is>
          <t>7</t>
        </is>
      </c>
      <c r="B12" s="26" t="inlineStr">
        <is>
          <t>Kinematics</t>
        </is>
      </c>
      <c r="C12" s="27" t="n"/>
      <c r="D12" s="27" t="n"/>
      <c r="E12" s="28" t="inlineStr">
        <is>
          <t>15 topics  ·  Year 1: 10  ·  Year 2: 5</t>
        </is>
      </c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</row>
    <row r="13" outlineLevel="1" ht="32" customHeight="1">
      <c r="A13" s="29" t="inlineStr">
        <is>
          <t>M7.1</t>
        </is>
      </c>
      <c r="B13" s="30" t="inlineStr">
        <is>
          <t>Language of kinematics: position, displacement, distance, velocity, speed, acceleration</t>
        </is>
      </c>
      <c r="C13" s="31" t="n">
        <v>1</v>
      </c>
      <c r="D13" s="32" t="n"/>
      <c r="E13" s="33" t="n"/>
      <c r="F13" s="34" t="inlineStr">
        <is>
          <t>▶ Watch</t>
        </is>
      </c>
      <c r="G13" s="34" t="inlineStr">
        <is>
          <t>Questions</t>
        </is>
      </c>
      <c r="H13" s="34" t="inlineStr">
        <is>
          <t>Answers</t>
        </is>
      </c>
      <c r="I13" s="33" t="inlineStr">
        <is>
          <t>suvat</t>
        </is>
      </c>
      <c r="J13" s="34" t="inlineStr">
        <is>
          <t>Questions</t>
        </is>
      </c>
      <c r="K13" s="34" t="inlineStr">
        <is>
          <t>Marks</t>
        </is>
      </c>
      <c r="L13" s="34" t="inlineStr">
        <is>
          <t>Answers</t>
        </is>
      </c>
      <c r="M13" s="29" t="inlineStr">
        <is>
          <t>Applied 1 Ch9</t>
        </is>
      </c>
      <c r="N13" s="34" t="inlineStr">
        <is>
          <t>Set 1 of 2</t>
        </is>
      </c>
      <c r="O13" s="34" t="inlineStr">
        <is>
          <t>Marks</t>
        </is>
      </c>
      <c r="P13" t="inlineStr">
        <is>
          <t>M7</t>
        </is>
      </c>
    </row>
    <row r="14" outlineLevel="1" ht="20" customHeight="1">
      <c r="A14" s="29" t="inlineStr">
        <is>
          <t>M7.2</t>
        </is>
      </c>
      <c r="B14" s="30" t="inlineStr">
        <is>
          <t>Displacement-time graphs</t>
        </is>
      </c>
      <c r="C14" s="31" t="n">
        <v>1</v>
      </c>
      <c r="D14" s="32" t="n"/>
      <c r="E14" s="33" t="n"/>
      <c r="F14" s="34" t="inlineStr">
        <is>
          <t>▶ Watch</t>
        </is>
      </c>
      <c r="G14" s="34" t="inlineStr">
        <is>
          <t>Questions</t>
        </is>
      </c>
      <c r="H14" s="34" t="inlineStr">
        <is>
          <t>Answers</t>
        </is>
      </c>
      <c r="I14" s="35" t="inlineStr">
        <is>
          <t>none for this topic</t>
        </is>
      </c>
      <c r="J14" s="36" t="n"/>
      <c r="K14" s="36" t="n"/>
      <c r="L14" s="36" t="n"/>
      <c r="M14" s="29" t="inlineStr">
        <is>
          <t>Applied 1 Ch9</t>
        </is>
      </c>
      <c r="N14" s="34" t="inlineStr">
        <is>
          <t>Set 1 of 2</t>
        </is>
      </c>
      <c r="O14" s="34" t="inlineStr">
        <is>
          <t>Marks</t>
        </is>
      </c>
      <c r="P14" t="inlineStr">
        <is>
          <t>M7</t>
        </is>
      </c>
    </row>
    <row r="15" outlineLevel="1" ht="20" customHeight="1">
      <c r="A15" s="29" t="inlineStr">
        <is>
          <t>M7.2</t>
        </is>
      </c>
      <c r="B15" s="30" t="inlineStr">
        <is>
          <t>Velocity-time graphs (gradient and area)</t>
        </is>
      </c>
      <c r="C15" s="31" t="n">
        <v>1</v>
      </c>
      <c r="D15" s="32" t="n"/>
      <c r="E15" s="33" t="n"/>
      <c r="F15" s="34" t="inlineStr">
        <is>
          <t>▶ Watch</t>
        </is>
      </c>
      <c r="G15" s="34" t="inlineStr">
        <is>
          <t>Topic set</t>
        </is>
      </c>
      <c r="H15" s="34" t="inlineStr">
        <is>
          <t>Answers</t>
        </is>
      </c>
      <c r="I15" s="33" t="inlineStr">
        <is>
          <t>Motion Graphs</t>
        </is>
      </c>
      <c r="J15" s="34" t="inlineStr">
        <is>
          <t>Questions</t>
        </is>
      </c>
      <c r="K15" s="34" t="inlineStr">
        <is>
          <t>Marks</t>
        </is>
      </c>
      <c r="L15" s="34" t="inlineStr">
        <is>
          <t>Answers</t>
        </is>
      </c>
      <c r="M15" s="29" t="inlineStr">
        <is>
          <t>Applied 1 Ch9</t>
        </is>
      </c>
      <c r="N15" s="34" t="inlineStr">
        <is>
          <t>Set 1 of 2</t>
        </is>
      </c>
      <c r="O15" s="34" t="inlineStr">
        <is>
          <t>Marks</t>
        </is>
      </c>
      <c r="P15" t="inlineStr">
        <is>
          <t>M7</t>
        </is>
      </c>
    </row>
    <row r="16" outlineLevel="1" ht="20" customHeight="1">
      <c r="A16" s="29" t="inlineStr">
        <is>
          <t>M7.3</t>
        </is>
      </c>
      <c r="B16" s="30" t="inlineStr">
        <is>
          <t>Constant acceleration (suvat) formulae</t>
        </is>
      </c>
      <c r="C16" s="31" t="n">
        <v>1</v>
      </c>
      <c r="D16" s="32" t="n"/>
      <c r="E16" s="33" t="n"/>
      <c r="F16" s="34" t="inlineStr">
        <is>
          <t>▶ Watch</t>
        </is>
      </c>
      <c r="G16" s="34" t="inlineStr">
        <is>
          <t>Questions</t>
        </is>
      </c>
      <c r="H16" s="34" t="inlineStr">
        <is>
          <t>Answers</t>
        </is>
      </c>
      <c r="I16" s="33" t="inlineStr">
        <is>
          <t>suvat</t>
        </is>
      </c>
      <c r="J16" s="34" t="inlineStr">
        <is>
          <t>Questions</t>
        </is>
      </c>
      <c r="K16" s="34" t="inlineStr">
        <is>
          <t>Marks</t>
        </is>
      </c>
      <c r="L16" s="34" t="inlineStr">
        <is>
          <t>Answers</t>
        </is>
      </c>
      <c r="M16" s="29" t="inlineStr">
        <is>
          <t>Applied 1 Ch9</t>
        </is>
      </c>
      <c r="N16" s="34" t="inlineStr">
        <is>
          <t>Set 1 of 2</t>
        </is>
      </c>
      <c r="O16" s="34" t="inlineStr">
        <is>
          <t>Marks</t>
        </is>
      </c>
      <c r="P16" t="inlineStr">
        <is>
          <t>M7</t>
        </is>
      </c>
    </row>
    <row r="17" outlineLevel="1" ht="20" customHeight="1">
      <c r="A17" s="29" t="inlineStr">
        <is>
          <t>M7.3</t>
        </is>
      </c>
      <c r="B17" s="30" t="inlineStr">
        <is>
          <t>suvat: multi-stage and two-particle problems</t>
        </is>
      </c>
      <c r="C17" s="31" t="n">
        <v>1</v>
      </c>
      <c r="D17" s="32" t="n"/>
      <c r="E17" s="33" t="n"/>
      <c r="F17" s="34" t="inlineStr">
        <is>
          <t>▶ Watch</t>
        </is>
      </c>
      <c r="G17" s="34" t="inlineStr">
        <is>
          <t>Questions</t>
        </is>
      </c>
      <c r="H17" s="34" t="inlineStr">
        <is>
          <t>Answers</t>
        </is>
      </c>
      <c r="I17" s="33" t="inlineStr">
        <is>
          <t>Motion Graphs</t>
        </is>
      </c>
      <c r="J17" s="34" t="inlineStr">
        <is>
          <t>Questions</t>
        </is>
      </c>
      <c r="K17" s="34" t="inlineStr">
        <is>
          <t>Marks</t>
        </is>
      </c>
      <c r="L17" s="34" t="inlineStr">
        <is>
          <t>Answers</t>
        </is>
      </c>
      <c r="M17" s="29" t="inlineStr">
        <is>
          <t>Applied 1 Ch9</t>
        </is>
      </c>
      <c r="N17" s="34" t="inlineStr">
        <is>
          <t>Set 1 of 2</t>
        </is>
      </c>
      <c r="O17" s="34" t="inlineStr">
        <is>
          <t>Marks</t>
        </is>
      </c>
      <c r="P17" t="inlineStr">
        <is>
          <t>M7</t>
        </is>
      </c>
    </row>
    <row r="18" outlineLevel="1" ht="20" customHeight="1">
      <c r="A18" s="29" t="inlineStr">
        <is>
          <t>M7.3</t>
        </is>
      </c>
      <c r="B18" s="30" t="inlineStr">
        <is>
          <t>Vertical motion under gravity (suvat with g)</t>
        </is>
      </c>
      <c r="C18" s="31" t="n">
        <v>1</v>
      </c>
      <c r="D18" s="32" t="n"/>
      <c r="E18" s="33" t="n"/>
      <c r="F18" s="34" t="inlineStr">
        <is>
          <t>▶ Watch</t>
        </is>
      </c>
      <c r="G18" s="34" t="inlineStr">
        <is>
          <t>Questions</t>
        </is>
      </c>
      <c r="H18" s="34" t="inlineStr">
        <is>
          <t>Answers</t>
        </is>
      </c>
      <c r="I18" s="33" t="inlineStr">
        <is>
          <t>suvat</t>
        </is>
      </c>
      <c r="J18" s="34" t="inlineStr">
        <is>
          <t>Questions</t>
        </is>
      </c>
      <c r="K18" s="34" t="inlineStr">
        <is>
          <t>Marks</t>
        </is>
      </c>
      <c r="L18" s="34" t="inlineStr">
        <is>
          <t>Answers</t>
        </is>
      </c>
      <c r="M18" s="29" t="inlineStr">
        <is>
          <t>Applied 1 Ch9</t>
        </is>
      </c>
      <c r="N18" s="34" t="inlineStr">
        <is>
          <t>Set 1 of 2</t>
        </is>
      </c>
      <c r="O18" s="34" t="inlineStr">
        <is>
          <t>Marks</t>
        </is>
      </c>
      <c r="P18" t="inlineStr">
        <is>
          <t>M7</t>
        </is>
      </c>
    </row>
    <row r="19" outlineLevel="1" ht="20" customHeight="1">
      <c r="A19" s="29" t="inlineStr">
        <is>
          <t>M7.4</t>
        </is>
      </c>
      <c r="B19" s="30" t="inlineStr">
        <is>
          <t>Variable acceleration: using differentiation</t>
        </is>
      </c>
      <c r="C19" s="31" t="n">
        <v>1</v>
      </c>
      <c r="D19" s="32" t="n"/>
      <c r="E19" s="33" t="n"/>
      <c r="F19" s="34" t="inlineStr">
        <is>
          <t>▶ Watch</t>
        </is>
      </c>
      <c r="G19" s="34" t="inlineStr">
        <is>
          <t>Questions</t>
        </is>
      </c>
      <c r="H19" s="34" t="inlineStr">
        <is>
          <t>Answers</t>
        </is>
      </c>
      <c r="I19" s="33" t="inlineStr">
        <is>
          <t>Calculus in Kinematics</t>
        </is>
      </c>
      <c r="J19" s="34" t="inlineStr">
        <is>
          <t>Questions</t>
        </is>
      </c>
      <c r="K19" s="34" t="inlineStr">
        <is>
          <t>Marks</t>
        </is>
      </c>
      <c r="L19" s="34" t="inlineStr">
        <is>
          <t>Answers</t>
        </is>
      </c>
      <c r="M19" s="29" t="inlineStr">
        <is>
          <t>Applied 1 Ch11</t>
        </is>
      </c>
      <c r="N19" s="34" t="inlineStr">
        <is>
          <t>Questions</t>
        </is>
      </c>
      <c r="O19" s="34" t="inlineStr">
        <is>
          <t>Marks</t>
        </is>
      </c>
      <c r="P19" t="inlineStr">
        <is>
          <t>M7</t>
        </is>
      </c>
    </row>
    <row r="20" outlineLevel="1" ht="20" customHeight="1">
      <c r="A20" s="29" t="inlineStr">
        <is>
          <t>M7.4</t>
        </is>
      </c>
      <c r="B20" s="30" t="inlineStr">
        <is>
          <t>Variable acceleration: maxima and minima</t>
        </is>
      </c>
      <c r="C20" s="31" t="n">
        <v>1</v>
      </c>
      <c r="D20" s="32" t="n"/>
      <c r="E20" s="33" t="n"/>
      <c r="F20" s="34" t="inlineStr">
        <is>
          <t>▶ Watch</t>
        </is>
      </c>
      <c r="G20" s="34" t="inlineStr">
        <is>
          <t>Questions</t>
        </is>
      </c>
      <c r="H20" s="34" t="inlineStr">
        <is>
          <t>Answers</t>
        </is>
      </c>
      <c r="I20" s="33" t="inlineStr">
        <is>
          <t>Calculus in Kinematics</t>
        </is>
      </c>
      <c r="J20" s="34" t="inlineStr">
        <is>
          <t>Questions</t>
        </is>
      </c>
      <c r="K20" s="34" t="inlineStr">
        <is>
          <t>Marks</t>
        </is>
      </c>
      <c r="L20" s="34" t="inlineStr">
        <is>
          <t>Answers</t>
        </is>
      </c>
      <c r="M20" s="29" t="inlineStr">
        <is>
          <t>Applied 1 Ch11</t>
        </is>
      </c>
      <c r="N20" s="34" t="inlineStr">
        <is>
          <t>Questions</t>
        </is>
      </c>
      <c r="O20" s="34" t="inlineStr">
        <is>
          <t>Marks</t>
        </is>
      </c>
      <c r="P20" t="inlineStr">
        <is>
          <t>M7</t>
        </is>
      </c>
    </row>
    <row r="21" outlineLevel="1" ht="20" customHeight="1">
      <c r="A21" s="29" t="inlineStr">
        <is>
          <t>M7.4</t>
        </is>
      </c>
      <c r="B21" s="30" t="inlineStr">
        <is>
          <t>Variable acceleration: using integration</t>
        </is>
      </c>
      <c r="C21" s="31" t="n">
        <v>1</v>
      </c>
      <c r="D21" s="32" t="n"/>
      <c r="E21" s="33" t="n"/>
      <c r="F21" s="34" t="inlineStr">
        <is>
          <t>▶ Watch</t>
        </is>
      </c>
      <c r="G21" s="34" t="inlineStr">
        <is>
          <t>Questions</t>
        </is>
      </c>
      <c r="H21" s="34" t="inlineStr">
        <is>
          <t>Answers</t>
        </is>
      </c>
      <c r="I21" s="33" t="inlineStr">
        <is>
          <t>Calculus in Kinematics</t>
        </is>
      </c>
      <c r="J21" s="34" t="inlineStr">
        <is>
          <t>Questions</t>
        </is>
      </c>
      <c r="K21" s="34" t="inlineStr">
        <is>
          <t>Marks</t>
        </is>
      </c>
      <c r="L21" s="34" t="inlineStr">
        <is>
          <t>Answers</t>
        </is>
      </c>
      <c r="M21" s="29" t="inlineStr">
        <is>
          <t>Applied 1 Ch11</t>
        </is>
      </c>
      <c r="N21" s="34" t="inlineStr">
        <is>
          <t>Questions</t>
        </is>
      </c>
      <c r="O21" s="34" t="inlineStr">
        <is>
          <t>Marks</t>
        </is>
      </c>
      <c r="P21" t="inlineStr">
        <is>
          <t>M7</t>
        </is>
      </c>
    </row>
    <row r="22" outlineLevel="1" ht="20" customHeight="1">
      <c r="A22" s="29" t="inlineStr">
        <is>
          <t>M7.3</t>
        </is>
      </c>
      <c r="B22" s="30" t="inlineStr">
        <is>
          <t>Deriving the suvat formulae (using graphs or calculus)</t>
        </is>
      </c>
      <c r="C22" s="31" t="n">
        <v>1</v>
      </c>
      <c r="D22" s="32" t="n"/>
      <c r="E22" s="33" t="n"/>
      <c r="F22" s="34" t="inlineStr">
        <is>
          <t>▶ Watch</t>
        </is>
      </c>
      <c r="G22" s="34" t="inlineStr">
        <is>
          <t>Questions</t>
        </is>
      </c>
      <c r="H22" s="34" t="inlineStr">
        <is>
          <t>Answers</t>
        </is>
      </c>
      <c r="I22" s="35" t="inlineStr">
        <is>
          <t>none for this topic</t>
        </is>
      </c>
      <c r="J22" s="36" t="n"/>
      <c r="K22" s="36" t="n"/>
      <c r="L22" s="36" t="n"/>
      <c r="M22" s="29" t="inlineStr">
        <is>
          <t>Applied 1 Ch11</t>
        </is>
      </c>
      <c r="N22" s="34" t="inlineStr">
        <is>
          <t>Questions</t>
        </is>
      </c>
      <c r="O22" s="34" t="inlineStr">
        <is>
          <t>Marks</t>
        </is>
      </c>
      <c r="P22" t="inlineStr">
        <is>
          <t>M7</t>
        </is>
      </c>
    </row>
    <row r="23" outlineLevel="1" ht="20" customHeight="1">
      <c r="A23" s="29" t="inlineStr">
        <is>
          <t>M7.3</t>
        </is>
      </c>
      <c r="B23" s="30" t="inlineStr">
        <is>
          <t>Constant acceleration in 2D with vectors</t>
        </is>
      </c>
      <c r="C23" s="39" t="n">
        <v>2</v>
      </c>
      <c r="D23" s="32" t="n"/>
      <c r="E23" s="33" t="n"/>
      <c r="F23" s="34" t="inlineStr">
        <is>
          <t>▶ Watch</t>
        </is>
      </c>
      <c r="G23" s="34" t="inlineStr">
        <is>
          <t>Questions</t>
        </is>
      </c>
      <c r="H23" s="34" t="inlineStr">
        <is>
          <t>Answers</t>
        </is>
      </c>
      <c r="I23" s="33" t="inlineStr">
        <is>
          <t>suvat (Yr 2)</t>
        </is>
      </c>
      <c r="J23" s="34" t="inlineStr">
        <is>
          <t>Questions</t>
        </is>
      </c>
      <c r="K23" s="34" t="inlineStr">
        <is>
          <t>Marks</t>
        </is>
      </c>
      <c r="L23" s="34" t="inlineStr">
        <is>
          <t>Answers</t>
        </is>
      </c>
      <c r="M23" s="29" t="inlineStr">
        <is>
          <t>Applied 2 Ch8</t>
        </is>
      </c>
      <c r="N23" s="34" t="inlineStr">
        <is>
          <t>Set 1 of 2</t>
        </is>
      </c>
      <c r="O23" s="34" t="inlineStr">
        <is>
          <t>Marks</t>
        </is>
      </c>
      <c r="P23" t="inlineStr">
        <is>
          <t>M7</t>
        </is>
      </c>
    </row>
    <row r="24" outlineLevel="1" ht="32" customHeight="1">
      <c r="A24" s="29" t="inlineStr">
        <is>
          <t>M7.4</t>
        </is>
      </c>
      <c r="B24" s="30" t="inlineStr">
        <is>
          <t>Variable acceleration in 2D: differentiating and integrating vectors</t>
        </is>
      </c>
      <c r="C24" s="39" t="n">
        <v>2</v>
      </c>
      <c r="D24" s="32" t="n"/>
      <c r="E24" s="33" t="n"/>
      <c r="F24" s="34" t="inlineStr">
        <is>
          <t>▶ Watch</t>
        </is>
      </c>
      <c r="G24" s="34" t="inlineStr">
        <is>
          <t>Questions</t>
        </is>
      </c>
      <c r="H24" s="34" t="inlineStr">
        <is>
          <t>Answers</t>
        </is>
      </c>
      <c r="I24" s="33" t="inlineStr">
        <is>
          <t>Calculus in Kinematics (Yr 2)</t>
        </is>
      </c>
      <c r="J24" s="34" t="inlineStr">
        <is>
          <t>Questions</t>
        </is>
      </c>
      <c r="K24" s="34" t="inlineStr">
        <is>
          <t>Marks</t>
        </is>
      </c>
      <c r="L24" s="34" t="inlineStr">
        <is>
          <t>Answers</t>
        </is>
      </c>
      <c r="M24" s="29" t="inlineStr">
        <is>
          <t>Applied 2 Ch8</t>
        </is>
      </c>
      <c r="N24" s="34" t="inlineStr">
        <is>
          <t>Set 1 of 2</t>
        </is>
      </c>
      <c r="O24" s="34" t="inlineStr">
        <is>
          <t>Marks</t>
        </is>
      </c>
      <c r="P24" t="inlineStr">
        <is>
          <t>M7</t>
        </is>
      </c>
    </row>
    <row r="25" outlineLevel="1" ht="20" customHeight="1">
      <c r="A25" s="29" t="inlineStr">
        <is>
          <t>M7.5</t>
        </is>
      </c>
      <c r="B25" s="30" t="inlineStr">
        <is>
          <t>Projectiles: horizontal projection</t>
        </is>
      </c>
      <c r="C25" s="39" t="n">
        <v>2</v>
      </c>
      <c r="D25" s="32" t="n"/>
      <c r="E25" s="33" t="n"/>
      <c r="F25" s="34" t="inlineStr">
        <is>
          <t>▶ Watch</t>
        </is>
      </c>
      <c r="G25" s="34" t="inlineStr">
        <is>
          <t>Questions</t>
        </is>
      </c>
      <c r="H25" s="34" t="inlineStr">
        <is>
          <t>Answers</t>
        </is>
      </c>
      <c r="I25" s="35" t="inlineStr">
        <is>
          <t>none for this topic</t>
        </is>
      </c>
      <c r="J25" s="36" t="n"/>
      <c r="K25" s="36" t="n"/>
      <c r="L25" s="36" t="n"/>
      <c r="M25" s="29" t="inlineStr">
        <is>
          <t>Applied 2 Ch6</t>
        </is>
      </c>
      <c r="N25" s="34" t="inlineStr">
        <is>
          <t>Questions</t>
        </is>
      </c>
      <c r="O25" s="34" t="inlineStr">
        <is>
          <t>Marks</t>
        </is>
      </c>
      <c r="P25" t="inlineStr">
        <is>
          <t>M7</t>
        </is>
      </c>
    </row>
    <row r="26" outlineLevel="1" ht="32" customHeight="1">
      <c r="A26" s="29" t="inlineStr">
        <is>
          <t>M7.5</t>
        </is>
      </c>
      <c r="B26" s="30" t="inlineStr">
        <is>
          <t>Projectiles at any angle (horizontal and vertical components)</t>
        </is>
      </c>
      <c r="C26" s="39" t="n">
        <v>2</v>
      </c>
      <c r="D26" s="32" t="n"/>
      <c r="E26" s="33" t="n"/>
      <c r="F26" s="34" t="inlineStr">
        <is>
          <t>▶ Watch</t>
        </is>
      </c>
      <c r="G26" s="34" t="inlineStr">
        <is>
          <t>Questions</t>
        </is>
      </c>
      <c r="H26" s="34" t="inlineStr">
        <is>
          <t>Answers</t>
        </is>
      </c>
      <c r="I26" s="33" t="inlineStr">
        <is>
          <t>Projectiles (Yr 2)</t>
        </is>
      </c>
      <c r="J26" s="34" t="inlineStr">
        <is>
          <t>Questions</t>
        </is>
      </c>
      <c r="K26" s="34" t="inlineStr">
        <is>
          <t>Marks</t>
        </is>
      </c>
      <c r="L26" s="34" t="inlineStr">
        <is>
          <t>Answers</t>
        </is>
      </c>
      <c r="M26" s="29" t="inlineStr">
        <is>
          <t>Applied 2 Ch6</t>
        </is>
      </c>
      <c r="N26" s="34" t="inlineStr">
        <is>
          <t>Questions</t>
        </is>
      </c>
      <c r="O26" s="34" t="inlineStr">
        <is>
          <t>Marks</t>
        </is>
      </c>
      <c r="P26" t="inlineStr">
        <is>
          <t>M7</t>
        </is>
      </c>
    </row>
    <row r="27" outlineLevel="1" ht="32" customHeight="1">
      <c r="A27" s="29" t="inlineStr">
        <is>
          <t>M7.5</t>
        </is>
      </c>
      <c r="B27" s="30" t="inlineStr">
        <is>
          <t>Projectile formulae: time of flight, range, maximum height, equation of the path</t>
        </is>
      </c>
      <c r="C27" s="39" t="n">
        <v>2</v>
      </c>
      <c r="D27" s="32" t="n"/>
      <c r="E27" s="33" t="n"/>
      <c r="F27" s="34" t="inlineStr">
        <is>
          <t>▶ Watch</t>
        </is>
      </c>
      <c r="G27" s="34" t="inlineStr">
        <is>
          <t>Questions</t>
        </is>
      </c>
      <c r="H27" s="34" t="inlineStr">
        <is>
          <t>Answers</t>
        </is>
      </c>
      <c r="I27" s="33" t="inlineStr">
        <is>
          <t>Projectiles (Yr 2)</t>
        </is>
      </c>
      <c r="J27" s="34" t="inlineStr">
        <is>
          <t>Questions</t>
        </is>
      </c>
      <c r="K27" s="34" t="inlineStr">
        <is>
          <t>Marks</t>
        </is>
      </c>
      <c r="L27" s="34" t="inlineStr">
        <is>
          <t>Answers</t>
        </is>
      </c>
      <c r="M27" s="29" t="inlineStr">
        <is>
          <t>Applied 2 Ch6</t>
        </is>
      </c>
      <c r="N27" s="34" t="inlineStr">
        <is>
          <t>Questions</t>
        </is>
      </c>
      <c r="O27" s="34" t="inlineStr">
        <is>
          <t>Marks</t>
        </is>
      </c>
      <c r="P27" t="inlineStr">
        <is>
          <t>M7</t>
        </is>
      </c>
    </row>
    <row r="28" ht="10" customHeight="1"/>
    <row r="29" ht="26" customHeight="1">
      <c r="A29" s="25" t="inlineStr">
        <is>
          <t>8</t>
        </is>
      </c>
      <c r="B29" s="26" t="inlineStr">
        <is>
          <t>Forces and Newton's laws</t>
        </is>
      </c>
      <c r="C29" s="27" t="n"/>
      <c r="D29" s="27" t="n"/>
      <c r="E29" s="28" t="inlineStr">
        <is>
          <t>13 topics  ·  Year 1: 6  ·  Year 2: 7</t>
        </is>
      </c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</row>
    <row r="30" outlineLevel="1" ht="20" customHeight="1">
      <c r="A30" s="29" t="inlineStr">
        <is>
          <t>M8.1</t>
        </is>
      </c>
      <c r="B30" s="30" t="inlineStr">
        <is>
          <t>Force diagrams, types of force and Newton's first law</t>
        </is>
      </c>
      <c r="C30" s="31" t="n">
        <v>1</v>
      </c>
      <c r="D30" s="32" t="n"/>
      <c r="E30" s="33" t="n"/>
      <c r="F30" s="34" t="inlineStr">
        <is>
          <t>▶ Watch</t>
        </is>
      </c>
      <c r="G30" s="34" t="inlineStr">
        <is>
          <t>Questions</t>
        </is>
      </c>
      <c r="H30" s="34" t="inlineStr">
        <is>
          <t>Answers</t>
        </is>
      </c>
      <c r="I30" s="33" t="inlineStr">
        <is>
          <t>Forces &amp; Newton's Laws</t>
        </is>
      </c>
      <c r="J30" s="34" t="inlineStr">
        <is>
          <t>Questions</t>
        </is>
      </c>
      <c r="K30" s="34" t="inlineStr">
        <is>
          <t>Marks</t>
        </is>
      </c>
      <c r="L30" s="34" t="inlineStr">
        <is>
          <t>Answers</t>
        </is>
      </c>
      <c r="M30" s="29" t="inlineStr">
        <is>
          <t>Applied 1 Ch10</t>
        </is>
      </c>
      <c r="N30" s="34" t="inlineStr">
        <is>
          <t>Questions</t>
        </is>
      </c>
      <c r="O30" s="34" t="inlineStr">
        <is>
          <t>Marks</t>
        </is>
      </c>
      <c r="P30" t="inlineStr">
        <is>
          <t>M8</t>
        </is>
      </c>
    </row>
    <row r="31" outlineLevel="1" ht="20" customHeight="1">
      <c r="A31" s="29" t="inlineStr">
        <is>
          <t>M8.2</t>
        </is>
      </c>
      <c r="B31" s="30" t="inlineStr">
        <is>
          <t>Forces as vectors in i, j form</t>
        </is>
      </c>
      <c r="C31" s="31" t="n">
        <v>1</v>
      </c>
      <c r="D31" s="32" t="n"/>
      <c r="E31" s="33" t="n"/>
      <c r="F31" s="34" t="inlineStr">
        <is>
          <t>▶ Watch</t>
        </is>
      </c>
      <c r="G31" s="34" t="inlineStr">
        <is>
          <t>Questions</t>
        </is>
      </c>
      <c r="H31" s="34" t="inlineStr">
        <is>
          <t>Answers</t>
        </is>
      </c>
      <c r="I31" s="33" t="inlineStr">
        <is>
          <t>Forces &amp; Newton's Laws</t>
        </is>
      </c>
      <c r="J31" s="34" t="inlineStr">
        <is>
          <t>Questions</t>
        </is>
      </c>
      <c r="K31" s="34" t="inlineStr">
        <is>
          <t>Marks</t>
        </is>
      </c>
      <c r="L31" s="34" t="inlineStr">
        <is>
          <t>Answers</t>
        </is>
      </c>
      <c r="M31" s="29" t="inlineStr">
        <is>
          <t>Applied 1 Ch10</t>
        </is>
      </c>
      <c r="N31" s="34" t="inlineStr">
        <is>
          <t>Questions</t>
        </is>
      </c>
      <c r="O31" s="34" t="inlineStr">
        <is>
          <t>Marks</t>
        </is>
      </c>
      <c r="P31" t="inlineStr">
        <is>
          <t>M8</t>
        </is>
      </c>
    </row>
    <row r="32" outlineLevel="1" ht="20" customHeight="1">
      <c r="A32" s="29" t="inlineStr">
        <is>
          <t>M8.2</t>
        </is>
      </c>
      <c r="B32" s="30" t="inlineStr">
        <is>
          <t>Newton's second law F = ma (incl. weight, M8.3)</t>
        </is>
      </c>
      <c r="C32" s="31" t="n">
        <v>1</v>
      </c>
      <c r="D32" s="32" t="n"/>
      <c r="E32" s="33" t="n"/>
      <c r="F32" s="34" t="inlineStr">
        <is>
          <t>▶ Watch</t>
        </is>
      </c>
      <c r="G32" s="34" t="inlineStr">
        <is>
          <t>Questions</t>
        </is>
      </c>
      <c r="H32" s="34" t="inlineStr">
        <is>
          <t>Answers</t>
        </is>
      </c>
      <c r="I32" s="33" t="inlineStr">
        <is>
          <t>Forces &amp; Newton's Laws</t>
        </is>
      </c>
      <c r="J32" s="34" t="inlineStr">
        <is>
          <t>Questions</t>
        </is>
      </c>
      <c r="K32" s="34" t="inlineStr">
        <is>
          <t>Marks</t>
        </is>
      </c>
      <c r="L32" s="34" t="inlineStr">
        <is>
          <t>Answers</t>
        </is>
      </c>
      <c r="M32" s="29" t="inlineStr">
        <is>
          <t>Applied 1 Ch10</t>
        </is>
      </c>
      <c r="N32" s="34" t="inlineStr">
        <is>
          <t>Questions</t>
        </is>
      </c>
      <c r="O32" s="34" t="inlineStr">
        <is>
          <t>Marks</t>
        </is>
      </c>
      <c r="P32" t="inlineStr">
        <is>
          <t>M8</t>
        </is>
      </c>
    </row>
    <row r="33" outlineLevel="1" ht="20" customHeight="1">
      <c r="A33" s="29" t="inlineStr">
        <is>
          <t>M8.2</t>
        </is>
      </c>
      <c r="B33" s="30" t="inlineStr">
        <is>
          <t>F = ma in 2D with vectors</t>
        </is>
      </c>
      <c r="C33" s="31" t="n">
        <v>1</v>
      </c>
      <c r="D33" s="32" t="n"/>
      <c r="E33" s="33" t="n"/>
      <c r="F33" s="34" t="inlineStr">
        <is>
          <t>▶ Watch</t>
        </is>
      </c>
      <c r="G33" s="34" t="inlineStr">
        <is>
          <t>Questions</t>
        </is>
      </c>
      <c r="H33" s="34" t="inlineStr">
        <is>
          <t>Answers</t>
        </is>
      </c>
      <c r="I33" s="33" t="inlineStr">
        <is>
          <t>Forces &amp; Newton's Laws</t>
        </is>
      </c>
      <c r="J33" s="34" t="inlineStr">
        <is>
          <t>Questions</t>
        </is>
      </c>
      <c r="K33" s="34" t="inlineStr">
        <is>
          <t>Marks</t>
        </is>
      </c>
      <c r="L33" s="34" t="inlineStr">
        <is>
          <t>Answers</t>
        </is>
      </c>
      <c r="M33" s="29" t="inlineStr">
        <is>
          <t>Applied 1 Ch10</t>
        </is>
      </c>
      <c r="N33" s="34" t="inlineStr">
        <is>
          <t>Questions</t>
        </is>
      </c>
      <c r="O33" s="34" t="inlineStr">
        <is>
          <t>Marks</t>
        </is>
      </c>
      <c r="P33" t="inlineStr">
        <is>
          <t>M8</t>
        </is>
      </c>
    </row>
    <row r="34" outlineLevel="1" ht="20" customHeight="1">
      <c r="A34" s="29" t="inlineStr">
        <is>
          <t>M8.4</t>
        </is>
      </c>
      <c r="B34" s="30" t="inlineStr">
        <is>
          <t>Connected particles (incl. Newton's third law)</t>
        </is>
      </c>
      <c r="C34" s="31" t="n">
        <v>1</v>
      </c>
      <c r="D34" s="32" t="n"/>
      <c r="E34" s="33" t="n"/>
      <c r="F34" s="34" t="inlineStr">
        <is>
          <t>▶ Watch</t>
        </is>
      </c>
      <c r="G34" s="34" t="inlineStr">
        <is>
          <t>Questions</t>
        </is>
      </c>
      <c r="H34" s="34" t="inlineStr">
        <is>
          <t>Answers</t>
        </is>
      </c>
      <c r="I34" s="33" t="inlineStr">
        <is>
          <t>Connected Particles (Yr 2)</t>
        </is>
      </c>
      <c r="J34" s="34" t="inlineStr">
        <is>
          <t>Questions</t>
        </is>
      </c>
      <c r="K34" s="34" t="inlineStr">
        <is>
          <t>Marks</t>
        </is>
      </c>
      <c r="L34" s="34" t="inlineStr">
        <is>
          <t>Answers</t>
        </is>
      </c>
      <c r="M34" s="29" t="inlineStr">
        <is>
          <t>Applied 1 Ch10</t>
        </is>
      </c>
      <c r="N34" s="34" t="inlineStr">
        <is>
          <t>Questions</t>
        </is>
      </c>
      <c r="O34" s="34" t="inlineStr">
        <is>
          <t>Marks</t>
        </is>
      </c>
      <c r="P34" t="inlineStr">
        <is>
          <t>M8</t>
        </is>
      </c>
    </row>
    <row r="35" outlineLevel="1" ht="20" customHeight="1">
      <c r="A35" s="29" t="inlineStr">
        <is>
          <t>M8.4</t>
        </is>
      </c>
      <c r="B35" s="30" t="inlineStr">
        <is>
          <t>Pulleys</t>
        </is>
      </c>
      <c r="C35" s="31" t="n">
        <v>1</v>
      </c>
      <c r="D35" s="32" t="n"/>
      <c r="E35" s="33" t="n"/>
      <c r="F35" s="34" t="inlineStr">
        <is>
          <t>▶ Watch</t>
        </is>
      </c>
      <c r="G35" s="34" t="inlineStr">
        <is>
          <t>Questions</t>
        </is>
      </c>
      <c r="H35" s="34" t="inlineStr">
        <is>
          <t>Answers</t>
        </is>
      </c>
      <c r="I35" s="33" t="inlineStr">
        <is>
          <t>Connected Particles (Yr 2)</t>
        </is>
      </c>
      <c r="J35" s="34" t="inlineStr">
        <is>
          <t>Questions</t>
        </is>
      </c>
      <c r="K35" s="34" t="inlineStr">
        <is>
          <t>Marks</t>
        </is>
      </c>
      <c r="L35" s="34" t="inlineStr">
        <is>
          <t>Answers</t>
        </is>
      </c>
      <c r="M35" s="29" t="inlineStr">
        <is>
          <t>Applied 1 Ch10</t>
        </is>
      </c>
      <c r="N35" s="34" t="inlineStr">
        <is>
          <t>Questions</t>
        </is>
      </c>
      <c r="O35" s="34" t="inlineStr">
        <is>
          <t>Marks</t>
        </is>
      </c>
      <c r="P35" t="inlineStr">
        <is>
          <t>M8</t>
        </is>
      </c>
    </row>
    <row r="36" outlineLevel="1" ht="32" customHeight="1">
      <c r="A36" s="29" t="inlineStr">
        <is>
          <t>M8.5</t>
        </is>
      </c>
      <c r="B36" s="30" t="inlineStr">
        <is>
          <t>Resolving forces and resultant forces (magnitude-direction form)</t>
        </is>
      </c>
      <c r="C36" s="39" t="n">
        <v>2</v>
      </c>
      <c r="D36" s="32" t="n"/>
      <c r="E36" s="33" t="n"/>
      <c r="F36" s="34" t="inlineStr">
        <is>
          <t>▶ Watch</t>
        </is>
      </c>
      <c r="G36" s="34" t="inlineStr">
        <is>
          <t>Questions</t>
        </is>
      </c>
      <c r="H36" s="34" t="inlineStr">
        <is>
          <t>Answers</t>
        </is>
      </c>
      <c r="I36" s="33" t="inlineStr">
        <is>
          <t>Forces &amp; Newton's Laws (Yr 2)</t>
        </is>
      </c>
      <c r="J36" s="34" t="inlineStr">
        <is>
          <t>Questions</t>
        </is>
      </c>
      <c r="K36" s="34" t="inlineStr">
        <is>
          <t>Marks</t>
        </is>
      </c>
      <c r="L36" s="34" t="inlineStr">
        <is>
          <t>Answers</t>
        </is>
      </c>
      <c r="M36" s="29" t="inlineStr">
        <is>
          <t>Applied 2 Ch5</t>
        </is>
      </c>
      <c r="N36" s="34" t="inlineStr">
        <is>
          <t>Set 1 of 2</t>
        </is>
      </c>
      <c r="O36" s="34" t="inlineStr">
        <is>
          <t>Marks</t>
        </is>
      </c>
      <c r="P36" t="inlineStr">
        <is>
          <t>M8</t>
        </is>
      </c>
    </row>
    <row r="37" outlineLevel="1" ht="20" customHeight="1">
      <c r="A37" s="29" t="inlineStr">
        <is>
          <t>M8.2</t>
        </is>
      </c>
      <c r="B37" s="30" t="inlineStr">
        <is>
          <t>Inclined planes</t>
        </is>
      </c>
      <c r="C37" s="39" t="n">
        <v>2</v>
      </c>
      <c r="D37" s="32" t="n"/>
      <c r="E37" s="33" t="n"/>
      <c r="F37" s="34" t="inlineStr">
        <is>
          <t>▶ Watch</t>
        </is>
      </c>
      <c r="G37" s="34" t="inlineStr">
        <is>
          <t>Questions</t>
        </is>
      </c>
      <c r="H37" s="34" t="inlineStr">
        <is>
          <t>Answers</t>
        </is>
      </c>
      <c r="I37" s="33" t="inlineStr">
        <is>
          <t>F = ma on a slope (Yr 2)</t>
        </is>
      </c>
      <c r="J37" s="34" t="inlineStr">
        <is>
          <t>Questions</t>
        </is>
      </c>
      <c r="K37" s="34" t="inlineStr">
        <is>
          <t>Marks</t>
        </is>
      </c>
      <c r="L37" s="34" t="inlineStr">
        <is>
          <t>Answers</t>
        </is>
      </c>
      <c r="M37" s="29" t="inlineStr">
        <is>
          <t>Applied 2 Ch5</t>
        </is>
      </c>
      <c r="N37" s="34" t="inlineStr">
        <is>
          <t>Set 1 of 2</t>
        </is>
      </c>
      <c r="O37" s="34" t="inlineStr">
        <is>
          <t>Marks</t>
        </is>
      </c>
      <c r="P37" t="inlineStr">
        <is>
          <t>M8</t>
        </is>
      </c>
    </row>
    <row r="38" outlineLevel="1" ht="20" customHeight="1">
      <c r="A38" s="29" t="inlineStr">
        <is>
          <t>M8.6</t>
        </is>
      </c>
      <c r="B38" s="30" t="inlineStr">
        <is>
          <t>Friction (F ≤ μR) and limiting friction</t>
        </is>
      </c>
      <c r="C38" s="39" t="n">
        <v>2</v>
      </c>
      <c r="D38" s="32" t="n"/>
      <c r="E38" s="33" t="n"/>
      <c r="F38" s="34" t="inlineStr">
        <is>
          <t>▶ Watch</t>
        </is>
      </c>
      <c r="G38" s="34" t="inlineStr">
        <is>
          <t>Questions</t>
        </is>
      </c>
      <c r="H38" s="34" t="inlineStr">
        <is>
          <t>Answers</t>
        </is>
      </c>
      <c r="I38" s="33" t="inlineStr">
        <is>
          <t>F = ma on a slope (Yr 2)</t>
        </is>
      </c>
      <c r="J38" s="34" t="inlineStr">
        <is>
          <t>Questions</t>
        </is>
      </c>
      <c r="K38" s="34" t="inlineStr">
        <is>
          <t>Marks</t>
        </is>
      </c>
      <c r="L38" s="34" t="inlineStr">
        <is>
          <t>Answers</t>
        </is>
      </c>
      <c r="M38" s="29" t="inlineStr">
        <is>
          <t>Applied 2 Ch5</t>
        </is>
      </c>
      <c r="N38" s="34" t="inlineStr">
        <is>
          <t>Set 1 of 2</t>
        </is>
      </c>
      <c r="O38" s="34" t="inlineStr">
        <is>
          <t>Marks</t>
        </is>
      </c>
      <c r="P38" t="inlineStr">
        <is>
          <t>M8</t>
        </is>
      </c>
    </row>
    <row r="39" outlineLevel="1" ht="20" customHeight="1">
      <c r="A39" s="29" t="inlineStr">
        <is>
          <t>M8.4</t>
        </is>
      </c>
      <c r="B39" s="30" t="inlineStr">
        <is>
          <t>Statics: particles in equilibrium</t>
        </is>
      </c>
      <c r="C39" s="39" t="n">
        <v>2</v>
      </c>
      <c r="D39" s="32" t="n"/>
      <c r="E39" s="33" t="n"/>
      <c r="F39" s="34" t="inlineStr">
        <is>
          <t>▶ Watch</t>
        </is>
      </c>
      <c r="G39" s="34" t="inlineStr">
        <is>
          <t>Questions</t>
        </is>
      </c>
      <c r="H39" s="34" t="inlineStr">
        <is>
          <t>Answers</t>
        </is>
      </c>
      <c r="I39" s="33" t="inlineStr">
        <is>
          <t>Forces &amp; Newton's Laws (Yr 2)</t>
        </is>
      </c>
      <c r="J39" s="34" t="inlineStr">
        <is>
          <t>Questions</t>
        </is>
      </c>
      <c r="K39" s="34" t="inlineStr">
        <is>
          <t>Marks</t>
        </is>
      </c>
      <c r="L39" s="34" t="inlineStr">
        <is>
          <t>Answers</t>
        </is>
      </c>
      <c r="M39" s="29" t="inlineStr">
        <is>
          <t>Applied 2 Ch7</t>
        </is>
      </c>
      <c r="N39" s="34" t="inlineStr">
        <is>
          <t>Set 1 of 2</t>
        </is>
      </c>
      <c r="O39" s="34" t="inlineStr">
        <is>
          <t>Marks</t>
        </is>
      </c>
      <c r="P39" t="inlineStr">
        <is>
          <t>M8</t>
        </is>
      </c>
    </row>
    <row r="40" outlineLevel="1" ht="20" customHeight="1">
      <c r="A40" s="29" t="inlineStr">
        <is>
          <t>M8.6</t>
        </is>
      </c>
      <c r="B40" s="30" t="inlineStr">
        <is>
          <t>Friction and static particles (limiting equilibrium)</t>
        </is>
      </c>
      <c r="C40" s="39" t="n">
        <v>2</v>
      </c>
      <c r="D40" s="32" t="n"/>
      <c r="E40" s="33" t="n"/>
      <c r="F40" s="34" t="inlineStr">
        <is>
          <t>▶ Watch</t>
        </is>
      </c>
      <c r="G40" s="34" t="inlineStr">
        <is>
          <t>Questions</t>
        </is>
      </c>
      <c r="H40" s="34" t="inlineStr">
        <is>
          <t>Answers</t>
        </is>
      </c>
      <c r="I40" s="33" t="inlineStr">
        <is>
          <t>Forces &amp; Newton's Laws (Yr 2)</t>
        </is>
      </c>
      <c r="J40" s="34" t="inlineStr">
        <is>
          <t>Questions</t>
        </is>
      </c>
      <c r="K40" s="34" t="inlineStr">
        <is>
          <t>Marks</t>
        </is>
      </c>
      <c r="L40" s="34" t="inlineStr">
        <is>
          <t>Answers</t>
        </is>
      </c>
      <c r="M40" s="29" t="inlineStr">
        <is>
          <t>Applied 2 Ch7</t>
        </is>
      </c>
      <c r="N40" s="34" t="inlineStr">
        <is>
          <t>Set 1 of 2</t>
        </is>
      </c>
      <c r="O40" s="34" t="inlineStr">
        <is>
          <t>Marks</t>
        </is>
      </c>
      <c r="P40" t="inlineStr">
        <is>
          <t>M8</t>
        </is>
      </c>
    </row>
    <row r="41" outlineLevel="1" ht="20" customHeight="1">
      <c r="A41" s="29" t="inlineStr">
        <is>
          <t>M8.2</t>
        </is>
      </c>
      <c r="B41" s="30" t="inlineStr">
        <is>
          <t>Dynamics on inclined planes</t>
        </is>
      </c>
      <c r="C41" s="39" t="n">
        <v>2</v>
      </c>
      <c r="D41" s="32" t="n"/>
      <c r="E41" s="33" t="n"/>
      <c r="F41" s="34" t="inlineStr">
        <is>
          <t>▶ Watch</t>
        </is>
      </c>
      <c r="G41" s="34" t="inlineStr">
        <is>
          <t>Questions</t>
        </is>
      </c>
      <c r="H41" s="34" t="inlineStr">
        <is>
          <t>Answers</t>
        </is>
      </c>
      <c r="I41" s="33" t="inlineStr">
        <is>
          <t>F = ma on a slope (Yr 2)</t>
        </is>
      </c>
      <c r="J41" s="34" t="inlineStr">
        <is>
          <t>Questions</t>
        </is>
      </c>
      <c r="K41" s="34" t="inlineStr">
        <is>
          <t>Marks</t>
        </is>
      </c>
      <c r="L41" s="34" t="inlineStr">
        <is>
          <t>Answers</t>
        </is>
      </c>
      <c r="M41" s="29" t="inlineStr">
        <is>
          <t>Applied 2 Ch7</t>
        </is>
      </c>
      <c r="N41" s="34" t="inlineStr">
        <is>
          <t>Set 1 of 2</t>
        </is>
      </c>
      <c r="O41" s="34" t="inlineStr">
        <is>
          <t>Marks</t>
        </is>
      </c>
      <c r="P41" t="inlineStr">
        <is>
          <t>M8</t>
        </is>
      </c>
    </row>
    <row r="42" outlineLevel="1" ht="20" customHeight="1">
      <c r="A42" s="29" t="inlineStr">
        <is>
          <t>M8.4</t>
        </is>
      </c>
      <c r="B42" s="30" t="inlineStr">
        <is>
          <t>Connected particles on slopes and with friction</t>
        </is>
      </c>
      <c r="C42" s="39" t="n">
        <v>2</v>
      </c>
      <c r="D42" s="32" t="n"/>
      <c r="E42" s="33" t="n"/>
      <c r="F42" s="34" t="inlineStr">
        <is>
          <t>▶ Watch</t>
        </is>
      </c>
      <c r="G42" s="34" t="inlineStr">
        <is>
          <t>Questions</t>
        </is>
      </c>
      <c r="H42" s="34" t="inlineStr">
        <is>
          <t>Answers</t>
        </is>
      </c>
      <c r="I42" s="33" t="inlineStr">
        <is>
          <t>Connected Particles (Yr 2)</t>
        </is>
      </c>
      <c r="J42" s="34" t="inlineStr">
        <is>
          <t>Questions</t>
        </is>
      </c>
      <c r="K42" s="34" t="inlineStr">
        <is>
          <t>Marks</t>
        </is>
      </c>
      <c r="L42" s="34" t="inlineStr">
        <is>
          <t>Answers</t>
        </is>
      </c>
      <c r="M42" s="29" t="inlineStr">
        <is>
          <t>Applied 2 Ch7</t>
        </is>
      </c>
      <c r="N42" s="34" t="inlineStr">
        <is>
          <t>Set 1 of 2</t>
        </is>
      </c>
      <c r="O42" s="34" t="inlineStr">
        <is>
          <t>Marks</t>
        </is>
      </c>
      <c r="P42" t="inlineStr">
        <is>
          <t>M8</t>
        </is>
      </c>
    </row>
    <row r="43" ht="10" customHeight="1"/>
    <row r="44" ht="26" customHeight="1">
      <c r="A44" s="25" t="inlineStr">
        <is>
          <t>9</t>
        </is>
      </c>
      <c r="B44" s="26" t="inlineStr">
        <is>
          <t>Moments</t>
        </is>
      </c>
      <c r="C44" s="27" t="n"/>
      <c r="D44" s="27" t="n"/>
      <c r="E44" s="28" t="inlineStr">
        <is>
          <t>6 topics  ·  Year 2: 6</t>
        </is>
      </c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</row>
    <row r="45" outlineLevel="1" ht="20" customHeight="1">
      <c r="A45" s="29" t="inlineStr">
        <is>
          <t>M9.1</t>
        </is>
      </c>
      <c r="B45" s="30" t="inlineStr">
        <is>
          <t>Moments of a force</t>
        </is>
      </c>
      <c r="C45" s="39" t="n">
        <v>2</v>
      </c>
      <c r="D45" s="32" t="n"/>
      <c r="E45" s="33" t="n"/>
      <c r="F45" s="34" t="inlineStr">
        <is>
          <t>▶ Watch</t>
        </is>
      </c>
      <c r="G45" s="34" t="inlineStr">
        <is>
          <t>Questions</t>
        </is>
      </c>
      <c r="H45" s="34" t="inlineStr">
        <is>
          <t>Answers</t>
        </is>
      </c>
      <c r="I45" s="33" t="inlineStr">
        <is>
          <t>Moments (Yr 2)</t>
        </is>
      </c>
      <c r="J45" s="34" t="inlineStr">
        <is>
          <t>Questions</t>
        </is>
      </c>
      <c r="K45" s="34" t="inlineStr">
        <is>
          <t>Marks</t>
        </is>
      </c>
      <c r="L45" s="34" t="inlineStr">
        <is>
          <t>Answers</t>
        </is>
      </c>
      <c r="M45" s="29" t="inlineStr">
        <is>
          <t>Applied 2 Ch4</t>
        </is>
      </c>
      <c r="N45" s="34" t="inlineStr">
        <is>
          <t>Questions</t>
        </is>
      </c>
      <c r="O45" s="34" t="inlineStr">
        <is>
          <t>Marks</t>
        </is>
      </c>
      <c r="P45" t="inlineStr">
        <is>
          <t>M9</t>
        </is>
      </c>
    </row>
    <row r="46" outlineLevel="1" ht="20" customHeight="1">
      <c r="A46" s="29" t="inlineStr">
        <is>
          <t>M9.1</t>
        </is>
      </c>
      <c r="B46" s="30" t="inlineStr">
        <is>
          <t>Resultant moments</t>
        </is>
      </c>
      <c r="C46" s="39" t="n">
        <v>2</v>
      </c>
      <c r="D46" s="32" t="n"/>
      <c r="E46" s="33" t="n"/>
      <c r="F46" s="34" t="inlineStr">
        <is>
          <t>▶ Watch</t>
        </is>
      </c>
      <c r="G46" s="34" t="inlineStr">
        <is>
          <t>Questions</t>
        </is>
      </c>
      <c r="H46" s="34" t="inlineStr">
        <is>
          <t>Answers</t>
        </is>
      </c>
      <c r="I46" s="33" t="inlineStr">
        <is>
          <t>Moments (Yr 2)</t>
        </is>
      </c>
      <c r="J46" s="34" t="inlineStr">
        <is>
          <t>Questions</t>
        </is>
      </c>
      <c r="K46" s="34" t="inlineStr">
        <is>
          <t>Marks</t>
        </is>
      </c>
      <c r="L46" s="34" t="inlineStr">
        <is>
          <t>Answers</t>
        </is>
      </c>
      <c r="M46" s="29" t="inlineStr">
        <is>
          <t>Applied 2 Ch4</t>
        </is>
      </c>
      <c r="N46" s="34" t="inlineStr">
        <is>
          <t>Questions</t>
        </is>
      </c>
      <c r="O46" s="34" t="inlineStr">
        <is>
          <t>Marks</t>
        </is>
      </c>
      <c r="P46" t="inlineStr">
        <is>
          <t>M9</t>
        </is>
      </c>
    </row>
    <row r="47" outlineLevel="1" ht="20" customHeight="1">
      <c r="A47" s="29" t="inlineStr">
        <is>
          <t>M9.1</t>
        </is>
      </c>
      <c r="B47" s="30" t="inlineStr">
        <is>
          <t>Rigid bodies in equilibrium (beams and rods)</t>
        </is>
      </c>
      <c r="C47" s="39" t="n">
        <v>2</v>
      </c>
      <c r="D47" s="32" t="n"/>
      <c r="E47" s="33" t="n"/>
      <c r="F47" s="34" t="inlineStr">
        <is>
          <t>▶ Watch</t>
        </is>
      </c>
      <c r="G47" s="34" t="inlineStr">
        <is>
          <t>Questions</t>
        </is>
      </c>
      <c r="H47" s="34" t="inlineStr">
        <is>
          <t>Answers</t>
        </is>
      </c>
      <c r="I47" s="33" t="inlineStr">
        <is>
          <t>Moments (Yr 2)</t>
        </is>
      </c>
      <c r="J47" s="34" t="inlineStr">
        <is>
          <t>Questions</t>
        </is>
      </c>
      <c r="K47" s="34" t="inlineStr">
        <is>
          <t>Marks</t>
        </is>
      </c>
      <c r="L47" s="34" t="inlineStr">
        <is>
          <t>Answers</t>
        </is>
      </c>
      <c r="M47" s="29" t="inlineStr">
        <is>
          <t>Applied 2 Ch4</t>
        </is>
      </c>
      <c r="N47" s="34" t="inlineStr">
        <is>
          <t>Questions</t>
        </is>
      </c>
      <c r="O47" s="34" t="inlineStr">
        <is>
          <t>Marks</t>
        </is>
      </c>
      <c r="P47" t="inlineStr">
        <is>
          <t>M9</t>
        </is>
      </c>
    </row>
    <row r="48" outlineLevel="1" ht="20" customHeight="1">
      <c r="A48" s="29" t="inlineStr">
        <is>
          <t>M9.1</t>
        </is>
      </c>
      <c r="B48" s="30" t="inlineStr">
        <is>
          <t>Centres of mass of non-uniform rods</t>
        </is>
      </c>
      <c r="C48" s="39" t="n">
        <v>2</v>
      </c>
      <c r="D48" s="32" t="n"/>
      <c r="E48" s="33" t="n"/>
      <c r="F48" s="34" t="inlineStr">
        <is>
          <t>▶ Watch</t>
        </is>
      </c>
      <c r="G48" s="34" t="inlineStr">
        <is>
          <t>Questions</t>
        </is>
      </c>
      <c r="H48" s="34" t="inlineStr">
        <is>
          <t>Answers</t>
        </is>
      </c>
      <c r="I48" s="35" t="inlineStr">
        <is>
          <t>none for this topic</t>
        </is>
      </c>
      <c r="J48" s="36" t="n"/>
      <c r="K48" s="36" t="n"/>
      <c r="L48" s="36" t="n"/>
      <c r="M48" s="29" t="inlineStr">
        <is>
          <t>Applied 2 Ch4</t>
        </is>
      </c>
      <c r="N48" s="34" t="inlineStr">
        <is>
          <t>Questions</t>
        </is>
      </c>
      <c r="O48" s="34" t="inlineStr">
        <is>
          <t>Marks</t>
        </is>
      </c>
      <c r="P48" t="inlineStr">
        <is>
          <t>M9</t>
        </is>
      </c>
    </row>
    <row r="49" outlineLevel="1" ht="20" customHeight="1">
      <c r="A49" s="29" t="inlineStr">
        <is>
          <t>M9.1</t>
        </is>
      </c>
      <c r="B49" s="30" t="inlineStr">
        <is>
          <t>Tilting</t>
        </is>
      </c>
      <c r="C49" s="39" t="n">
        <v>2</v>
      </c>
      <c r="D49" s="32" t="n"/>
      <c r="E49" s="33" t="n"/>
      <c r="F49" s="34" t="inlineStr">
        <is>
          <t>▶ Watch</t>
        </is>
      </c>
      <c r="G49" s="34" t="inlineStr">
        <is>
          <t>Questions</t>
        </is>
      </c>
      <c r="H49" s="34" t="inlineStr">
        <is>
          <t>Answers</t>
        </is>
      </c>
      <c r="I49" s="35" t="inlineStr">
        <is>
          <t>none for this topic</t>
        </is>
      </c>
      <c r="J49" s="36" t="n"/>
      <c r="K49" s="36" t="n"/>
      <c r="L49" s="36" t="n"/>
      <c r="M49" s="29" t="inlineStr">
        <is>
          <t>Applied 2 Ch4</t>
        </is>
      </c>
      <c r="N49" s="34" t="inlineStr">
        <is>
          <t>Questions</t>
        </is>
      </c>
      <c r="O49" s="34" t="inlineStr">
        <is>
          <t>Marks</t>
        </is>
      </c>
      <c r="P49" t="inlineStr">
        <is>
          <t>M9</t>
        </is>
      </c>
    </row>
    <row r="50" outlineLevel="1" ht="20" customHeight="1">
      <c r="A50" s="29" t="inlineStr">
        <is>
          <t>M9.1</t>
        </is>
      </c>
      <c r="B50" s="30" t="inlineStr">
        <is>
          <t>Ladders and rods against walls (incl. friction)</t>
        </is>
      </c>
      <c r="C50" s="39" t="n">
        <v>2</v>
      </c>
      <c r="D50" s="32" t="n"/>
      <c r="E50" s="33" t="n"/>
      <c r="F50" s="34" t="inlineStr">
        <is>
          <t>▶ Watch</t>
        </is>
      </c>
      <c r="G50" s="34" t="inlineStr">
        <is>
          <t>Questions</t>
        </is>
      </c>
      <c r="H50" s="34" t="inlineStr">
        <is>
          <t>Answers</t>
        </is>
      </c>
      <c r="I50" s="33" t="inlineStr">
        <is>
          <t>Moments (Yr 2)</t>
        </is>
      </c>
      <c r="J50" s="34" t="inlineStr">
        <is>
          <t>Questions</t>
        </is>
      </c>
      <c r="K50" s="34" t="inlineStr">
        <is>
          <t>Marks</t>
        </is>
      </c>
      <c r="L50" s="34" t="inlineStr">
        <is>
          <t>Answers</t>
        </is>
      </c>
      <c r="M50" s="29" t="inlineStr">
        <is>
          <t>Applied 2 Ch7</t>
        </is>
      </c>
      <c r="N50" s="34" t="inlineStr">
        <is>
          <t>Set 1 of 2</t>
        </is>
      </c>
      <c r="O50" s="34" t="inlineStr">
        <is>
          <t>Marks</t>
        </is>
      </c>
      <c r="P50" t="inlineStr">
        <is>
          <t>M9</t>
        </is>
      </c>
    </row>
  </sheetData>
  <mergeCells count="4">
    <mergeCell ref="M5:O5"/>
    <mergeCell ref="A5:E5"/>
    <mergeCell ref="F5:H5"/>
    <mergeCell ref="I5:L5"/>
  </mergeCells>
  <conditionalFormatting sqref="D7:D50">
    <cfRule type="cellIs" priority="1" operator="equal" dxfId="0">
      <formula>"R"</formula>
    </cfRule>
    <cfRule type="cellIs" priority="3" operator="equal" dxfId="1">
      <formula>"A"</formula>
    </cfRule>
    <cfRule type="cellIs" priority="5" operator="equal" dxfId="2">
      <formula>"G"</formula>
    </cfRule>
  </conditionalFormatting>
  <conditionalFormatting sqref="B7:B50">
    <cfRule type="expression" priority="2" dxfId="3">
      <formula>$D7="R"</formula>
    </cfRule>
    <cfRule type="expression" priority="4" dxfId="4">
      <formula>$D7="A"</formula>
    </cfRule>
    <cfRule type="expression" priority="6" dxfId="5">
      <formula>$D7="G"</formula>
    </cfRule>
  </conditionalFormatting>
  <dataValidations count="1">
    <dataValidation sqref="D7:D50" showDropDown="0" showInputMessage="0" showErrorMessage="1" allowBlank="1" errorTitle="R, A or G" error="Please pick R, A or G from the list." promptTitle="How confident are you?" prompt="R = can't do it yet&#10;A = getting there&#10;G = confident" type="list">
      <formula1>"R,A,G"</formula1>
    </dataValidation>
  </dataValidations>
  <hyperlinks>
    <hyperlink xmlns:r="http://schemas.openxmlformats.org/officeDocument/2006/relationships" ref="F9" r:id="rId1"/>
    <hyperlink xmlns:r="http://schemas.openxmlformats.org/officeDocument/2006/relationships" ref="G9" r:id="rId2"/>
    <hyperlink xmlns:r="http://schemas.openxmlformats.org/officeDocument/2006/relationships" ref="H9" r:id="rId3"/>
    <hyperlink xmlns:r="http://schemas.openxmlformats.org/officeDocument/2006/relationships" ref="F10" r:id="rId4"/>
    <hyperlink xmlns:r="http://schemas.openxmlformats.org/officeDocument/2006/relationships" ref="G10" r:id="rId5"/>
    <hyperlink xmlns:r="http://schemas.openxmlformats.org/officeDocument/2006/relationships" ref="H10" r:id="rId6"/>
    <hyperlink xmlns:r="http://schemas.openxmlformats.org/officeDocument/2006/relationships" ref="F13" r:id="rId7"/>
    <hyperlink xmlns:r="http://schemas.openxmlformats.org/officeDocument/2006/relationships" ref="G13" r:id="rId8"/>
    <hyperlink xmlns:r="http://schemas.openxmlformats.org/officeDocument/2006/relationships" ref="H13" r:id="rId9"/>
    <hyperlink xmlns:r="http://schemas.openxmlformats.org/officeDocument/2006/relationships" ref="J13" r:id="rId10"/>
    <hyperlink xmlns:r="http://schemas.openxmlformats.org/officeDocument/2006/relationships" ref="K13" r:id="rId11"/>
    <hyperlink xmlns:r="http://schemas.openxmlformats.org/officeDocument/2006/relationships" ref="L13" r:id="rId12"/>
    <hyperlink xmlns:r="http://schemas.openxmlformats.org/officeDocument/2006/relationships" ref="N13" r:id="rId13"/>
    <hyperlink xmlns:r="http://schemas.openxmlformats.org/officeDocument/2006/relationships" ref="O13" r:id="rId14"/>
    <hyperlink xmlns:r="http://schemas.openxmlformats.org/officeDocument/2006/relationships" ref="F14" r:id="rId15"/>
    <hyperlink xmlns:r="http://schemas.openxmlformats.org/officeDocument/2006/relationships" ref="G14" r:id="rId16"/>
    <hyperlink xmlns:r="http://schemas.openxmlformats.org/officeDocument/2006/relationships" ref="H14" r:id="rId17"/>
    <hyperlink xmlns:r="http://schemas.openxmlformats.org/officeDocument/2006/relationships" ref="N14" r:id="rId18"/>
    <hyperlink xmlns:r="http://schemas.openxmlformats.org/officeDocument/2006/relationships" ref="O14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H15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L15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F16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J16" r:id="rId31"/>
    <hyperlink xmlns:r="http://schemas.openxmlformats.org/officeDocument/2006/relationships" ref="K16" r:id="rId32"/>
    <hyperlink xmlns:r="http://schemas.openxmlformats.org/officeDocument/2006/relationships" ref="L16" r:id="rId33"/>
    <hyperlink xmlns:r="http://schemas.openxmlformats.org/officeDocument/2006/relationships" ref="N16" r:id="rId34"/>
    <hyperlink xmlns:r="http://schemas.openxmlformats.org/officeDocument/2006/relationships" ref="O16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J17" r:id="rId39"/>
    <hyperlink xmlns:r="http://schemas.openxmlformats.org/officeDocument/2006/relationships" ref="K17" r:id="rId40"/>
    <hyperlink xmlns:r="http://schemas.openxmlformats.org/officeDocument/2006/relationships" ref="L17" r:id="rId41"/>
    <hyperlink xmlns:r="http://schemas.openxmlformats.org/officeDocument/2006/relationships" ref="N17" r:id="rId42"/>
    <hyperlink xmlns:r="http://schemas.openxmlformats.org/officeDocument/2006/relationships" ref="O17" r:id="rId43"/>
    <hyperlink xmlns:r="http://schemas.openxmlformats.org/officeDocument/2006/relationships" ref="F18" r:id="rId44"/>
    <hyperlink xmlns:r="http://schemas.openxmlformats.org/officeDocument/2006/relationships" ref="G18" r:id="rId45"/>
    <hyperlink xmlns:r="http://schemas.openxmlformats.org/officeDocument/2006/relationships" ref="H18" r:id="rId46"/>
    <hyperlink xmlns:r="http://schemas.openxmlformats.org/officeDocument/2006/relationships" ref="J18" r:id="rId47"/>
    <hyperlink xmlns:r="http://schemas.openxmlformats.org/officeDocument/2006/relationships" ref="K18" r:id="rId48"/>
    <hyperlink xmlns:r="http://schemas.openxmlformats.org/officeDocument/2006/relationships" ref="L18" r:id="rId49"/>
    <hyperlink xmlns:r="http://schemas.openxmlformats.org/officeDocument/2006/relationships" ref="N18" r:id="rId50"/>
    <hyperlink xmlns:r="http://schemas.openxmlformats.org/officeDocument/2006/relationships" ref="O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J19" r:id="rId55"/>
    <hyperlink xmlns:r="http://schemas.openxmlformats.org/officeDocument/2006/relationships" ref="K19" r:id="rId56"/>
    <hyperlink xmlns:r="http://schemas.openxmlformats.org/officeDocument/2006/relationships" ref="L19" r:id="rId57"/>
    <hyperlink xmlns:r="http://schemas.openxmlformats.org/officeDocument/2006/relationships" ref="N19" r:id="rId58"/>
    <hyperlink xmlns:r="http://schemas.openxmlformats.org/officeDocument/2006/relationships" ref="O19" r:id="rId59"/>
    <hyperlink xmlns:r="http://schemas.openxmlformats.org/officeDocument/2006/relationships" ref="F20" r:id="rId60"/>
    <hyperlink xmlns:r="http://schemas.openxmlformats.org/officeDocument/2006/relationships" ref="G20" r:id="rId61"/>
    <hyperlink xmlns:r="http://schemas.openxmlformats.org/officeDocument/2006/relationships" ref="H20" r:id="rId62"/>
    <hyperlink xmlns:r="http://schemas.openxmlformats.org/officeDocument/2006/relationships" ref="J20" r:id="rId63"/>
    <hyperlink xmlns:r="http://schemas.openxmlformats.org/officeDocument/2006/relationships" ref="K20" r:id="rId64"/>
    <hyperlink xmlns:r="http://schemas.openxmlformats.org/officeDocument/2006/relationships" ref="L20" r:id="rId65"/>
    <hyperlink xmlns:r="http://schemas.openxmlformats.org/officeDocument/2006/relationships" ref="N20" r:id="rId66"/>
    <hyperlink xmlns:r="http://schemas.openxmlformats.org/officeDocument/2006/relationships" ref="O20" r:id="rId67"/>
    <hyperlink xmlns:r="http://schemas.openxmlformats.org/officeDocument/2006/relationships" ref="F21" r:id="rId68"/>
    <hyperlink xmlns:r="http://schemas.openxmlformats.org/officeDocument/2006/relationships" ref="G21" r:id="rId69"/>
    <hyperlink xmlns:r="http://schemas.openxmlformats.org/officeDocument/2006/relationships" ref="H21" r:id="rId70"/>
    <hyperlink xmlns:r="http://schemas.openxmlformats.org/officeDocument/2006/relationships" ref="J21" r:id="rId71"/>
    <hyperlink xmlns:r="http://schemas.openxmlformats.org/officeDocument/2006/relationships" ref="K21" r:id="rId72"/>
    <hyperlink xmlns:r="http://schemas.openxmlformats.org/officeDocument/2006/relationships" ref="L21" r:id="rId73"/>
    <hyperlink xmlns:r="http://schemas.openxmlformats.org/officeDocument/2006/relationships" ref="N21" r:id="rId74"/>
    <hyperlink xmlns:r="http://schemas.openxmlformats.org/officeDocument/2006/relationships" ref="O21" r:id="rId75"/>
    <hyperlink xmlns:r="http://schemas.openxmlformats.org/officeDocument/2006/relationships" ref="F22" r:id="rId76"/>
    <hyperlink xmlns:r="http://schemas.openxmlformats.org/officeDocument/2006/relationships" ref="G22" r:id="rId77"/>
    <hyperlink xmlns:r="http://schemas.openxmlformats.org/officeDocument/2006/relationships" ref="H22" r:id="rId78"/>
    <hyperlink xmlns:r="http://schemas.openxmlformats.org/officeDocument/2006/relationships" ref="N22" r:id="rId79"/>
    <hyperlink xmlns:r="http://schemas.openxmlformats.org/officeDocument/2006/relationships" ref="O22" r:id="rId80"/>
    <hyperlink xmlns:r="http://schemas.openxmlformats.org/officeDocument/2006/relationships" ref="F23" r:id="rId81"/>
    <hyperlink xmlns:r="http://schemas.openxmlformats.org/officeDocument/2006/relationships" ref="G23" r:id="rId82"/>
    <hyperlink xmlns:r="http://schemas.openxmlformats.org/officeDocument/2006/relationships" ref="H23" r:id="rId83"/>
    <hyperlink xmlns:r="http://schemas.openxmlformats.org/officeDocument/2006/relationships" ref="J23" r:id="rId84"/>
    <hyperlink xmlns:r="http://schemas.openxmlformats.org/officeDocument/2006/relationships" ref="K23" r:id="rId85"/>
    <hyperlink xmlns:r="http://schemas.openxmlformats.org/officeDocument/2006/relationships" ref="L23" r:id="rId86"/>
    <hyperlink xmlns:r="http://schemas.openxmlformats.org/officeDocument/2006/relationships" ref="N23" r:id="rId87"/>
    <hyperlink xmlns:r="http://schemas.openxmlformats.org/officeDocument/2006/relationships" ref="O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H24" r:id="rId91"/>
    <hyperlink xmlns:r="http://schemas.openxmlformats.org/officeDocument/2006/relationships" ref="J24" r:id="rId92"/>
    <hyperlink xmlns:r="http://schemas.openxmlformats.org/officeDocument/2006/relationships" ref="K24" r:id="rId93"/>
    <hyperlink xmlns:r="http://schemas.openxmlformats.org/officeDocument/2006/relationships" ref="L24" r:id="rId94"/>
    <hyperlink xmlns:r="http://schemas.openxmlformats.org/officeDocument/2006/relationships" ref="N24" r:id="rId95"/>
    <hyperlink xmlns:r="http://schemas.openxmlformats.org/officeDocument/2006/relationships" ref="O24" r:id="rId96"/>
    <hyperlink xmlns:r="http://schemas.openxmlformats.org/officeDocument/2006/relationships" ref="F25" r:id="rId97"/>
    <hyperlink xmlns:r="http://schemas.openxmlformats.org/officeDocument/2006/relationships" ref="G25" r:id="rId98"/>
    <hyperlink xmlns:r="http://schemas.openxmlformats.org/officeDocument/2006/relationships" ref="H25" r:id="rId99"/>
    <hyperlink xmlns:r="http://schemas.openxmlformats.org/officeDocument/2006/relationships" ref="N25" r:id="rId100"/>
    <hyperlink xmlns:r="http://schemas.openxmlformats.org/officeDocument/2006/relationships" ref="O25" r:id="rId101"/>
    <hyperlink xmlns:r="http://schemas.openxmlformats.org/officeDocument/2006/relationships" ref="F26" r:id="rId102"/>
    <hyperlink xmlns:r="http://schemas.openxmlformats.org/officeDocument/2006/relationships" ref="G26" r:id="rId103"/>
    <hyperlink xmlns:r="http://schemas.openxmlformats.org/officeDocument/2006/relationships" ref="H26" r:id="rId104"/>
    <hyperlink xmlns:r="http://schemas.openxmlformats.org/officeDocument/2006/relationships" ref="J26" r:id="rId105"/>
    <hyperlink xmlns:r="http://schemas.openxmlformats.org/officeDocument/2006/relationships" ref="K26" r:id="rId106"/>
    <hyperlink xmlns:r="http://schemas.openxmlformats.org/officeDocument/2006/relationships" ref="L26" r:id="rId107"/>
    <hyperlink xmlns:r="http://schemas.openxmlformats.org/officeDocument/2006/relationships" ref="N26" r:id="rId108"/>
    <hyperlink xmlns:r="http://schemas.openxmlformats.org/officeDocument/2006/relationships" ref="O26" r:id="rId109"/>
    <hyperlink xmlns:r="http://schemas.openxmlformats.org/officeDocument/2006/relationships" ref="F27" r:id="rId110"/>
    <hyperlink xmlns:r="http://schemas.openxmlformats.org/officeDocument/2006/relationships" ref="G27" r:id="rId111"/>
    <hyperlink xmlns:r="http://schemas.openxmlformats.org/officeDocument/2006/relationships" ref="H27" r:id="rId112"/>
    <hyperlink xmlns:r="http://schemas.openxmlformats.org/officeDocument/2006/relationships" ref="J27" r:id="rId113"/>
    <hyperlink xmlns:r="http://schemas.openxmlformats.org/officeDocument/2006/relationships" ref="K27" r:id="rId114"/>
    <hyperlink xmlns:r="http://schemas.openxmlformats.org/officeDocument/2006/relationships" ref="L27" r:id="rId115"/>
    <hyperlink xmlns:r="http://schemas.openxmlformats.org/officeDocument/2006/relationships" ref="N27" r:id="rId116"/>
    <hyperlink xmlns:r="http://schemas.openxmlformats.org/officeDocument/2006/relationships" ref="O27" r:id="rId117"/>
    <hyperlink xmlns:r="http://schemas.openxmlformats.org/officeDocument/2006/relationships" ref="F30" r:id="rId118"/>
    <hyperlink xmlns:r="http://schemas.openxmlformats.org/officeDocument/2006/relationships" ref="G30" r:id="rId119"/>
    <hyperlink xmlns:r="http://schemas.openxmlformats.org/officeDocument/2006/relationships" ref="H30" r:id="rId120"/>
    <hyperlink xmlns:r="http://schemas.openxmlformats.org/officeDocument/2006/relationships" ref="J30" r:id="rId121"/>
    <hyperlink xmlns:r="http://schemas.openxmlformats.org/officeDocument/2006/relationships" ref="K30" r:id="rId122"/>
    <hyperlink xmlns:r="http://schemas.openxmlformats.org/officeDocument/2006/relationships" ref="L30" r:id="rId123"/>
    <hyperlink xmlns:r="http://schemas.openxmlformats.org/officeDocument/2006/relationships" ref="N30" r:id="rId124"/>
    <hyperlink xmlns:r="http://schemas.openxmlformats.org/officeDocument/2006/relationships" ref="O30" r:id="rId125"/>
    <hyperlink xmlns:r="http://schemas.openxmlformats.org/officeDocument/2006/relationships" ref="F31" r:id="rId126"/>
    <hyperlink xmlns:r="http://schemas.openxmlformats.org/officeDocument/2006/relationships" ref="G31" r:id="rId127"/>
    <hyperlink xmlns:r="http://schemas.openxmlformats.org/officeDocument/2006/relationships" ref="H31" r:id="rId128"/>
    <hyperlink xmlns:r="http://schemas.openxmlformats.org/officeDocument/2006/relationships" ref="J31" r:id="rId129"/>
    <hyperlink xmlns:r="http://schemas.openxmlformats.org/officeDocument/2006/relationships" ref="K31" r:id="rId130"/>
    <hyperlink xmlns:r="http://schemas.openxmlformats.org/officeDocument/2006/relationships" ref="L31" r:id="rId131"/>
    <hyperlink xmlns:r="http://schemas.openxmlformats.org/officeDocument/2006/relationships" ref="N31" r:id="rId132"/>
    <hyperlink xmlns:r="http://schemas.openxmlformats.org/officeDocument/2006/relationships" ref="O31" r:id="rId133"/>
    <hyperlink xmlns:r="http://schemas.openxmlformats.org/officeDocument/2006/relationships" ref="F32" r:id="rId134"/>
    <hyperlink xmlns:r="http://schemas.openxmlformats.org/officeDocument/2006/relationships" ref="G32" r:id="rId135"/>
    <hyperlink xmlns:r="http://schemas.openxmlformats.org/officeDocument/2006/relationships" ref="H32" r:id="rId136"/>
    <hyperlink xmlns:r="http://schemas.openxmlformats.org/officeDocument/2006/relationships" ref="J32" r:id="rId137"/>
    <hyperlink xmlns:r="http://schemas.openxmlformats.org/officeDocument/2006/relationships" ref="K32" r:id="rId138"/>
    <hyperlink xmlns:r="http://schemas.openxmlformats.org/officeDocument/2006/relationships" ref="L32" r:id="rId139"/>
    <hyperlink xmlns:r="http://schemas.openxmlformats.org/officeDocument/2006/relationships" ref="N32" r:id="rId140"/>
    <hyperlink xmlns:r="http://schemas.openxmlformats.org/officeDocument/2006/relationships" ref="O32" r:id="rId141"/>
    <hyperlink xmlns:r="http://schemas.openxmlformats.org/officeDocument/2006/relationships" ref="F33" r:id="rId142"/>
    <hyperlink xmlns:r="http://schemas.openxmlformats.org/officeDocument/2006/relationships" ref="G33" r:id="rId143"/>
    <hyperlink xmlns:r="http://schemas.openxmlformats.org/officeDocument/2006/relationships" ref="H33" r:id="rId144"/>
    <hyperlink xmlns:r="http://schemas.openxmlformats.org/officeDocument/2006/relationships" ref="J33" r:id="rId145"/>
    <hyperlink xmlns:r="http://schemas.openxmlformats.org/officeDocument/2006/relationships" ref="K33" r:id="rId146"/>
    <hyperlink xmlns:r="http://schemas.openxmlformats.org/officeDocument/2006/relationships" ref="L33" r:id="rId147"/>
    <hyperlink xmlns:r="http://schemas.openxmlformats.org/officeDocument/2006/relationships" ref="N33" r:id="rId148"/>
    <hyperlink xmlns:r="http://schemas.openxmlformats.org/officeDocument/2006/relationships" ref="O33" r:id="rId149"/>
    <hyperlink xmlns:r="http://schemas.openxmlformats.org/officeDocument/2006/relationships" ref="F34" r:id="rId150"/>
    <hyperlink xmlns:r="http://schemas.openxmlformats.org/officeDocument/2006/relationships" ref="G34" r:id="rId151"/>
    <hyperlink xmlns:r="http://schemas.openxmlformats.org/officeDocument/2006/relationships" ref="H34" r:id="rId152"/>
    <hyperlink xmlns:r="http://schemas.openxmlformats.org/officeDocument/2006/relationships" ref="J34" r:id="rId153"/>
    <hyperlink xmlns:r="http://schemas.openxmlformats.org/officeDocument/2006/relationships" ref="K34" r:id="rId154"/>
    <hyperlink xmlns:r="http://schemas.openxmlformats.org/officeDocument/2006/relationships" ref="L34" r:id="rId155"/>
    <hyperlink xmlns:r="http://schemas.openxmlformats.org/officeDocument/2006/relationships" ref="N34" r:id="rId156"/>
    <hyperlink xmlns:r="http://schemas.openxmlformats.org/officeDocument/2006/relationships" ref="O34" r:id="rId157"/>
    <hyperlink xmlns:r="http://schemas.openxmlformats.org/officeDocument/2006/relationships" ref="F35" r:id="rId158"/>
    <hyperlink xmlns:r="http://schemas.openxmlformats.org/officeDocument/2006/relationships" ref="G35" r:id="rId159"/>
    <hyperlink xmlns:r="http://schemas.openxmlformats.org/officeDocument/2006/relationships" ref="H35" r:id="rId160"/>
    <hyperlink xmlns:r="http://schemas.openxmlformats.org/officeDocument/2006/relationships" ref="J35" r:id="rId161"/>
    <hyperlink xmlns:r="http://schemas.openxmlformats.org/officeDocument/2006/relationships" ref="K35" r:id="rId162"/>
    <hyperlink xmlns:r="http://schemas.openxmlformats.org/officeDocument/2006/relationships" ref="L35" r:id="rId163"/>
    <hyperlink xmlns:r="http://schemas.openxmlformats.org/officeDocument/2006/relationships" ref="N35" r:id="rId164"/>
    <hyperlink xmlns:r="http://schemas.openxmlformats.org/officeDocument/2006/relationships" ref="O35" r:id="rId165"/>
    <hyperlink xmlns:r="http://schemas.openxmlformats.org/officeDocument/2006/relationships" ref="F36" r:id="rId166"/>
    <hyperlink xmlns:r="http://schemas.openxmlformats.org/officeDocument/2006/relationships" ref="G36" r:id="rId167"/>
    <hyperlink xmlns:r="http://schemas.openxmlformats.org/officeDocument/2006/relationships" ref="H36" r:id="rId168"/>
    <hyperlink xmlns:r="http://schemas.openxmlformats.org/officeDocument/2006/relationships" ref="J36" r:id="rId169"/>
    <hyperlink xmlns:r="http://schemas.openxmlformats.org/officeDocument/2006/relationships" ref="K36" r:id="rId170"/>
    <hyperlink xmlns:r="http://schemas.openxmlformats.org/officeDocument/2006/relationships" ref="L36" r:id="rId171"/>
    <hyperlink xmlns:r="http://schemas.openxmlformats.org/officeDocument/2006/relationships" ref="N36" r:id="rId172"/>
    <hyperlink xmlns:r="http://schemas.openxmlformats.org/officeDocument/2006/relationships" ref="O36" r:id="rId173"/>
    <hyperlink xmlns:r="http://schemas.openxmlformats.org/officeDocument/2006/relationships" ref="F37" r:id="rId174"/>
    <hyperlink xmlns:r="http://schemas.openxmlformats.org/officeDocument/2006/relationships" ref="G37" r:id="rId175"/>
    <hyperlink xmlns:r="http://schemas.openxmlformats.org/officeDocument/2006/relationships" ref="H37" r:id="rId176"/>
    <hyperlink xmlns:r="http://schemas.openxmlformats.org/officeDocument/2006/relationships" ref="J37" r:id="rId177"/>
    <hyperlink xmlns:r="http://schemas.openxmlformats.org/officeDocument/2006/relationships" ref="K37" r:id="rId178"/>
    <hyperlink xmlns:r="http://schemas.openxmlformats.org/officeDocument/2006/relationships" ref="L37" r:id="rId179"/>
    <hyperlink xmlns:r="http://schemas.openxmlformats.org/officeDocument/2006/relationships" ref="N37" r:id="rId180"/>
    <hyperlink xmlns:r="http://schemas.openxmlformats.org/officeDocument/2006/relationships" ref="O37" r:id="rId181"/>
    <hyperlink xmlns:r="http://schemas.openxmlformats.org/officeDocument/2006/relationships" ref="F38" r:id="rId182"/>
    <hyperlink xmlns:r="http://schemas.openxmlformats.org/officeDocument/2006/relationships" ref="G38" r:id="rId183"/>
    <hyperlink xmlns:r="http://schemas.openxmlformats.org/officeDocument/2006/relationships" ref="H38" r:id="rId184"/>
    <hyperlink xmlns:r="http://schemas.openxmlformats.org/officeDocument/2006/relationships" ref="J38" r:id="rId185"/>
    <hyperlink xmlns:r="http://schemas.openxmlformats.org/officeDocument/2006/relationships" ref="K38" r:id="rId186"/>
    <hyperlink xmlns:r="http://schemas.openxmlformats.org/officeDocument/2006/relationships" ref="L38" r:id="rId187"/>
    <hyperlink xmlns:r="http://schemas.openxmlformats.org/officeDocument/2006/relationships" ref="N38" r:id="rId188"/>
    <hyperlink xmlns:r="http://schemas.openxmlformats.org/officeDocument/2006/relationships" ref="O38" r:id="rId189"/>
    <hyperlink xmlns:r="http://schemas.openxmlformats.org/officeDocument/2006/relationships" ref="F39" r:id="rId190"/>
    <hyperlink xmlns:r="http://schemas.openxmlformats.org/officeDocument/2006/relationships" ref="G39" r:id="rId191"/>
    <hyperlink xmlns:r="http://schemas.openxmlformats.org/officeDocument/2006/relationships" ref="H39" r:id="rId192"/>
    <hyperlink xmlns:r="http://schemas.openxmlformats.org/officeDocument/2006/relationships" ref="J39" r:id="rId193"/>
    <hyperlink xmlns:r="http://schemas.openxmlformats.org/officeDocument/2006/relationships" ref="K39" r:id="rId194"/>
    <hyperlink xmlns:r="http://schemas.openxmlformats.org/officeDocument/2006/relationships" ref="L39" r:id="rId195"/>
    <hyperlink xmlns:r="http://schemas.openxmlformats.org/officeDocument/2006/relationships" ref="N39" r:id="rId196"/>
    <hyperlink xmlns:r="http://schemas.openxmlformats.org/officeDocument/2006/relationships" ref="O39" r:id="rId197"/>
    <hyperlink xmlns:r="http://schemas.openxmlformats.org/officeDocument/2006/relationships" ref="F40" r:id="rId198"/>
    <hyperlink xmlns:r="http://schemas.openxmlformats.org/officeDocument/2006/relationships" ref="G40" r:id="rId199"/>
    <hyperlink xmlns:r="http://schemas.openxmlformats.org/officeDocument/2006/relationships" ref="H40" r:id="rId200"/>
    <hyperlink xmlns:r="http://schemas.openxmlformats.org/officeDocument/2006/relationships" ref="J40" r:id="rId201"/>
    <hyperlink xmlns:r="http://schemas.openxmlformats.org/officeDocument/2006/relationships" ref="K40" r:id="rId202"/>
    <hyperlink xmlns:r="http://schemas.openxmlformats.org/officeDocument/2006/relationships" ref="L40" r:id="rId203"/>
    <hyperlink xmlns:r="http://schemas.openxmlformats.org/officeDocument/2006/relationships" ref="N40" r:id="rId204"/>
    <hyperlink xmlns:r="http://schemas.openxmlformats.org/officeDocument/2006/relationships" ref="O40" r:id="rId205"/>
    <hyperlink xmlns:r="http://schemas.openxmlformats.org/officeDocument/2006/relationships" ref="F41" r:id="rId206"/>
    <hyperlink xmlns:r="http://schemas.openxmlformats.org/officeDocument/2006/relationships" ref="G41" r:id="rId207"/>
    <hyperlink xmlns:r="http://schemas.openxmlformats.org/officeDocument/2006/relationships" ref="H41" r:id="rId208"/>
    <hyperlink xmlns:r="http://schemas.openxmlformats.org/officeDocument/2006/relationships" ref="J41" r:id="rId209"/>
    <hyperlink xmlns:r="http://schemas.openxmlformats.org/officeDocument/2006/relationships" ref="K41" r:id="rId210"/>
    <hyperlink xmlns:r="http://schemas.openxmlformats.org/officeDocument/2006/relationships" ref="L41" r:id="rId211"/>
    <hyperlink xmlns:r="http://schemas.openxmlformats.org/officeDocument/2006/relationships" ref="N41" r:id="rId212"/>
    <hyperlink xmlns:r="http://schemas.openxmlformats.org/officeDocument/2006/relationships" ref="O41" r:id="rId213"/>
    <hyperlink xmlns:r="http://schemas.openxmlformats.org/officeDocument/2006/relationships" ref="F42" r:id="rId214"/>
    <hyperlink xmlns:r="http://schemas.openxmlformats.org/officeDocument/2006/relationships" ref="G42" r:id="rId215"/>
    <hyperlink xmlns:r="http://schemas.openxmlformats.org/officeDocument/2006/relationships" ref="H42" r:id="rId216"/>
    <hyperlink xmlns:r="http://schemas.openxmlformats.org/officeDocument/2006/relationships" ref="J42" r:id="rId217"/>
    <hyperlink xmlns:r="http://schemas.openxmlformats.org/officeDocument/2006/relationships" ref="K42" r:id="rId218"/>
    <hyperlink xmlns:r="http://schemas.openxmlformats.org/officeDocument/2006/relationships" ref="L42" r:id="rId219"/>
    <hyperlink xmlns:r="http://schemas.openxmlformats.org/officeDocument/2006/relationships" ref="N42" r:id="rId220"/>
    <hyperlink xmlns:r="http://schemas.openxmlformats.org/officeDocument/2006/relationships" ref="O42" r:id="rId221"/>
    <hyperlink xmlns:r="http://schemas.openxmlformats.org/officeDocument/2006/relationships" ref="F45" r:id="rId222"/>
    <hyperlink xmlns:r="http://schemas.openxmlformats.org/officeDocument/2006/relationships" ref="G45" r:id="rId223"/>
    <hyperlink xmlns:r="http://schemas.openxmlformats.org/officeDocument/2006/relationships" ref="H45" r:id="rId224"/>
    <hyperlink xmlns:r="http://schemas.openxmlformats.org/officeDocument/2006/relationships" ref="J45" r:id="rId225"/>
    <hyperlink xmlns:r="http://schemas.openxmlformats.org/officeDocument/2006/relationships" ref="K45" r:id="rId226"/>
    <hyperlink xmlns:r="http://schemas.openxmlformats.org/officeDocument/2006/relationships" ref="L45" r:id="rId227"/>
    <hyperlink xmlns:r="http://schemas.openxmlformats.org/officeDocument/2006/relationships" ref="N45" r:id="rId228"/>
    <hyperlink xmlns:r="http://schemas.openxmlformats.org/officeDocument/2006/relationships" ref="O45" r:id="rId229"/>
    <hyperlink xmlns:r="http://schemas.openxmlformats.org/officeDocument/2006/relationships" ref="F46" r:id="rId230"/>
    <hyperlink xmlns:r="http://schemas.openxmlformats.org/officeDocument/2006/relationships" ref="G46" r:id="rId231"/>
    <hyperlink xmlns:r="http://schemas.openxmlformats.org/officeDocument/2006/relationships" ref="H46" r:id="rId232"/>
    <hyperlink xmlns:r="http://schemas.openxmlformats.org/officeDocument/2006/relationships" ref="J46" r:id="rId233"/>
    <hyperlink xmlns:r="http://schemas.openxmlformats.org/officeDocument/2006/relationships" ref="K46" r:id="rId234"/>
    <hyperlink xmlns:r="http://schemas.openxmlformats.org/officeDocument/2006/relationships" ref="L46" r:id="rId235"/>
    <hyperlink xmlns:r="http://schemas.openxmlformats.org/officeDocument/2006/relationships" ref="N46" r:id="rId236"/>
    <hyperlink xmlns:r="http://schemas.openxmlformats.org/officeDocument/2006/relationships" ref="O46" r:id="rId237"/>
    <hyperlink xmlns:r="http://schemas.openxmlformats.org/officeDocument/2006/relationships" ref="F47" r:id="rId238"/>
    <hyperlink xmlns:r="http://schemas.openxmlformats.org/officeDocument/2006/relationships" ref="G47" r:id="rId239"/>
    <hyperlink xmlns:r="http://schemas.openxmlformats.org/officeDocument/2006/relationships" ref="H47" r:id="rId240"/>
    <hyperlink xmlns:r="http://schemas.openxmlformats.org/officeDocument/2006/relationships" ref="J47" r:id="rId241"/>
    <hyperlink xmlns:r="http://schemas.openxmlformats.org/officeDocument/2006/relationships" ref="K47" r:id="rId242"/>
    <hyperlink xmlns:r="http://schemas.openxmlformats.org/officeDocument/2006/relationships" ref="L47" r:id="rId243"/>
    <hyperlink xmlns:r="http://schemas.openxmlformats.org/officeDocument/2006/relationships" ref="N47" r:id="rId244"/>
    <hyperlink xmlns:r="http://schemas.openxmlformats.org/officeDocument/2006/relationships" ref="O47" r:id="rId245"/>
    <hyperlink xmlns:r="http://schemas.openxmlformats.org/officeDocument/2006/relationships" ref="F48" r:id="rId246"/>
    <hyperlink xmlns:r="http://schemas.openxmlformats.org/officeDocument/2006/relationships" ref="G48" r:id="rId247"/>
    <hyperlink xmlns:r="http://schemas.openxmlformats.org/officeDocument/2006/relationships" ref="H48" r:id="rId248"/>
    <hyperlink xmlns:r="http://schemas.openxmlformats.org/officeDocument/2006/relationships" ref="N48" r:id="rId249"/>
    <hyperlink xmlns:r="http://schemas.openxmlformats.org/officeDocument/2006/relationships" ref="O48" r:id="rId250"/>
    <hyperlink xmlns:r="http://schemas.openxmlformats.org/officeDocument/2006/relationships" ref="F49" r:id="rId251"/>
    <hyperlink xmlns:r="http://schemas.openxmlformats.org/officeDocument/2006/relationships" ref="G49" r:id="rId252"/>
    <hyperlink xmlns:r="http://schemas.openxmlformats.org/officeDocument/2006/relationships" ref="H49" r:id="rId253"/>
    <hyperlink xmlns:r="http://schemas.openxmlformats.org/officeDocument/2006/relationships" ref="N49" r:id="rId254"/>
    <hyperlink xmlns:r="http://schemas.openxmlformats.org/officeDocument/2006/relationships" ref="O49" r:id="rId255"/>
    <hyperlink xmlns:r="http://schemas.openxmlformats.org/officeDocument/2006/relationships" ref="F50" r:id="rId256"/>
    <hyperlink xmlns:r="http://schemas.openxmlformats.org/officeDocument/2006/relationships" ref="G50" r:id="rId257"/>
    <hyperlink xmlns:r="http://schemas.openxmlformats.org/officeDocument/2006/relationships" ref="H50" r:id="rId258"/>
    <hyperlink xmlns:r="http://schemas.openxmlformats.org/officeDocument/2006/relationships" ref="J50" r:id="rId259"/>
    <hyperlink xmlns:r="http://schemas.openxmlformats.org/officeDocument/2006/relationships" ref="K50" r:id="rId260"/>
    <hyperlink xmlns:r="http://schemas.openxmlformats.org/officeDocument/2006/relationships" ref="L50" r:id="rId261"/>
    <hyperlink xmlns:r="http://schemas.openxmlformats.org/officeDocument/2006/relationships" ref="N50" r:id="rId262"/>
    <hyperlink xmlns:r="http://schemas.openxmlformats.org/officeDocument/2006/relationships" ref="O50" r:id="rId26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1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50" customWidth="1" min="3" max="3"/>
    <col width="11" customWidth="1" min="4" max="4"/>
    <col width="11" customWidth="1" min="5" max="5"/>
    <col width="11" customWidth="1" min="6" max="6"/>
    <col width="32" customWidth="1" min="7" max="7"/>
  </cols>
  <sheetData>
    <row r="1" ht="34" customHeight="1">
      <c r="A1" s="40" t="inlineStr">
        <is>
          <t>Chapter tests</t>
        </is>
      </c>
    </row>
    <row r="2">
      <c r="A2" s="18" t="inlineStr">
        <is>
          <t>Real Edexcel exam questions for each textbook chapter, plus the textbook review exercises. Try one once every topic in it is Amber or Green.</t>
        </is>
      </c>
    </row>
    <row r="4" ht="22" customHeight="1">
      <c r="A4" s="41" t="inlineStr">
        <is>
          <t>Book</t>
        </is>
      </c>
      <c r="B4" s="41" t="inlineStr">
        <is>
          <t>Chapters</t>
        </is>
      </c>
      <c r="C4" s="41" t="inlineStr">
        <is>
          <t>Test</t>
        </is>
      </c>
      <c r="D4" s="42" t="inlineStr">
        <is>
          <t>Questions</t>
        </is>
      </c>
      <c r="E4" s="42" t="inlineStr">
        <is>
          <t>Mark scheme</t>
        </is>
      </c>
      <c r="F4" s="42" t="inlineStr">
        <is>
          <t>Done?</t>
        </is>
      </c>
      <c r="G4" s="41" t="inlineStr">
        <is>
          <t>Score / notes</t>
        </is>
      </c>
    </row>
    <row r="5" ht="10" customHeight="1"/>
    <row r="6" ht="26" customHeight="1">
      <c r="A6" s="43" t="inlineStr">
        <is>
          <t>Mechanics</t>
        </is>
      </c>
      <c r="B6" s="44" t="n"/>
      <c r="C6" s="45" t="inlineStr">
        <is>
          <t>Paper 3, Section B</t>
        </is>
      </c>
      <c r="D6" s="44" t="n"/>
      <c r="E6" s="44" t="n"/>
      <c r="F6" s="44" t="n"/>
      <c r="G6" s="44" t="n"/>
    </row>
    <row r="7" ht="30" customHeight="1">
      <c r="A7" s="46" t="inlineStr">
        <is>
          <t>Applied 1</t>
        </is>
      </c>
      <c r="B7" s="33" t="inlineStr">
        <is>
          <t>Ch9 Constant Acceleration</t>
        </is>
      </c>
      <c r="C7" s="33" t="inlineStr">
        <is>
          <t>Ch9 Constant Acceleration Exam Questions 1</t>
        </is>
      </c>
      <c r="D7" s="34" t="inlineStr">
        <is>
          <t>Questions</t>
        </is>
      </c>
      <c r="E7" s="34" t="inlineStr">
        <is>
          <t>Marks</t>
        </is>
      </c>
      <c r="F7" s="47" t="n"/>
      <c r="G7" s="36" t="n"/>
    </row>
    <row r="8" ht="30" customHeight="1">
      <c r="A8" s="46" t="inlineStr">
        <is>
          <t>Applied 1</t>
        </is>
      </c>
      <c r="B8" s="33" t="inlineStr">
        <is>
          <t>Ch9 Constant Acceleration</t>
        </is>
      </c>
      <c r="C8" s="33" t="inlineStr">
        <is>
          <t>Ch9 Constant Acceleration Exam Questions 2</t>
        </is>
      </c>
      <c r="D8" s="34" t="inlineStr">
        <is>
          <t>Questions</t>
        </is>
      </c>
      <c r="E8" s="34" t="inlineStr">
        <is>
          <t>Marks</t>
        </is>
      </c>
      <c r="F8" s="47" t="n"/>
      <c r="G8" s="36" t="n"/>
    </row>
    <row r="9" ht="30" customHeight="1">
      <c r="A9" s="46" t="inlineStr">
        <is>
          <t>Applied 1</t>
        </is>
      </c>
      <c r="B9" s="33" t="inlineStr">
        <is>
          <t>Ch10 Forces and Motion</t>
        </is>
      </c>
      <c r="C9" s="33" t="inlineStr">
        <is>
          <t>Ch10 Forces and Motion Exam Questions Excluding Question 1 and 7</t>
        </is>
      </c>
      <c r="D9" s="34" t="inlineStr">
        <is>
          <t>Questions</t>
        </is>
      </c>
      <c r="E9" s="34" t="inlineStr">
        <is>
          <t>Marks</t>
        </is>
      </c>
      <c r="F9" s="47" t="n"/>
      <c r="G9" s="36" t="n"/>
    </row>
    <row r="10" ht="30" customHeight="1">
      <c r="A10" s="46" t="inlineStr">
        <is>
          <t>Applied 1</t>
        </is>
      </c>
      <c r="B10" s="33" t="inlineStr">
        <is>
          <t>Ch11 Variable Acceleration</t>
        </is>
      </c>
      <c r="C10" s="33" t="inlineStr">
        <is>
          <t>Ch11 Variable Acceleration Exam Questions</t>
        </is>
      </c>
      <c r="D10" s="34" t="inlineStr">
        <is>
          <t>Questions</t>
        </is>
      </c>
      <c r="E10" s="34" t="inlineStr">
        <is>
          <t>Marks</t>
        </is>
      </c>
      <c r="F10" s="47" t="n"/>
      <c r="G10" s="36" t="n"/>
    </row>
    <row r="11" ht="30" customHeight="1">
      <c r="A11" s="46" t="inlineStr">
        <is>
          <t>Applied 1</t>
        </is>
      </c>
      <c r="B11" s="48" t="inlineStr">
        <is>
          <t>Ch8-Ch11 review (textbook)</t>
        </is>
      </c>
      <c r="C11" s="48" t="inlineStr">
        <is>
          <t>Textbook review exercise 2 - pg. 197-200</t>
        </is>
      </c>
      <c r="D11" s="37" t="inlineStr">
        <is>
          <t>in the book</t>
        </is>
      </c>
      <c r="E11" s="38" t="n"/>
      <c r="F11" s="47" t="n"/>
      <c r="G11" s="36" t="n"/>
    </row>
    <row r="12" ht="30" customHeight="1">
      <c r="A12" s="46" t="inlineStr">
        <is>
          <t>Applied 2</t>
        </is>
      </c>
      <c r="B12" s="33" t="inlineStr">
        <is>
          <t>Ch4 Moments</t>
        </is>
      </c>
      <c r="C12" s="33" t="inlineStr">
        <is>
          <t>Ch4 Moments Exam Questions</t>
        </is>
      </c>
      <c r="D12" s="34" t="inlineStr">
        <is>
          <t>Questions</t>
        </is>
      </c>
      <c r="E12" s="34" t="inlineStr">
        <is>
          <t>Marks</t>
        </is>
      </c>
      <c r="F12" s="47" t="n"/>
      <c r="G12" s="36" t="n"/>
    </row>
    <row r="13" ht="30" customHeight="1">
      <c r="A13" s="46" t="inlineStr">
        <is>
          <t>Applied 2</t>
        </is>
      </c>
      <c r="B13" s="33" t="inlineStr">
        <is>
          <t>Ch6 Projectiles</t>
        </is>
      </c>
      <c r="C13" s="33" t="inlineStr">
        <is>
          <t>Ch6 Projectiles Exam Questions</t>
        </is>
      </c>
      <c r="D13" s="34" t="inlineStr">
        <is>
          <t>Questions</t>
        </is>
      </c>
      <c r="E13" s="34" t="inlineStr">
        <is>
          <t>Marks</t>
        </is>
      </c>
      <c r="F13" s="47" t="n"/>
      <c r="G13" s="36" t="n"/>
    </row>
    <row r="14" ht="30" customHeight="1">
      <c r="A14" s="46" t="inlineStr">
        <is>
          <t>Applied 2</t>
        </is>
      </c>
      <c r="B14" s="33" t="inlineStr">
        <is>
          <t>Ch5 Forces and Friction, Ch7 Application of Forces</t>
        </is>
      </c>
      <c r="C14" s="33" t="inlineStr">
        <is>
          <t>Ch5 Forces and Friction + Ch7 Application of Forces Exam Questions 1</t>
        </is>
      </c>
      <c r="D14" s="34" t="inlineStr">
        <is>
          <t>Questions</t>
        </is>
      </c>
      <c r="E14" s="34" t="inlineStr">
        <is>
          <t>Marks</t>
        </is>
      </c>
      <c r="F14" s="47" t="n"/>
      <c r="G14" s="36" t="n"/>
    </row>
    <row r="15" ht="30" customHeight="1">
      <c r="A15" s="46" t="inlineStr">
        <is>
          <t>Applied 2</t>
        </is>
      </c>
      <c r="B15" s="33" t="inlineStr">
        <is>
          <t>Ch5 Forces and Friction, Ch7 Application of Forces</t>
        </is>
      </c>
      <c r="C15" s="33" t="inlineStr">
        <is>
          <t>Ch5 Forces and Friction + Ch7 Application of Forces Exam Questions 2</t>
        </is>
      </c>
      <c r="D15" s="34" t="inlineStr">
        <is>
          <t>Questions</t>
        </is>
      </c>
      <c r="E15" s="34" t="inlineStr">
        <is>
          <t>Marks</t>
        </is>
      </c>
      <c r="F15" s="47" t="n"/>
      <c r="G15" s="36" t="n"/>
    </row>
    <row r="16" ht="30" customHeight="1">
      <c r="A16" s="46" t="inlineStr">
        <is>
          <t>Applied 2</t>
        </is>
      </c>
      <c r="B16" s="33" t="inlineStr">
        <is>
          <t>Ch8 Further Kinematics</t>
        </is>
      </c>
      <c r="C16" s="33" t="inlineStr">
        <is>
          <t>Ch8 Further Kinematics Exam Questions 1</t>
        </is>
      </c>
      <c r="D16" s="34" t="inlineStr">
        <is>
          <t>Questions</t>
        </is>
      </c>
      <c r="E16" s="34" t="inlineStr">
        <is>
          <t>Marks</t>
        </is>
      </c>
      <c r="F16" s="47" t="n"/>
      <c r="G16" s="36" t="n"/>
    </row>
    <row r="17" ht="30" customHeight="1">
      <c r="A17" s="46" t="inlineStr">
        <is>
          <t>Applied 2</t>
        </is>
      </c>
      <c r="B17" s="33" t="inlineStr">
        <is>
          <t>Ch8 Further Kinematics</t>
        </is>
      </c>
      <c r="C17" s="33" t="inlineStr">
        <is>
          <t>Ch8 Further Kinematics Exam Questions 2</t>
        </is>
      </c>
      <c r="D17" s="34" t="inlineStr">
        <is>
          <t>Questions</t>
        </is>
      </c>
      <c r="E17" s="34" t="inlineStr">
        <is>
          <t>Marks</t>
        </is>
      </c>
      <c r="F17" s="47" t="n"/>
      <c r="G17" s="36" t="n"/>
    </row>
    <row r="18" ht="30" customHeight="1">
      <c r="A18" s="46" t="inlineStr">
        <is>
          <t>Applied 2</t>
        </is>
      </c>
      <c r="B18" s="48" t="inlineStr">
        <is>
          <t>Ch4-Ch8 review (textbook)</t>
        </is>
      </c>
      <c r="C18" s="48" t="inlineStr">
        <is>
          <t>Textbook review exercise 2 - pg.182-186</t>
        </is>
      </c>
      <c r="D18" s="37" t="inlineStr">
        <is>
          <t>in the book</t>
        </is>
      </c>
      <c r="E18" s="38" t="n"/>
      <c r="F18" s="47" t="n"/>
      <c r="G18" s="36" t="n"/>
    </row>
  </sheetData>
  <conditionalFormatting sqref="F5:F18">
    <cfRule type="cellIs" priority="1" operator="equal" dxfId="2">
      <formula>"Done"</formula>
    </cfRule>
    <cfRule type="cellIs" priority="2" operator="equal" dxfId="1">
      <formula>"Started"</formula>
    </cfRule>
  </conditionalFormatting>
  <dataValidations count="1">
    <dataValidation sqref="F5:F18" showDropDown="0" showInputMessage="0" showErrorMessage="0" allowBlank="1" type="list">
      <formula1>"Done,Started"</formula1>
    </dataValidation>
  </dataValidations>
  <hyperlinks>
    <hyperlink xmlns:r="http://schemas.openxmlformats.org/officeDocument/2006/relationships" ref="D7" r:id="rId1"/>
    <hyperlink xmlns:r="http://schemas.openxmlformats.org/officeDocument/2006/relationships" ref="E7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D9" r:id="rId5"/>
    <hyperlink xmlns:r="http://schemas.openxmlformats.org/officeDocument/2006/relationships" ref="E9" r:id="rId6"/>
    <hyperlink xmlns:r="http://schemas.openxmlformats.org/officeDocument/2006/relationships" ref="D10" r:id="rId7"/>
    <hyperlink xmlns:r="http://schemas.openxmlformats.org/officeDocument/2006/relationships" ref="E10" r:id="rId8"/>
    <hyperlink xmlns:r="http://schemas.openxmlformats.org/officeDocument/2006/relationships" ref="D12" r:id="rId9"/>
    <hyperlink xmlns:r="http://schemas.openxmlformats.org/officeDocument/2006/relationships" ref="E12" r:id="rId10"/>
    <hyperlink xmlns:r="http://schemas.openxmlformats.org/officeDocument/2006/relationships" ref="D13" r:id="rId11"/>
    <hyperlink xmlns:r="http://schemas.openxmlformats.org/officeDocument/2006/relationships" ref="E13" r:id="rId12"/>
    <hyperlink xmlns:r="http://schemas.openxmlformats.org/officeDocument/2006/relationships" ref="D14" r:id="rId13"/>
    <hyperlink xmlns:r="http://schemas.openxmlformats.org/officeDocument/2006/relationships" ref="E14" r:id="rId14"/>
    <hyperlink xmlns:r="http://schemas.openxmlformats.org/officeDocument/2006/relationships" ref="D15" r:id="rId15"/>
    <hyperlink xmlns:r="http://schemas.openxmlformats.org/officeDocument/2006/relationships" ref="E15" r:id="rId16"/>
    <hyperlink xmlns:r="http://schemas.openxmlformats.org/officeDocument/2006/relationships" ref="D16" r:id="rId17"/>
    <hyperlink xmlns:r="http://schemas.openxmlformats.org/officeDocument/2006/relationships" ref="E16" r:id="rId18"/>
    <hyperlink xmlns:r="http://schemas.openxmlformats.org/officeDocument/2006/relationships" ref="D17" r:id="rId19"/>
    <hyperlink xmlns:r="http://schemas.openxmlformats.org/officeDocument/2006/relationships" ref="E17" r:id="rId20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E6B3A"/>
    <outlinePr summaryBelow="1" summaryRight="1"/>
    <pageSetUpPr fitToPage="1"/>
  </sheetPr>
  <dimension ref="A1:H28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" customWidth="1" min="9" max="9"/>
  </cols>
  <sheetData>
    <row r="1" ht="34" customHeight="1">
      <c r="A1" s="40" t="inlineStr">
        <is>
          <t>Progress</t>
        </is>
      </c>
    </row>
    <row r="2">
      <c r="A2" s="18" t="inlineStr">
        <is>
          <t>This page fills itself in from your ratings. Nothing to type here except the yellow cells, if you want to change them.</t>
        </is>
      </c>
    </row>
    <row r="4" ht="44" customHeight="1">
      <c r="A4" s="49">
        <f>TEXT((COUNTIFS('Mechanics'!$D$7:$D$50,"R",'Mechanics'!$C$7:$C$50,"&gt;0")+COUNTIFS('Mechanics'!$D$7:$D$50,"A",'Mechanics'!$C$7:$C$50,"&gt;0")+COUNTIFS('Mechanics'!$D$7:$D$50,"G",'Mechanics'!$C$7:$C$50,"&gt;0"))/36,"0%")</f>
        <v/>
      </c>
      <c r="C4" s="50">
        <f>COUNTIFS('Mechanics'!$D$7:$D$50,"R",'Mechanics'!$C$7:$C$50,"&gt;0")</f>
        <v/>
      </c>
      <c r="D4" s="51" t="n"/>
      <c r="E4" s="52">
        <f>COUNTIFS('Mechanics'!$D$7:$D$50,"A",'Mechanics'!$C$7:$C$50,"&gt;0")</f>
        <v/>
      </c>
      <c r="F4" s="53" t="n"/>
      <c r="G4" s="54">
        <f>COUNTIFS('Mechanics'!$D$7:$D$50,"G",'Mechanics'!$C$7:$C$50,"&gt;0")</f>
        <v/>
      </c>
      <c r="H4" s="55" t="n"/>
    </row>
    <row r="5" ht="20" customHeight="1">
      <c r="A5" s="56" t="inlineStr">
        <is>
          <t>Topics rated (of 36)</t>
        </is>
      </c>
      <c r="C5" s="57" t="inlineStr">
        <is>
          <t>Red</t>
        </is>
      </c>
      <c r="D5" s="51" t="n"/>
      <c r="E5" s="58" t="inlineStr">
        <is>
          <t>Amber</t>
        </is>
      </c>
      <c r="F5" s="53" t="n"/>
      <c r="G5" s="59" t="inlineStr">
        <is>
          <t>Green</t>
        </is>
      </c>
      <c r="H5" s="55" t="n"/>
    </row>
    <row r="7">
      <c r="A7" s="3" t="inlineStr">
        <is>
          <t>Your practice plan</t>
        </is>
      </c>
    </row>
    <row r="8" ht="20" customHeight="1">
      <c r="A8" s="41" t="inlineStr">
        <is>
          <t>Rating</t>
        </is>
      </c>
      <c r="B8" s="42" t="inlineStr">
        <is>
          <t>Topics</t>
        </is>
      </c>
      <c r="C8" s="42" t="inlineStr">
        <is>
          <t>Qs each</t>
        </is>
      </c>
      <c r="D8" s="42" t="inlineStr">
        <is>
          <t>Qs total</t>
        </is>
      </c>
      <c r="E8" s="42" t="inlineStr">
        <is>
          <t>What to do</t>
        </is>
      </c>
    </row>
    <row r="9">
      <c r="A9" s="60" t="inlineStr">
        <is>
          <t>Red</t>
        </is>
      </c>
      <c r="B9" s="61">
        <f>COUNTIFS('Mechanics'!$D$7:$D$50,"R",'Mechanics'!$C$7:$C$50,"&gt;0")</f>
        <v/>
      </c>
      <c r="C9" s="62" t="n">
        <v>10</v>
      </c>
      <c r="D9" s="61">
        <f>B9*C9</f>
        <v/>
      </c>
      <c r="E9" s="63" t="inlineStr">
        <is>
          <t>Full worksheet, taught first</t>
        </is>
      </c>
    </row>
    <row r="10">
      <c r="A10" s="64" t="inlineStr">
        <is>
          <t>Amber</t>
        </is>
      </c>
      <c r="B10" s="61">
        <f>COUNTIFS('Mechanics'!$D$7:$D$50,"A",'Mechanics'!$C$7:$C$50,"&gt;0")</f>
        <v/>
      </c>
      <c r="C10" s="62" t="n">
        <v>5</v>
      </c>
      <c r="D10" s="61">
        <f>B10*C10</f>
        <v/>
      </c>
      <c r="E10" s="63" t="inlineStr">
        <is>
          <t>Practise until 3 right in a row</t>
        </is>
      </c>
    </row>
    <row r="11">
      <c r="A11" s="65" t="inlineStr">
        <is>
          <t>Green</t>
        </is>
      </c>
      <c r="B11" s="61">
        <f>COUNTIFS('Mechanics'!$D$7:$D$50,"G",'Mechanics'!$C$7:$C$50,"&gt;0")</f>
        <v/>
      </c>
      <c r="C11" s="62" t="n">
        <v>2</v>
      </c>
      <c r="D11" s="61">
        <f>B11*C11</f>
        <v/>
      </c>
      <c r="E11" s="63" t="inlineStr">
        <is>
          <t>2-question spot check</t>
        </is>
      </c>
    </row>
    <row r="12">
      <c r="A12" t="inlineStr">
        <is>
          <t>Not rated yet</t>
        </is>
      </c>
      <c r="B12" s="66">
        <f>COUNTIFS('Mechanics'!$D$7:$D$50,"",'Mechanics'!$C$7:$C$50,"&gt;0")</f>
        <v/>
      </c>
    </row>
    <row r="13">
      <c r="A13" s="19" t="inlineStr">
        <is>
          <t>Total questions</t>
        </is>
      </c>
      <c r="D13" s="67">
        <f>SUM(D9:D11)</f>
        <v/>
      </c>
    </row>
    <row r="14">
      <c r="A14" t="inlineStr">
        <is>
          <t>Minutes per question</t>
        </is>
      </c>
      <c r="D14" s="68" t="n">
        <v>6</v>
      </c>
    </row>
    <row r="15">
      <c r="A15" s="19" t="inlineStr">
        <is>
          <t>Hours of practice</t>
        </is>
      </c>
      <c r="D15" s="67">
        <f>ROUND(D13*D14/60,1)</f>
        <v/>
      </c>
    </row>
    <row r="16">
      <c r="A16" t="inlineStr">
        <is>
          <t>Chapter tests done</t>
        </is>
      </c>
      <c r="D16" s="66">
        <f>COUNTIF('Chapter tests'!$F$5:$F$18,"Done")&amp;" of 12"</f>
        <v/>
      </c>
    </row>
    <row r="18">
      <c r="A18" s="3" t="inlineStr">
        <is>
          <t>By year</t>
        </is>
      </c>
    </row>
    <row r="19" ht="20" customHeight="1">
      <c r="A19" s="41" t="inlineStr"/>
      <c r="B19" s="42" t="inlineStr">
        <is>
          <t>Topics</t>
        </is>
      </c>
      <c r="C19" s="42" t="inlineStr">
        <is>
          <t>Red</t>
        </is>
      </c>
      <c r="D19" s="42" t="inlineStr">
        <is>
          <t>Amber</t>
        </is>
      </c>
      <c r="E19" s="42" t="inlineStr">
        <is>
          <t>Green</t>
        </is>
      </c>
      <c r="F19" s="42" t="inlineStr">
        <is>
          <t>Not rated</t>
        </is>
      </c>
      <c r="G19" s="42" t="inlineStr">
        <is>
          <t>% Green</t>
        </is>
      </c>
    </row>
    <row r="20">
      <c r="A20" s="69" t="inlineStr">
        <is>
          <t>Year 1 (AS content)</t>
        </is>
      </c>
      <c r="B20" s="61">
        <f>COUNTIFS('Mechanics'!$C$7:$C$50,1)</f>
        <v/>
      </c>
      <c r="C20" s="61">
        <f>COUNTIFS('Mechanics'!$C$7:$C$50,1,'Mechanics'!$D$7:$D$50,"R")</f>
        <v/>
      </c>
      <c r="D20" s="61">
        <f>COUNTIFS('Mechanics'!$C$7:$C$50,1,'Mechanics'!$D$7:$D$50,"A")</f>
        <v/>
      </c>
      <c r="E20" s="61">
        <f>COUNTIFS('Mechanics'!$C$7:$C$50,1,'Mechanics'!$D$7:$D$50,"G")</f>
        <v/>
      </c>
      <c r="F20" s="61">
        <f>COUNTIFS('Mechanics'!$C$7:$C$50,1,'Mechanics'!$D$7:$D$50,"")</f>
        <v/>
      </c>
      <c r="G20" s="70">
        <f>IFERROR(E20/B20,0)</f>
        <v/>
      </c>
    </row>
    <row r="21">
      <c r="A21" s="69" t="inlineStr">
        <is>
          <t>Year 2</t>
        </is>
      </c>
      <c r="B21" s="61">
        <f>COUNTIFS('Mechanics'!$C$7:$C$50,2)</f>
        <v/>
      </c>
      <c r="C21" s="61">
        <f>COUNTIFS('Mechanics'!$C$7:$C$50,2,'Mechanics'!$D$7:$D$50,"R")</f>
        <v/>
      </c>
      <c r="D21" s="61">
        <f>COUNTIFS('Mechanics'!$C$7:$C$50,2,'Mechanics'!$D$7:$D$50,"A")</f>
        <v/>
      </c>
      <c r="E21" s="61">
        <f>COUNTIFS('Mechanics'!$C$7:$C$50,2,'Mechanics'!$D$7:$D$50,"G")</f>
        <v/>
      </c>
      <c r="F21" s="61">
        <f>COUNTIFS('Mechanics'!$C$7:$C$50,2,'Mechanics'!$D$7:$D$50,"")</f>
        <v/>
      </c>
      <c r="G21" s="70">
        <f>IFERROR(E21/B21,0)</f>
        <v/>
      </c>
    </row>
    <row r="23">
      <c r="A23" s="3" t="inlineStr">
        <is>
          <t>By topic area</t>
        </is>
      </c>
    </row>
    <row r="24" ht="20" customHeight="1">
      <c r="A24" s="41" t="inlineStr"/>
      <c r="B24" s="42" t="inlineStr">
        <is>
          <t>Topics</t>
        </is>
      </c>
      <c r="C24" s="42" t="inlineStr">
        <is>
          <t>Red</t>
        </is>
      </c>
      <c r="D24" s="42" t="inlineStr">
        <is>
          <t>Amber</t>
        </is>
      </c>
      <c r="E24" s="42" t="inlineStr">
        <is>
          <t>Green</t>
        </is>
      </c>
      <c r="F24" s="42" t="inlineStr">
        <is>
          <t>Not rated</t>
        </is>
      </c>
      <c r="G24" s="42" t="inlineStr">
        <is>
          <t>% Green</t>
        </is>
      </c>
    </row>
    <row r="25">
      <c r="A25" s="69" t="inlineStr">
        <is>
          <t>Mechanics 6: Quantities and units in mechanics</t>
        </is>
      </c>
      <c r="B25" s="61">
        <f>COUNTIFS('Mechanics'!$P$7:$P$50,"M6")</f>
        <v/>
      </c>
      <c r="C25" s="61">
        <f>COUNTIFS('Mechanics'!$P$7:$P$50,"M6",'Mechanics'!$D$7:$D$50,"R")</f>
        <v/>
      </c>
      <c r="D25" s="61">
        <f>COUNTIFS('Mechanics'!$P$7:$P$50,"M6",'Mechanics'!$D$7:$D$50,"A")</f>
        <v/>
      </c>
      <c r="E25" s="61">
        <f>COUNTIFS('Mechanics'!$P$7:$P$50,"M6",'Mechanics'!$D$7:$D$50,"G")</f>
        <v/>
      </c>
      <c r="F25" s="61">
        <f>COUNTIFS('Mechanics'!$P$7:$P$50,"M6",'Mechanics'!$D$7:$D$50,"")</f>
        <v/>
      </c>
      <c r="G25" s="70">
        <f>IFERROR(E25/B25,0)</f>
        <v/>
      </c>
    </row>
    <row r="26">
      <c r="A26" s="69" t="inlineStr">
        <is>
          <t>Mechanics 7: Kinematics</t>
        </is>
      </c>
      <c r="B26" s="61">
        <f>COUNTIFS('Mechanics'!$P$7:$P$50,"M7")</f>
        <v/>
      </c>
      <c r="C26" s="61">
        <f>COUNTIFS('Mechanics'!$P$7:$P$50,"M7",'Mechanics'!$D$7:$D$50,"R")</f>
        <v/>
      </c>
      <c r="D26" s="61">
        <f>COUNTIFS('Mechanics'!$P$7:$P$50,"M7",'Mechanics'!$D$7:$D$50,"A")</f>
        <v/>
      </c>
      <c r="E26" s="61">
        <f>COUNTIFS('Mechanics'!$P$7:$P$50,"M7",'Mechanics'!$D$7:$D$50,"G")</f>
        <v/>
      </c>
      <c r="F26" s="61">
        <f>COUNTIFS('Mechanics'!$P$7:$P$50,"M7",'Mechanics'!$D$7:$D$50,"")</f>
        <v/>
      </c>
      <c r="G26" s="70">
        <f>IFERROR(E26/B26,0)</f>
        <v/>
      </c>
    </row>
    <row r="27">
      <c r="A27" s="69" t="inlineStr">
        <is>
          <t>Mechanics 8: Forces and Newton's laws</t>
        </is>
      </c>
      <c r="B27" s="61">
        <f>COUNTIFS('Mechanics'!$P$7:$P$50,"M8")</f>
        <v/>
      </c>
      <c r="C27" s="61">
        <f>COUNTIFS('Mechanics'!$P$7:$P$50,"M8",'Mechanics'!$D$7:$D$50,"R")</f>
        <v/>
      </c>
      <c r="D27" s="61">
        <f>COUNTIFS('Mechanics'!$P$7:$P$50,"M8",'Mechanics'!$D$7:$D$50,"A")</f>
        <v/>
      </c>
      <c r="E27" s="61">
        <f>COUNTIFS('Mechanics'!$P$7:$P$50,"M8",'Mechanics'!$D$7:$D$50,"G")</f>
        <v/>
      </c>
      <c r="F27" s="61">
        <f>COUNTIFS('Mechanics'!$P$7:$P$50,"M8",'Mechanics'!$D$7:$D$50,"")</f>
        <v/>
      </c>
      <c r="G27" s="70">
        <f>IFERROR(E27/B27,0)</f>
        <v/>
      </c>
    </row>
    <row r="28">
      <c r="A28" s="69" t="inlineStr">
        <is>
          <t>Mechanics 9: Moments</t>
        </is>
      </c>
      <c r="B28" s="61">
        <f>COUNTIFS('Mechanics'!$P$7:$P$50,"M9")</f>
        <v/>
      </c>
      <c r="C28" s="61">
        <f>COUNTIFS('Mechanics'!$P$7:$P$50,"M9",'Mechanics'!$D$7:$D$50,"R")</f>
        <v/>
      </c>
      <c r="D28" s="61">
        <f>COUNTIFS('Mechanics'!$P$7:$P$50,"M9",'Mechanics'!$D$7:$D$50,"A")</f>
        <v/>
      </c>
      <c r="E28" s="61">
        <f>COUNTIFS('Mechanics'!$P$7:$P$50,"M9",'Mechanics'!$D$7:$D$50,"G")</f>
        <v/>
      </c>
      <c r="F28" s="61">
        <f>COUNTIFS('Mechanics'!$P$7:$P$50,"M9",'Mechanics'!$D$7:$D$50,"")</f>
        <v/>
      </c>
      <c r="G28" s="70">
        <f>IFERROR(E28/B28,0)</f>
        <v/>
      </c>
    </row>
  </sheetData>
  <mergeCells count="8">
    <mergeCell ref="G4:H4"/>
    <mergeCell ref="E4:F4"/>
    <mergeCell ref="A4"/>
    <mergeCell ref="C5:D5"/>
    <mergeCell ref="G5:H5"/>
    <mergeCell ref="E5:F5"/>
    <mergeCell ref="A5"/>
    <mergeCell ref="C4:D4"/>
  </mergeCells>
  <conditionalFormatting sqref="C20:C21">
    <cfRule type="cellIs" priority="1" operator="greaterThan" dxfId="6">
      <formula>0</formula>
    </cfRule>
  </conditionalFormatting>
  <conditionalFormatting sqref="D20:D21">
    <cfRule type="cellIs" priority="2" operator="greaterThan" dxfId="7">
      <formula>0</formula>
    </cfRule>
  </conditionalFormatting>
  <conditionalFormatting sqref="E20:E21">
    <cfRule type="cellIs" priority="3" operator="greaterThan" dxfId="8">
      <formula>0</formula>
    </cfRule>
  </conditionalFormatting>
  <conditionalFormatting sqref="G20:G21">
    <cfRule type="dataBar" priority="4">
      <dataBar>
        <cfvo type="num" val="0"/>
        <cfvo type="num" val="1"/>
        <color rgb="0063BE7B"/>
      </dataBar>
    </cfRule>
  </conditionalFormatting>
  <conditionalFormatting sqref="C25:C28">
    <cfRule type="cellIs" priority="5" operator="greaterThan" dxfId="6">
      <formula>0</formula>
    </cfRule>
  </conditionalFormatting>
  <conditionalFormatting sqref="D25:D28">
    <cfRule type="cellIs" priority="6" operator="greaterThan" dxfId="7">
      <formula>0</formula>
    </cfRule>
  </conditionalFormatting>
  <conditionalFormatting sqref="E25:E28">
    <cfRule type="cellIs" priority="7" operator="greaterThan" dxfId="8">
      <formula>0</formula>
    </cfRule>
  </conditionalFormatting>
  <conditionalFormatting sqref="G25:G28">
    <cfRule type="dataBar" priority="8">
      <dataBar>
        <cfvo type="num" val="0"/>
        <cfvo type="num" val="1"/>
        <color rgb="0063BE7B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2026-09-24T09:53:54Z</dcterms:created>
  <dcterms:modified xsi:type="dcterms:W3CDTF">2026-09-24T09:53:54Z</dcterms:modified>
</cp:coreProperties>
</file>