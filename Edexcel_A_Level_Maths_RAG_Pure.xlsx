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Pure" sheetId="2" state="visible" r:id="rId2"/>
    <sheet name="Chapter tests" sheetId="3" state="visible" r:id="rId3"/>
    <sheet name="Progress" sheetId="4" state="visible" r:id="rId4"/>
  </sheets>
  <definedNames>
    <definedName name="_xlnm.Print_Titles" localSheetId="1">'Pure'!$6:$6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Y&quot;0"/>
  </numFmts>
  <fonts count="36">
    <font>
      <name val="Calibri"/>
      <family val="2"/>
      <color theme="1"/>
      <sz val="11"/>
      <scheme val="minor"/>
    </font>
    <font>
      <name val="Calibri"/>
      <b val="1"/>
      <color rgb="003B5BDB"/>
      <sz val="22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FFFFFF"/>
      <sz val="10"/>
    </font>
    <font>
      <name val="Calibri"/>
      <b val="1"/>
      <color rgb="003B5BDB"/>
      <sz val="13"/>
    </font>
    <font>
      <name val="Calibri"/>
      <color rgb="006B7280"/>
      <sz val="10"/>
    </font>
    <font>
      <name val="Calibri"/>
      <color rgb="006B7280"/>
      <sz val="9"/>
    </font>
    <font>
      <name val="Calibri"/>
      <color rgb="001F2937"/>
      <sz val="11"/>
    </font>
    <font>
      <name val="Calibri"/>
      <b val="1"/>
      <color rgb="001F2937"/>
      <sz val="12"/>
    </font>
    <font>
      <name val="Calibri"/>
      <color rgb="001F2937"/>
      <sz val="10"/>
    </font>
    <font>
      <name val="Calibri"/>
      <color rgb="001D4ED8"/>
      <sz val="10"/>
    </font>
    <font>
      <name val="Calibri"/>
      <b val="1"/>
      <color rgb="003B5BDB"/>
      <sz val="9"/>
    </font>
    <font>
      <name val="Calibri"/>
      <i val="1"/>
      <color rgb="009CA3AF"/>
      <sz val="10"/>
    </font>
    <font>
      <name val="Calibri"/>
      <i val="1"/>
      <color rgb="009CA3AF"/>
      <sz val="9"/>
    </font>
    <font>
      <name val="Calibri"/>
      <b val="1"/>
      <color rgb="001F2937"/>
      <sz val="11"/>
    </font>
    <font>
      <name val="Calibri"/>
      <b val="1"/>
      <color rgb="001F2937"/>
      <sz val="22"/>
    </font>
    <font>
      <name val="Calibri"/>
      <b val="1"/>
      <color rgb="001F2937"/>
      <sz val="10"/>
    </font>
    <font>
      <name val="Calibri"/>
      <b val="1"/>
      <color rgb="001F2937"/>
      <sz val="26"/>
    </font>
    <font>
      <name val="Calibri"/>
      <b val="1"/>
      <color rgb="009B1C1C"/>
      <sz val="26"/>
    </font>
    <font>
      <name val="Calibri"/>
      <b val="1"/>
      <color rgb="009B1C1C"/>
      <sz val="10"/>
    </font>
    <font>
      <name val="Calibri"/>
      <b val="1"/>
      <color rgb="008A4B00"/>
      <sz val="26"/>
    </font>
    <font>
      <name val="Calibri"/>
      <b val="1"/>
      <color rgb="008A4B00"/>
      <sz val="10"/>
    </font>
    <font>
      <name val="Calibri"/>
      <b val="1"/>
      <color rgb="001E6B3A"/>
      <sz val="26"/>
    </font>
    <font>
      <name val="Calibri"/>
      <b val="1"/>
      <color rgb="001E6B3A"/>
      <sz val="10"/>
    </font>
    <font>
      <name val="Calibri"/>
      <b val="1"/>
      <color rgb="001F2937"/>
      <sz val="14"/>
    </font>
    <font>
      <name val="Calibri"/>
      <b val="1"/>
      <color rgb="009B1C1C"/>
      <sz val="11"/>
    </font>
    <font>
      <name val="Calibri"/>
      <b val="1"/>
      <color rgb="008A4B00"/>
      <sz val="11"/>
    </font>
    <font>
      <name val="Calibri"/>
      <b val="1"/>
      <color rgb="001E6B3A"/>
      <sz val="11"/>
    </font>
    <font>
      <name val="Calibri"/>
      <b val="1"/>
      <color rgb="001F2937"/>
      <sz val="24"/>
    </font>
    <font>
      <name val="Calibri"/>
      <color rgb="006B7280"/>
      <sz val="12"/>
    </font>
    <font>
      <name val="Calibri"/>
      <b val="1"/>
      <color rgb="00FFFFFF"/>
      <sz val="16"/>
    </font>
    <font>
      <name val="Calibri"/>
      <b val="1"/>
      <color rgb="009B1C1C"/>
      <sz val="12"/>
    </font>
    <font>
      <name val="Calibri"/>
      <b val="1"/>
      <color rgb="008A4B00"/>
      <sz val="12"/>
    </font>
    <font>
      <name val="Calibri"/>
      <b val="1"/>
      <color rgb="001E6B3A"/>
      <sz val="12"/>
    </font>
    <font>
      <name val="Calibr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3B5BDB"/>
      </patternFill>
    </fill>
    <fill>
      <patternFill patternType="solid">
        <fgColor rgb="00E8EDFF"/>
      </patternFill>
    </fill>
    <fill>
      <patternFill patternType="solid">
        <fgColor rgb="00FFFBEA"/>
      </patternFill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AD4D4"/>
      </patternFill>
    </fill>
    <fill>
      <patternFill patternType="solid">
        <fgColor rgb="00FFE4C2"/>
      </patternFill>
    </fill>
    <fill>
      <patternFill patternType="solid">
        <fgColor rgb="00D4F0DC"/>
      </patternFill>
    </fill>
    <fill>
      <patternFill patternType="solid">
        <fgColor rgb="006B7280"/>
      </patternFill>
    </fill>
    <fill>
      <patternFill patternType="solid">
        <fgColor rgb="001E6B3A"/>
      </patternFill>
    </fill>
  </fills>
  <borders count="5">
    <border>
      <left/>
      <right/>
      <top/>
      <bottom/>
      <diagonal/>
    </border>
    <border>
      <bottom style="thin">
        <color rgb="00C7CDD6"/>
      </bottom>
    </border>
    <border>
      <top style="medium">
        <color rgb="003B5BDB"/>
      </top>
      <bottom style="thin">
        <color rgb="003B5BDB"/>
      </bottom>
    </border>
    <border>
      <left style="thin">
        <color rgb="00E9D98B"/>
      </left>
      <right style="thin">
        <color rgb="00E9D98B"/>
      </right>
      <top style="thin">
        <color rgb="00F3E8B0"/>
      </top>
      <bottom style="thin">
        <color rgb="00F3E8B0"/>
      </bottom>
    </border>
    <border>
      <bottom style="thin">
        <color rgb="00E5E7EB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25" fillId="0" borderId="0" pivotButton="0" quotePrefix="0" xfId="0"/>
    <xf numFmtId="0" fontId="31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2" fillId="7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/>
    </xf>
    <xf numFmtId="0" fontId="33" fillId="8" borderId="0" applyAlignment="1" pivotButton="0" quotePrefix="0" xfId="0">
      <alignment vertical="center" indent="1"/>
    </xf>
    <xf numFmtId="0" fontId="34" fillId="9" borderId="0" applyAlignment="1" pivotButton="0" quotePrefix="0" xfId="0">
      <alignment vertical="center" indent="1"/>
    </xf>
    <xf numFmtId="0" fontId="35" fillId="2" borderId="0" applyAlignment="1" pivotButton="0" quotePrefix="0" xfId="0">
      <alignment vertical="center" indent="1"/>
    </xf>
    <xf numFmtId="0" fontId="35" fillId="10" borderId="0" applyAlignment="1" pivotButton="0" quotePrefix="0" xfId="0">
      <alignment vertical="center" indent="1"/>
    </xf>
    <xf numFmtId="0" fontId="35" fillId="11" borderId="0" applyAlignment="1" pivotButton="0" quotePrefix="0" xfId="0">
      <alignment vertical="center" indent="1"/>
    </xf>
    <xf numFmtId="0" fontId="15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0" borderId="0" pivotButton="0" quotePrefix="0" xfId="0"/>
    <xf numFmtId="0" fontId="3" fillId="0" borderId="1" applyAlignment="1" pivotButton="0" quotePrefix="0" xfId="0">
      <alignment horizontal="left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vertical="center" wrapText="1"/>
    </xf>
    <xf numFmtId="164" fontId="7" fillId="0" borderId="4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10" fillId="0" borderId="4" applyAlignment="1" pivotButton="0" quotePrefix="0" xfId="0">
      <alignment vertical="center" wrapText="1"/>
    </xf>
    <xf numFmtId="0" fontId="11" fillId="0" borderId="4" applyAlignment="1" pivotButton="0" quotePrefix="0" xfId="0">
      <alignment horizontal="center" vertical="center"/>
    </xf>
    <xf numFmtId="164" fontId="12" fillId="0" borderId="4" applyAlignment="1" pivotButton="0" quotePrefix="0" xfId="0">
      <alignment horizontal="center" vertical="center"/>
    </xf>
    <xf numFmtId="0" fontId="13" fillId="0" borderId="4" applyAlignment="1" pivotButton="0" quotePrefix="0" xfId="0">
      <alignment vertical="center" wrapText="1"/>
    </xf>
    <xf numFmtId="0" fontId="0" fillId="0" borderId="4" pivotButton="0" quotePrefix="0" xfId="0"/>
    <xf numFmtId="0" fontId="14" fillId="0" borderId="4" applyAlignment="1" pivotButton="0" quotePrefix="0" xfId="0">
      <alignment horizontal="center" vertical="center"/>
    </xf>
    <xf numFmtId="0" fontId="16" fillId="0" borderId="0" pivotButton="0" quotePrefix="0" xfId="0"/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5" fillId="3" borderId="2" pivotButton="0" quotePrefix="0" xfId="0"/>
    <xf numFmtId="0" fontId="0" fillId="3" borderId="2" pivotButton="0" quotePrefix="0" xfId="0"/>
    <xf numFmtId="0" fontId="6" fillId="3" borderId="2" pivotButton="0" quotePrefix="0" xfId="0"/>
    <xf numFmtId="0" fontId="7" fillId="0" borderId="4" applyAlignment="1" pivotButton="0" quotePrefix="0" xfId="0">
      <alignment vertical="center" wrapText="1"/>
    </xf>
    <xf numFmtId="0" fontId="17" fillId="4" borderId="0" applyAlignment="1" pivotButton="0" quotePrefix="0" xfId="0">
      <alignment horizontal="center" vertical="center"/>
    </xf>
    <xf numFmtId="0" fontId="17" fillId="0" borderId="4" applyAlignment="1" pivotButton="0" quotePrefix="0" xfId="0">
      <alignment vertical="center" wrapText="1"/>
    </xf>
    <xf numFmtId="0" fontId="0" fillId="0" borderId="4" applyAlignment="1" pivotButton="0" quotePrefix="0" xfId="0">
      <alignment horizontal="center" vertical="center"/>
    </xf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21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23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17" fillId="6" borderId="0" applyAlignment="1" pivotButton="0" quotePrefix="0" xfId="0">
      <alignment horizontal="center"/>
    </xf>
    <xf numFmtId="0" fontId="20" fillId="7" borderId="0" applyAlignment="1" pivotButton="0" quotePrefix="0" xfId="0">
      <alignment horizontal="center"/>
    </xf>
    <xf numFmtId="0" fontId="22" fillId="8" borderId="0" applyAlignment="1" pivotButton="0" quotePrefix="0" xfId="0">
      <alignment horizontal="center"/>
    </xf>
    <xf numFmtId="0" fontId="24" fillId="9" borderId="0" applyAlignment="1" pivotButton="0" quotePrefix="0" xfId="0">
      <alignment horizontal="center"/>
    </xf>
    <xf numFmtId="0" fontId="26" fillId="7" borderId="4" pivotButton="0" quotePrefix="0" xfId="0"/>
    <xf numFmtId="0" fontId="0" fillId="0" borderId="4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6" fillId="0" borderId="4" pivotButton="0" quotePrefix="0" xfId="0"/>
    <xf numFmtId="0" fontId="27" fillId="8" borderId="4" pivotButton="0" quotePrefix="0" xfId="0"/>
    <xf numFmtId="0" fontId="28" fillId="9" borderId="4" pivotButton="0" quotePrefix="0" xfId="0"/>
    <xf numFmtId="0" fontId="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8" fillId="0" borderId="4" pivotButton="0" quotePrefix="0" xfId="0"/>
    <xf numFmtId="9" fontId="0" fillId="0" borderId="4" applyAlignment="1" pivotButton="0" quotePrefix="0" xfId="0">
      <alignment horizontal="center"/>
    </xf>
  </cellXfs>
  <cellStyles count="1">
    <cellStyle name="Normal" xfId="0" builtinId="0" hidden="0"/>
  </cellStyles>
  <dxfs count="9">
    <dxf>
      <font>
        <b val="1"/>
        <color rgb="009B1C1C"/>
      </font>
      <fill>
        <patternFill patternType="solid">
          <fgColor rgb="00FAD4D4"/>
        </patternFill>
      </fill>
    </dxf>
    <dxf>
      <font>
        <b val="1"/>
        <color rgb="008A4B00"/>
      </font>
      <fill>
        <patternFill patternType="solid">
          <fgColor rgb="00FFE4C2"/>
        </patternFill>
      </fill>
    </dxf>
    <dxf>
      <font>
        <b val="1"/>
        <color rgb="001E6B3A"/>
      </font>
      <fill>
        <patternFill patternType="solid">
          <fgColor rgb="00D4F0DC"/>
        </patternFill>
      </fill>
    </dxf>
    <dxf>
      <fill>
        <patternFill patternType="solid">
          <fgColor rgb="00FAD4D4"/>
        </patternFill>
      </fill>
    </dxf>
    <dxf>
      <fill>
        <patternFill patternType="solid">
          <fgColor rgb="00FFE4C2"/>
        </patternFill>
      </fill>
    </dxf>
    <dxf>
      <fill>
        <patternFill patternType="solid">
          <fgColor rgb="00D4F0DC"/>
        </patternFill>
      </fill>
    </dxf>
    <dxf>
      <font>
        <color rgb="009B1C1C"/>
      </font>
      <fill>
        <patternFill patternType="solid">
          <fgColor rgb="00FAD4D4"/>
        </patternFill>
      </fill>
    </dxf>
    <dxf>
      <font>
        <color rgb="008A4B00"/>
      </font>
      <fill>
        <patternFill patternType="solid">
          <fgColor rgb="00FFE4C2"/>
        </patternFill>
      </fill>
    </dxf>
    <dxf>
      <font>
        <color rgb="001E6B3A"/>
      </font>
      <fill>
        <patternFill patternType="solid">
          <fgColor rgb="00D4F0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Ratings by topic area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'Progress'!C24</f>
            </strRef>
          </tx>
          <spPr>
            <a:solidFill>
              <a:srgbClr val="E57373"/>
            </a:solidFill>
            <a:ln>
              <a:solidFill>
                <a:srgbClr val="E57373"/>
              </a:solidFill>
              <a:prstDash val="solid"/>
            </a:ln>
          </spPr>
          <cat>
            <numRef>
              <f>'Progress'!$A$25:$A$34</f>
            </numRef>
          </cat>
          <val>
            <numRef>
              <f>'Progress'!$C$25:$C$34</f>
            </numRef>
          </val>
        </ser>
        <ser>
          <idx val="1"/>
          <order val="1"/>
          <tx>
            <strRef>
              <f>'Progress'!D24</f>
            </strRef>
          </tx>
          <spPr>
            <a:solidFill>
              <a:srgbClr val="F6AE5B"/>
            </a:solidFill>
            <a:ln>
              <a:solidFill>
                <a:srgbClr val="F6AE5B"/>
              </a:solidFill>
              <a:prstDash val="solid"/>
            </a:ln>
          </spPr>
          <cat>
            <numRef>
              <f>'Progress'!$A$25:$A$34</f>
            </numRef>
          </cat>
          <val>
            <numRef>
              <f>'Progress'!$D$25:$D$34</f>
            </numRef>
          </val>
        </ser>
        <ser>
          <idx val="2"/>
          <order val="2"/>
          <tx>
            <strRef>
              <f>'Progress'!E24</f>
            </strRef>
          </tx>
          <spPr>
            <a:solidFill>
              <a:srgbClr val="5DBB7A"/>
            </a:solidFill>
            <a:ln>
              <a:solidFill>
                <a:srgbClr val="5DBB7A"/>
              </a:solidFill>
              <a:prstDash val="solid"/>
            </a:ln>
          </spPr>
          <cat>
            <numRef>
              <f>'Progress'!$A$25:$A$34</f>
            </numRef>
          </cat>
          <val>
            <numRef>
              <f>'Progress'!$E$25:$E$34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23</row>
      <rowOff>0</rowOff>
    </from>
    <ext cx="5760000" cy="367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athsgenie.co.uk/a-level/maths/edexcel/as-pure-mathematics-7-4-mathematical-proof" TargetMode="External" Id="rId1" /><Relationship Type="http://schemas.openxmlformats.org/officeDocument/2006/relationships/hyperlink" Target="https://assets.mathsgenie.co.uk/content/worksheets/a_level_maths/algebraic-methods-a3de4bc8.pdf" TargetMode="External" Id="rId2" /><Relationship Type="http://schemas.openxmlformats.org/officeDocument/2006/relationships/hyperlink" Target="https://assets.mathsgenie.co.uk/content/worksheets/a_level_maths/algebraic-methods-ans-9324f91d.pdf" TargetMode="External" Id="rId3" /><Relationship Type="http://schemas.openxmlformats.org/officeDocument/2006/relationships/hyperlink" Target="https://pmt.physicsandmathstutor.com/download/Maths/A-level/Pure/Proof-1/Edexcel-Set-C/QP/Proof%20QP.pdf" TargetMode="External" Id="rId4" /><Relationship Type="http://schemas.openxmlformats.org/officeDocument/2006/relationships/hyperlink" Target="https://pmt.physicsandmathstutor.com/download/Maths/A-level/Pure/Proof-1/Edexcel-Set-C/MS/Proof%20MS.pdf" TargetMode="External" Id="rId5" /><Relationship Type="http://schemas.openxmlformats.org/officeDocument/2006/relationships/hyperlink" Target="https://pmt.physicsandmathstutor.com/download/Maths/A-level/Pure/Proof-1/Edexcel-Set-C/MA/Proof%20MA.pdf" TargetMode="External" Id="rId6" /><Relationship Type="http://schemas.openxmlformats.org/officeDocument/2006/relationships/hyperlink" Target="https://www.yesterdaysmathsexam.com/_files/ugd/1ba96f_91854f91ca9c48c9b4a14ae5451ccf7c.pdf" TargetMode="External" Id="rId7" /><Relationship Type="http://schemas.openxmlformats.org/officeDocument/2006/relationships/hyperlink" Target="https://www.yesterdaysmathsexam.com/_files/ugd/1ba96f_91d88e11265c464f93c3640439b79bdd.pdf" TargetMode="External" Id="rId8" /><Relationship Type="http://schemas.openxmlformats.org/officeDocument/2006/relationships/hyperlink" Target="https://mathsgenie.co.uk/a-level/maths/edexcel/as-pure-mathematics-7-5-methods-of-proof" TargetMode="External" Id="rId9" /><Relationship Type="http://schemas.openxmlformats.org/officeDocument/2006/relationships/hyperlink" Target="https://assets.mathsgenie.co.uk/content/worksheets/a_level_maths/algebraic-methods-a3de4bc8.pdf" TargetMode="External" Id="rId10" /><Relationship Type="http://schemas.openxmlformats.org/officeDocument/2006/relationships/hyperlink" Target="https://assets.mathsgenie.co.uk/content/worksheets/a_level_maths/algebraic-methods-ans-9324f91d.pdf" TargetMode="External" Id="rId11" /><Relationship Type="http://schemas.openxmlformats.org/officeDocument/2006/relationships/hyperlink" Target="https://pmt.physicsandmathstutor.com/download/Maths/A-level/Pure/Proof-1/Edexcel-Set-C/QP/Proof%20QP.pdf" TargetMode="External" Id="rId12" /><Relationship Type="http://schemas.openxmlformats.org/officeDocument/2006/relationships/hyperlink" Target="https://pmt.physicsandmathstutor.com/download/Maths/A-level/Pure/Proof-1/Edexcel-Set-C/MS/Proof%20MS.pdf" TargetMode="External" Id="rId13" /><Relationship Type="http://schemas.openxmlformats.org/officeDocument/2006/relationships/hyperlink" Target="https://pmt.physicsandmathstutor.com/download/Maths/A-level/Pure/Proof-1/Edexcel-Set-C/MA/Proof%20MA.pdf" TargetMode="External" Id="rId14" /><Relationship Type="http://schemas.openxmlformats.org/officeDocument/2006/relationships/hyperlink" Target="https://www.yesterdaysmathsexam.com/_files/ugd/1ba96f_91854f91ca9c48c9b4a14ae5451ccf7c.pdf" TargetMode="External" Id="rId15" /><Relationship Type="http://schemas.openxmlformats.org/officeDocument/2006/relationships/hyperlink" Target="https://www.yesterdaysmathsexam.com/_files/ugd/1ba96f_91d88e11265c464f93c3640439b79bdd.pdf" TargetMode="External" Id="rId16" /><Relationship Type="http://schemas.openxmlformats.org/officeDocument/2006/relationships/hyperlink" Target="https://mathsgenie.co.uk/a-level/maths/edexcel/a-level-pure-mathematics-1-1-proof-by-contradiction" TargetMode="External" Id="rId17" /><Relationship Type="http://schemas.openxmlformats.org/officeDocument/2006/relationships/hyperlink" Target="https://assets.mathsgenie.co.uk/content/worksheets/a_level_maths/a-level-algebraic-methods-67104351.pdf" TargetMode="External" Id="rId18" /><Relationship Type="http://schemas.openxmlformats.org/officeDocument/2006/relationships/hyperlink" Target="https://assets.mathsgenie.co.uk/content/worksheets/a_level_maths/a-level-algebraic-methods-ans-75eb77a6.pdf" TargetMode="External" Id="rId19" /><Relationship Type="http://schemas.openxmlformats.org/officeDocument/2006/relationships/hyperlink" Target="https://pmt.physicsandmathstutor.com/download/Maths/A-level/Pure/Proof-1/Edexcel-Set-C/QP/Proof%20QP.pdf" TargetMode="External" Id="rId20" /><Relationship Type="http://schemas.openxmlformats.org/officeDocument/2006/relationships/hyperlink" Target="https://pmt.physicsandmathstutor.com/download/Maths/A-level/Pure/Proof-1/Edexcel-Set-C/MS/Proof%20MS.pdf" TargetMode="External" Id="rId21" /><Relationship Type="http://schemas.openxmlformats.org/officeDocument/2006/relationships/hyperlink" Target="https://pmt.physicsandmathstutor.com/download/Maths/A-level/Pure/Proof-1/Edexcel-Set-C/MA/Proof%20MA.pdf" TargetMode="External" Id="rId22" /><Relationship Type="http://schemas.openxmlformats.org/officeDocument/2006/relationships/hyperlink" Target="https://www.yesterdaysmathsexam.com/_files/ugd/1ba96f_202f299f34b448afb234a795116475aa.pdf" TargetMode="External" Id="rId23" /><Relationship Type="http://schemas.openxmlformats.org/officeDocument/2006/relationships/hyperlink" Target="https://www.yesterdaysmathsexam.com/_files/ugd/1ba96f_34dfb5236a424b94be30b9f91a3a8571.pdf" TargetMode="External" Id="rId24" /><Relationship Type="http://schemas.openxmlformats.org/officeDocument/2006/relationships/hyperlink" Target="https://mathsgenie.co.uk/a-level/maths/edexcel/as-pure-mathematics-1-1-index-laws" TargetMode="External" Id="rId25" /><Relationship Type="http://schemas.openxmlformats.org/officeDocument/2006/relationships/hyperlink" Target="https://assets.mathsgenie.co.uk/content/worksheets/as_level_maths/as-pure-algebraic-expressions-1f02c4c4.pdf" TargetMode="External" Id="rId26" /><Relationship Type="http://schemas.openxmlformats.org/officeDocument/2006/relationships/hyperlink" Target="https://assets.mathsgenie.co.uk/content/worksheets/a_level_maths/algebraic-expressions-ans-8768133f.pdf" TargetMode="External" Id="rId27" /><Relationship Type="http://schemas.openxmlformats.org/officeDocument/2006/relationships/hyperlink" Target="https://www.yesterdaysmathsexam.com/_files/ugd/1ba96f_fa2129a09ecb4379a002f552e895091f.pdf" TargetMode="External" Id="rId28" /><Relationship Type="http://schemas.openxmlformats.org/officeDocument/2006/relationships/hyperlink" Target="https://www.yesterdaysmathsexam.com/_files/ugd/1ba96f_0aa87b014cec40aabcda0003f6f868c6.pdf" TargetMode="External" Id="rId29" /><Relationship Type="http://schemas.openxmlformats.org/officeDocument/2006/relationships/hyperlink" Target="https://mathsgenie.co.uk/a-level/maths/edexcel/as-pure-mathematics-1-4-negative-and-fractional-indices" TargetMode="External" Id="rId30" /><Relationship Type="http://schemas.openxmlformats.org/officeDocument/2006/relationships/hyperlink" Target="https://assets.mathsgenie.co.uk/content/worksheets/as_level_maths/as-pure-algebraic-expressions-1f02c4c4.pdf" TargetMode="External" Id="rId31" /><Relationship Type="http://schemas.openxmlformats.org/officeDocument/2006/relationships/hyperlink" Target="https://assets.mathsgenie.co.uk/content/worksheets/a_level_maths/algebraic-expressions-ans-8768133f.pdf" TargetMode="External" Id="rId32" /><Relationship Type="http://schemas.openxmlformats.org/officeDocument/2006/relationships/hyperlink" Target="https://pmt.physicsandmathstutor.com/download/Maths/A-level/Pure/Exponentials-and-Logarithms-1/Edexcel-Set-C/QP/Exponential%20Equations%20QP.pdf" TargetMode="External" Id="rId33" /><Relationship Type="http://schemas.openxmlformats.org/officeDocument/2006/relationships/hyperlink" Target="https://pmt.physicsandmathstutor.com/download/Maths/A-level/Pure/Exponentials-and-Logarithms-1/Edexcel-Set-C/MS/Exponential%20Equations%20MS.pdf" TargetMode="External" Id="rId34" /><Relationship Type="http://schemas.openxmlformats.org/officeDocument/2006/relationships/hyperlink" Target="https://pmt.physicsandmathstutor.com/download/Maths/A-level/Pure/Exponentials-and-Logarithms-1/Edexcel-Set-C/MA/Exponential%20Equations%20MA.pdf" TargetMode="External" Id="rId35" /><Relationship Type="http://schemas.openxmlformats.org/officeDocument/2006/relationships/hyperlink" Target="https://www.yesterdaysmathsexam.com/_files/ugd/1ba96f_fa2129a09ecb4379a002f552e895091f.pdf" TargetMode="External" Id="rId36" /><Relationship Type="http://schemas.openxmlformats.org/officeDocument/2006/relationships/hyperlink" Target="https://www.yesterdaysmathsexam.com/_files/ugd/1ba96f_0aa87b014cec40aabcda0003f6f868c6.pdf" TargetMode="External" Id="rId37" /><Relationship Type="http://schemas.openxmlformats.org/officeDocument/2006/relationships/hyperlink" Target="https://mathsgenie.co.uk/a-level/maths/edexcel/as-pure-mathematics-1-5-surds" TargetMode="External" Id="rId38" /><Relationship Type="http://schemas.openxmlformats.org/officeDocument/2006/relationships/hyperlink" Target="https://assets.mathsgenie.co.uk/content/worksheets/as_level_maths/as-pure-algebraic-expressions-1f02c4c4.pdf" TargetMode="External" Id="rId39" /><Relationship Type="http://schemas.openxmlformats.org/officeDocument/2006/relationships/hyperlink" Target="https://assets.mathsgenie.co.uk/content/worksheets/a_level_maths/algebraic-expressions-ans-8768133f.pdf" TargetMode="External" Id="rId40" /><Relationship Type="http://schemas.openxmlformats.org/officeDocument/2006/relationships/hyperlink" Target="https://www.yesterdaysmathsexam.com/_files/ugd/1ba96f_fa2129a09ecb4379a002f552e895091f.pdf" TargetMode="External" Id="rId41" /><Relationship Type="http://schemas.openxmlformats.org/officeDocument/2006/relationships/hyperlink" Target="https://www.yesterdaysmathsexam.com/_files/ugd/1ba96f_0aa87b014cec40aabcda0003f6f868c6.pdf" TargetMode="External" Id="rId42" /><Relationship Type="http://schemas.openxmlformats.org/officeDocument/2006/relationships/hyperlink" Target="https://mathsgenie.co.uk/a-level/maths/edexcel/as-pure-mathematics-2-1-solving-quadratics" TargetMode="External" Id="rId43" /><Relationship Type="http://schemas.openxmlformats.org/officeDocument/2006/relationships/hyperlink" Target="https://assets.mathsgenie.co.uk/content/worksheets/a_level_maths/quadratics-368699de.pdf" TargetMode="External" Id="rId44" /><Relationship Type="http://schemas.openxmlformats.org/officeDocument/2006/relationships/hyperlink" Target="https://assets.mathsgenie.co.uk/content/worksheets/a_level_maths/quadratics-ans-cb70f353.pdf" TargetMode="External" Id="rId45" /><Relationship Type="http://schemas.openxmlformats.org/officeDocument/2006/relationships/hyperlink" Target="https://pmt.physicsandmathstutor.com/download/Maths/A-level/Pure/Algebra-and-Functions-1/Edexcel-Set-C/QP/Quadratics%20QP.pdf" TargetMode="External" Id="rId46" /><Relationship Type="http://schemas.openxmlformats.org/officeDocument/2006/relationships/hyperlink" Target="https://pmt.physicsandmathstutor.com/download/Maths/A-level/Pure/Algebra-and-Functions-1/Edexcel-Set-C/MS/Quadratics%20MS.pdf" TargetMode="External" Id="rId47" /><Relationship Type="http://schemas.openxmlformats.org/officeDocument/2006/relationships/hyperlink" Target="https://pmt.physicsandmathstutor.com/download/Maths/A-level/Pure/Algebra-and-Functions-1/Edexcel-Set-C/MA/Quadratics%20MA.pdf" TargetMode="External" Id="rId48" /><Relationship Type="http://schemas.openxmlformats.org/officeDocument/2006/relationships/hyperlink" Target="https://www.yesterdaysmathsexam.com/_files/ugd/1ba96f_e22773086352449e8757f2f4f6601256.pdf" TargetMode="External" Id="rId49" /><Relationship Type="http://schemas.openxmlformats.org/officeDocument/2006/relationships/hyperlink" Target="https://www.yesterdaysmathsexam.com/_files/ugd/1ba96f_5d26dee8e05a4d68aeb30e40b3a3c9c1.pdf" TargetMode="External" Id="rId50" /><Relationship Type="http://schemas.openxmlformats.org/officeDocument/2006/relationships/hyperlink" Target="https://mathsgenie.co.uk/a-level/maths/edexcel/as-pure-mathematics-2-2-completing-the-square" TargetMode="External" Id="rId51" /><Relationship Type="http://schemas.openxmlformats.org/officeDocument/2006/relationships/hyperlink" Target="https://assets.mathsgenie.co.uk/content/worksheets/a_level_maths/as-pure-completing-the-square-580b2d03.pdf" TargetMode="External" Id="rId52" /><Relationship Type="http://schemas.openxmlformats.org/officeDocument/2006/relationships/hyperlink" Target="https://assets.mathsgenie.co.uk/content/worksheets/a_level_maths/as-pure-completing-the-square-ans-8296f3e9.pdf" TargetMode="External" Id="rId53" /><Relationship Type="http://schemas.openxmlformats.org/officeDocument/2006/relationships/hyperlink" Target="https://pmt.physicsandmathstutor.com/download/Maths/A-level/Pure/Algebra-and-Functions-1/Edexcel-Set-C/QP/Quadratics%20QP.pdf" TargetMode="External" Id="rId54" /><Relationship Type="http://schemas.openxmlformats.org/officeDocument/2006/relationships/hyperlink" Target="https://pmt.physicsandmathstutor.com/download/Maths/A-level/Pure/Algebra-and-Functions-1/Edexcel-Set-C/MS/Quadratics%20MS.pdf" TargetMode="External" Id="rId55" /><Relationship Type="http://schemas.openxmlformats.org/officeDocument/2006/relationships/hyperlink" Target="https://pmt.physicsandmathstutor.com/download/Maths/A-level/Pure/Algebra-and-Functions-1/Edexcel-Set-C/MA/Quadratics%20MA.pdf" TargetMode="External" Id="rId56" /><Relationship Type="http://schemas.openxmlformats.org/officeDocument/2006/relationships/hyperlink" Target="https://www.yesterdaysmathsexam.com/_files/ugd/1ba96f_e22773086352449e8757f2f4f6601256.pdf" TargetMode="External" Id="rId57" /><Relationship Type="http://schemas.openxmlformats.org/officeDocument/2006/relationships/hyperlink" Target="https://www.yesterdaysmathsexam.com/_files/ugd/1ba96f_5d26dee8e05a4d68aeb30e40b3a3c9c1.pdf" TargetMode="External" Id="rId58" /><Relationship Type="http://schemas.openxmlformats.org/officeDocument/2006/relationships/hyperlink" Target="https://mathsgenie.co.uk/a-level/maths/edexcel/as-pure-mathematics-2-3-sketching-quadratic-graphs" TargetMode="External" Id="rId59" /><Relationship Type="http://schemas.openxmlformats.org/officeDocument/2006/relationships/hyperlink" Target="https://assets.mathsgenie.co.uk/content/worksheets/a_level_maths/quadratics-368699de.pdf" TargetMode="External" Id="rId60" /><Relationship Type="http://schemas.openxmlformats.org/officeDocument/2006/relationships/hyperlink" Target="https://assets.mathsgenie.co.uk/content/worksheets/a_level_maths/quadratics-ans-cb70f353.pdf" TargetMode="External" Id="rId61" /><Relationship Type="http://schemas.openxmlformats.org/officeDocument/2006/relationships/hyperlink" Target="https://pmt.physicsandmathstutor.com/download/Maths/A-level/Pure/Algebra-and-Functions-1/Edexcel-Set-C/QP/Quadratics%20QP.pdf" TargetMode="External" Id="rId62" /><Relationship Type="http://schemas.openxmlformats.org/officeDocument/2006/relationships/hyperlink" Target="https://pmt.physicsandmathstutor.com/download/Maths/A-level/Pure/Algebra-and-Functions-1/Edexcel-Set-C/MS/Quadratics%20MS.pdf" TargetMode="External" Id="rId63" /><Relationship Type="http://schemas.openxmlformats.org/officeDocument/2006/relationships/hyperlink" Target="https://pmt.physicsandmathstutor.com/download/Maths/A-level/Pure/Algebra-and-Functions-1/Edexcel-Set-C/MA/Quadratics%20MA.pdf" TargetMode="External" Id="rId64" /><Relationship Type="http://schemas.openxmlformats.org/officeDocument/2006/relationships/hyperlink" Target="https://www.yesterdaysmathsexam.com/_files/ugd/1ba96f_e22773086352449e8757f2f4f6601256.pdf" TargetMode="External" Id="rId65" /><Relationship Type="http://schemas.openxmlformats.org/officeDocument/2006/relationships/hyperlink" Target="https://www.yesterdaysmathsexam.com/_files/ugd/1ba96f_5d26dee8e05a4d68aeb30e40b3a3c9c1.pdf" TargetMode="External" Id="rId66" /><Relationship Type="http://schemas.openxmlformats.org/officeDocument/2006/relationships/hyperlink" Target="https://mathsgenie.co.uk/a-level/maths/edexcel/as-pure-mathematics-2-4-the-discriminant" TargetMode="External" Id="rId67" /><Relationship Type="http://schemas.openxmlformats.org/officeDocument/2006/relationships/hyperlink" Target="https://assets.mathsgenie.co.uk/content/worksheets/a_level_maths/as-pure-the-discriminant-cdb34299.pdf" TargetMode="External" Id="rId68" /><Relationship Type="http://schemas.openxmlformats.org/officeDocument/2006/relationships/hyperlink" Target="https://assets.mathsgenie.co.uk/content/worksheets/a_level_maths/as-pure-the-discriminant-ans-ecb9abd5.pdf" TargetMode="External" Id="rId69" /><Relationship Type="http://schemas.openxmlformats.org/officeDocument/2006/relationships/hyperlink" Target="https://pmt.physicsandmathstutor.com/download/Maths/A-level/Pure/Algebra-and-Functions-1/Edexcel-Set-C/QP/Quadratics%20QP.pdf" TargetMode="External" Id="rId70" /><Relationship Type="http://schemas.openxmlformats.org/officeDocument/2006/relationships/hyperlink" Target="https://pmt.physicsandmathstutor.com/download/Maths/A-level/Pure/Algebra-and-Functions-1/Edexcel-Set-C/MS/Quadratics%20MS.pdf" TargetMode="External" Id="rId71" /><Relationship Type="http://schemas.openxmlformats.org/officeDocument/2006/relationships/hyperlink" Target="https://pmt.physicsandmathstutor.com/download/Maths/A-level/Pure/Algebra-and-Functions-1/Edexcel-Set-C/MA/Quadratics%20MA.pdf" TargetMode="External" Id="rId72" /><Relationship Type="http://schemas.openxmlformats.org/officeDocument/2006/relationships/hyperlink" Target="https://www.yesterdaysmathsexam.com/_files/ugd/1ba96f_e22773086352449e8757f2f4f6601256.pdf" TargetMode="External" Id="rId73" /><Relationship Type="http://schemas.openxmlformats.org/officeDocument/2006/relationships/hyperlink" Target="https://www.yesterdaysmathsexam.com/_files/ugd/1ba96f_5d26dee8e05a4d68aeb30e40b3a3c9c1.pdf" TargetMode="External" Id="rId74" /><Relationship Type="http://schemas.openxmlformats.org/officeDocument/2006/relationships/hyperlink" Target="https://mathsgenie.co.uk/a-level/maths/edexcel/as-pure-mathematics-2-1-solving-quadratics" TargetMode="External" Id="rId75" /><Relationship Type="http://schemas.openxmlformats.org/officeDocument/2006/relationships/hyperlink" Target="https://assets.mathsgenie.co.uk/content/worksheets/a_level_maths/quadratics-368699de.pdf" TargetMode="External" Id="rId76" /><Relationship Type="http://schemas.openxmlformats.org/officeDocument/2006/relationships/hyperlink" Target="https://assets.mathsgenie.co.uk/content/worksheets/a_level_maths/quadratics-ans-cb70f353.pdf" TargetMode="External" Id="rId77" /><Relationship Type="http://schemas.openxmlformats.org/officeDocument/2006/relationships/hyperlink" Target="https://pmt.physicsandmathstutor.com/download/Maths/A-level/Pure/Algebra-and-Functions-1/Edexcel-Set-C/QP/Quadratics%20QP.pdf" TargetMode="External" Id="rId78" /><Relationship Type="http://schemas.openxmlformats.org/officeDocument/2006/relationships/hyperlink" Target="https://pmt.physicsandmathstutor.com/download/Maths/A-level/Pure/Algebra-and-Functions-1/Edexcel-Set-C/MS/Quadratics%20MS.pdf" TargetMode="External" Id="rId79" /><Relationship Type="http://schemas.openxmlformats.org/officeDocument/2006/relationships/hyperlink" Target="https://pmt.physicsandmathstutor.com/download/Maths/A-level/Pure/Algebra-and-Functions-1/Edexcel-Set-C/MA/Quadratics%20MA.pdf" TargetMode="External" Id="rId80" /><Relationship Type="http://schemas.openxmlformats.org/officeDocument/2006/relationships/hyperlink" Target="https://www.yesterdaysmathsexam.com/_files/ugd/1ba96f_e22773086352449e8757f2f4f6601256.pdf" TargetMode="External" Id="rId81" /><Relationship Type="http://schemas.openxmlformats.org/officeDocument/2006/relationships/hyperlink" Target="https://www.yesterdaysmathsexam.com/_files/ugd/1ba96f_5d26dee8e05a4d68aeb30e40b3a3c9c1.pdf" TargetMode="External" Id="rId82" /><Relationship Type="http://schemas.openxmlformats.org/officeDocument/2006/relationships/hyperlink" Target="https://mathsgenie.co.uk/a-level/maths/edexcel/as-pure-mathematics-3-1-linear-simultaneous-equations" TargetMode="External" Id="rId83" /><Relationship Type="http://schemas.openxmlformats.org/officeDocument/2006/relationships/hyperlink" Target="https://assets.mathsgenie.co.uk/content/worksheets/as_level_maths/equations-and-inequalities-dcb945d3.pdf" TargetMode="External" Id="rId84" /><Relationship Type="http://schemas.openxmlformats.org/officeDocument/2006/relationships/hyperlink" Target="https://assets.mathsgenie.co.uk/content/worksheets/as_level_maths/equations-and-inequalities-ans-0265cfa5.pdf" TargetMode="External" Id="rId85" /><Relationship Type="http://schemas.openxmlformats.org/officeDocument/2006/relationships/hyperlink" Target="https://pmt.physicsandmathstutor.com/download/Maths/A-level/Pure/Coordinate-Geometry-1/Edexcel-Set-C/QP/Straight%20Lines%20QP.pdf" TargetMode="External" Id="rId86" /><Relationship Type="http://schemas.openxmlformats.org/officeDocument/2006/relationships/hyperlink" Target="https://pmt.physicsandmathstutor.com/download/Maths/A-level/Pure/Coordinate-Geometry-1/Edexcel-Set-C/MS/Straight%20Lines%20MS.pdf" TargetMode="External" Id="rId87" /><Relationship Type="http://schemas.openxmlformats.org/officeDocument/2006/relationships/hyperlink" Target="https://pmt.physicsandmathstutor.com/download/Maths/A-level/Pure/Coordinate-Geometry-1/Edexcel-Set-C/MA/Straight%20Lines%20MA.pdf" TargetMode="External" Id="rId88" /><Relationship Type="http://schemas.openxmlformats.org/officeDocument/2006/relationships/hyperlink" Target="https://www.yesterdaysmathsexam.com/_files/ugd/1ba96f_e22773086352449e8757f2f4f6601256.pdf" TargetMode="External" Id="rId89" /><Relationship Type="http://schemas.openxmlformats.org/officeDocument/2006/relationships/hyperlink" Target="https://www.yesterdaysmathsexam.com/_files/ugd/1ba96f_5d26dee8e05a4d68aeb30e40b3a3c9c1.pdf" TargetMode="External" Id="rId90" /><Relationship Type="http://schemas.openxmlformats.org/officeDocument/2006/relationships/hyperlink" Target="https://mathsgenie.co.uk/a-level/maths/edexcel/as-pure-mathematics-3-2-quadratic-simultaneous-equations" TargetMode="External" Id="rId91" /><Relationship Type="http://schemas.openxmlformats.org/officeDocument/2006/relationships/hyperlink" Target="https://assets.mathsgenie.co.uk/content/worksheets/as_level_maths/equations-and-inequalities-dcb945d3.pdf" TargetMode="External" Id="rId92" /><Relationship Type="http://schemas.openxmlformats.org/officeDocument/2006/relationships/hyperlink" Target="https://assets.mathsgenie.co.uk/content/worksheets/as_level_maths/equations-and-inequalities-ans-0265cfa5.pdf" TargetMode="External" Id="rId93" /><Relationship Type="http://schemas.openxmlformats.org/officeDocument/2006/relationships/hyperlink" Target="https://pmt.physicsandmathstutor.com/download/Maths/A-level/Pure/Coordinate-Geometry-1/Edexcel-Set-C/QP/Circles%20QP.pdf" TargetMode="External" Id="rId94" /><Relationship Type="http://schemas.openxmlformats.org/officeDocument/2006/relationships/hyperlink" Target="https://pmt.physicsandmathstutor.com/download/Maths/A-level/Pure/Coordinate-Geometry-1/Edexcel-Set-C/MS/Circles%20MS.pdf" TargetMode="External" Id="rId95" /><Relationship Type="http://schemas.openxmlformats.org/officeDocument/2006/relationships/hyperlink" Target="https://pmt.physicsandmathstutor.com/download/Maths/A-level/Pure/Coordinate-Geometry-1/Edexcel-Set-C/MA/Circles%20MA.pdf" TargetMode="External" Id="rId96" /><Relationship Type="http://schemas.openxmlformats.org/officeDocument/2006/relationships/hyperlink" Target="https://www.yesterdaysmathsexam.com/_files/ugd/1ba96f_e22773086352449e8757f2f4f6601256.pdf" TargetMode="External" Id="rId97" /><Relationship Type="http://schemas.openxmlformats.org/officeDocument/2006/relationships/hyperlink" Target="https://www.yesterdaysmathsexam.com/_files/ugd/1ba96f_5d26dee8e05a4d68aeb30e40b3a3c9c1.pdf" TargetMode="External" Id="rId98" /><Relationship Type="http://schemas.openxmlformats.org/officeDocument/2006/relationships/hyperlink" Target="https://mathsgenie.co.uk/a-level/maths/edexcel/as-pure-mathematics-3-4-linear-inequalities" TargetMode="External" Id="rId99" /><Relationship Type="http://schemas.openxmlformats.org/officeDocument/2006/relationships/hyperlink" Target="https://assets.mathsgenie.co.uk/content/worksheets/as_level_maths/equations-and-inequalities-dcb945d3.pdf" TargetMode="External" Id="rId100" /><Relationship Type="http://schemas.openxmlformats.org/officeDocument/2006/relationships/hyperlink" Target="https://assets.mathsgenie.co.uk/content/worksheets/as_level_maths/equations-and-inequalities-ans-0265cfa5.pdf" TargetMode="External" Id="rId101" /><Relationship Type="http://schemas.openxmlformats.org/officeDocument/2006/relationships/hyperlink" Target="https://www.yesterdaysmathsexam.com/_files/ugd/1ba96f_e22773086352449e8757f2f4f6601256.pdf" TargetMode="External" Id="rId102" /><Relationship Type="http://schemas.openxmlformats.org/officeDocument/2006/relationships/hyperlink" Target="https://www.yesterdaysmathsexam.com/_files/ugd/1ba96f_5d26dee8e05a4d68aeb30e40b3a3c9c1.pdf" TargetMode="External" Id="rId103" /><Relationship Type="http://schemas.openxmlformats.org/officeDocument/2006/relationships/hyperlink" Target="https://mathsgenie.co.uk/a-level/maths/edexcel/as-pure-mathematics-3-5-quadratic-inequalities" TargetMode="External" Id="rId104" /><Relationship Type="http://schemas.openxmlformats.org/officeDocument/2006/relationships/hyperlink" Target="https://assets.mathsgenie.co.uk/content/worksheets/a_level_maths/as-pure-quadratic-inequalities-and-simultaneous-d81d56d6.pdf" TargetMode="External" Id="rId105" /><Relationship Type="http://schemas.openxmlformats.org/officeDocument/2006/relationships/hyperlink" Target="https://assets.mathsgenie.co.uk/content/worksheets/a_level_maths/as-pure-quadratic-inequalities-and-simultaneous-ans-4efbbe6f.pdf" TargetMode="External" Id="rId106" /><Relationship Type="http://schemas.openxmlformats.org/officeDocument/2006/relationships/hyperlink" Target="https://pmt.physicsandmathstutor.com/download/Maths/A-level/Pure/Algebra-and-Functions-1/Edexcel-Set-C/QP/Inequalities%20QP.pdf" TargetMode="External" Id="rId107" /><Relationship Type="http://schemas.openxmlformats.org/officeDocument/2006/relationships/hyperlink" Target="https://pmt.physicsandmathstutor.com/download/Maths/A-level/Pure/Algebra-and-Functions-1/Edexcel-Set-C/MS/Inequalities%20MS.pdf" TargetMode="External" Id="rId108" /><Relationship Type="http://schemas.openxmlformats.org/officeDocument/2006/relationships/hyperlink" Target="https://pmt.physicsandmathstutor.com/download/Maths/A-level/Pure/Algebra-and-Functions-1/Edexcel-Set-C/MA/Inequalities%20MA.pdf" TargetMode="External" Id="rId109" /><Relationship Type="http://schemas.openxmlformats.org/officeDocument/2006/relationships/hyperlink" Target="https://www.yesterdaysmathsexam.com/_files/ugd/1ba96f_e22773086352449e8757f2f4f6601256.pdf" TargetMode="External" Id="rId110" /><Relationship Type="http://schemas.openxmlformats.org/officeDocument/2006/relationships/hyperlink" Target="https://www.yesterdaysmathsexam.com/_files/ugd/1ba96f_5d26dee8e05a4d68aeb30e40b3a3c9c1.pdf" TargetMode="External" Id="rId111" /><Relationship Type="http://schemas.openxmlformats.org/officeDocument/2006/relationships/hyperlink" Target="https://mathsgenie.co.uk/a-level/maths/edexcel/as-pure-mathematics-3-6-inequalities-on-graphs" TargetMode="External" Id="rId112" /><Relationship Type="http://schemas.openxmlformats.org/officeDocument/2006/relationships/hyperlink" Target="https://assets.mathsgenie.co.uk/content/worksheets/as_level_maths/equations-and-inequalities-dcb945d3.pdf" TargetMode="External" Id="rId113" /><Relationship Type="http://schemas.openxmlformats.org/officeDocument/2006/relationships/hyperlink" Target="https://assets.mathsgenie.co.uk/content/worksheets/as_level_maths/equations-and-inequalities-ans-0265cfa5.pdf" TargetMode="External" Id="rId114" /><Relationship Type="http://schemas.openxmlformats.org/officeDocument/2006/relationships/hyperlink" Target="https://pmt.physicsandmathstutor.com/download/Maths/A-level/Pure/Algebra-and-Functions-1/Edexcel-Set-C/QP/Inequalities%20QP.pdf" TargetMode="External" Id="rId115" /><Relationship Type="http://schemas.openxmlformats.org/officeDocument/2006/relationships/hyperlink" Target="https://pmt.physicsandmathstutor.com/download/Maths/A-level/Pure/Algebra-and-Functions-1/Edexcel-Set-C/MS/Inequalities%20MS.pdf" TargetMode="External" Id="rId116" /><Relationship Type="http://schemas.openxmlformats.org/officeDocument/2006/relationships/hyperlink" Target="https://pmt.physicsandmathstutor.com/download/Maths/A-level/Pure/Algebra-and-Functions-1/Edexcel-Set-C/MA/Inequalities%20MA.pdf" TargetMode="External" Id="rId117" /><Relationship Type="http://schemas.openxmlformats.org/officeDocument/2006/relationships/hyperlink" Target="https://www.yesterdaysmathsexam.com/_files/ugd/1ba96f_e22773086352449e8757f2f4f6601256.pdf" TargetMode="External" Id="rId118" /><Relationship Type="http://schemas.openxmlformats.org/officeDocument/2006/relationships/hyperlink" Target="https://www.yesterdaysmathsexam.com/_files/ugd/1ba96f_5d26dee8e05a4d68aeb30e40b3a3c9c1.pdf" TargetMode="External" Id="rId119" /><Relationship Type="http://schemas.openxmlformats.org/officeDocument/2006/relationships/hyperlink" Target="https://mathsgenie.co.uk/a-level/maths/edexcel/as-pure-mathematics-1-2-expanding-brackets" TargetMode="External" Id="rId120" /><Relationship Type="http://schemas.openxmlformats.org/officeDocument/2006/relationships/hyperlink" Target="https://assets.mathsgenie.co.uk/content/worksheets/as_level_maths/as-pure-algebraic-expressions-1f02c4c4.pdf" TargetMode="External" Id="rId121" /><Relationship Type="http://schemas.openxmlformats.org/officeDocument/2006/relationships/hyperlink" Target="https://assets.mathsgenie.co.uk/content/worksheets/a_level_maths/algebraic-expressions-ans-8768133f.pdf" TargetMode="External" Id="rId122" /><Relationship Type="http://schemas.openxmlformats.org/officeDocument/2006/relationships/hyperlink" Target="https://www.yesterdaysmathsexam.com/_files/ugd/1ba96f_fa2129a09ecb4379a002f552e895091f.pdf" TargetMode="External" Id="rId123" /><Relationship Type="http://schemas.openxmlformats.org/officeDocument/2006/relationships/hyperlink" Target="https://www.yesterdaysmathsexam.com/_files/ugd/1ba96f_0aa87b014cec40aabcda0003f6f868c6.pdf" TargetMode="External" Id="rId124" /><Relationship Type="http://schemas.openxmlformats.org/officeDocument/2006/relationships/hyperlink" Target="https://mathsgenie.co.uk/a-level/maths/edexcel/as-pure-mathematics-1-3-factorising" TargetMode="External" Id="rId125" /><Relationship Type="http://schemas.openxmlformats.org/officeDocument/2006/relationships/hyperlink" Target="https://assets.mathsgenie.co.uk/content/worksheets/as_level_maths/as-pure-algebraic-expressions-1f02c4c4.pdf" TargetMode="External" Id="rId126" /><Relationship Type="http://schemas.openxmlformats.org/officeDocument/2006/relationships/hyperlink" Target="https://assets.mathsgenie.co.uk/content/worksheets/a_level_maths/algebraic-expressions-ans-8768133f.pdf" TargetMode="External" Id="rId127" /><Relationship Type="http://schemas.openxmlformats.org/officeDocument/2006/relationships/hyperlink" Target="https://pmt.physicsandmathstutor.com/download/Maths/A-level/Pure/Algebra-and-Functions-1/Edexcel-Set-C/QP/Factor%20Theorem%20QP.pdf" TargetMode="External" Id="rId128" /><Relationship Type="http://schemas.openxmlformats.org/officeDocument/2006/relationships/hyperlink" Target="https://pmt.physicsandmathstutor.com/download/Maths/A-level/Pure/Algebra-and-Functions-1/Edexcel-Set-C/MS/Factor%20Theorem%20MS.pdf" TargetMode="External" Id="rId129" /><Relationship Type="http://schemas.openxmlformats.org/officeDocument/2006/relationships/hyperlink" Target="https://pmt.physicsandmathstutor.com/download/Maths/A-level/Pure/Algebra-and-Functions-1/Edexcel-Set-C/MA/Factor%20Theorem%20MA.pdf" TargetMode="External" Id="rId130" /><Relationship Type="http://schemas.openxmlformats.org/officeDocument/2006/relationships/hyperlink" Target="https://www.yesterdaysmathsexam.com/_files/ugd/1ba96f_fa2129a09ecb4379a002f552e895091f.pdf" TargetMode="External" Id="rId131" /><Relationship Type="http://schemas.openxmlformats.org/officeDocument/2006/relationships/hyperlink" Target="https://www.yesterdaysmathsexam.com/_files/ugd/1ba96f_0aa87b014cec40aabcda0003f6f868c6.pdf" TargetMode="External" Id="rId132" /><Relationship Type="http://schemas.openxmlformats.org/officeDocument/2006/relationships/hyperlink" Target="https://mathsgenie.co.uk/a-level/maths/edexcel/as-pure-mathematics-7-1-algebraic-fractions" TargetMode="External" Id="rId133" /><Relationship Type="http://schemas.openxmlformats.org/officeDocument/2006/relationships/hyperlink" Target="https://assets.mathsgenie.co.uk/content/worksheets/a_level_maths/algebraic-methods-a3de4bc8.pdf" TargetMode="External" Id="rId134" /><Relationship Type="http://schemas.openxmlformats.org/officeDocument/2006/relationships/hyperlink" Target="https://assets.mathsgenie.co.uk/content/worksheets/a_level_maths/algebraic-methods-ans-9324f91d.pdf" TargetMode="External" Id="rId135" /><Relationship Type="http://schemas.openxmlformats.org/officeDocument/2006/relationships/hyperlink" Target="https://www.yesterdaysmathsexam.com/_files/ugd/1ba96f_91854f91ca9c48c9b4a14ae5451ccf7c.pdf" TargetMode="External" Id="rId136" /><Relationship Type="http://schemas.openxmlformats.org/officeDocument/2006/relationships/hyperlink" Target="https://www.yesterdaysmathsexam.com/_files/ugd/1ba96f_91d88e11265c464f93c3640439b79bdd.pdf" TargetMode="External" Id="rId137" /><Relationship Type="http://schemas.openxmlformats.org/officeDocument/2006/relationships/hyperlink" Target="https://mathsgenie.co.uk/a-level/maths/edexcel/as-pure-mathematics-7-2-dividing-polynomials" TargetMode="External" Id="rId138" /><Relationship Type="http://schemas.openxmlformats.org/officeDocument/2006/relationships/hyperlink" Target="https://assets.mathsgenie.co.uk/content/worksheets/a_level_maths/algebraic-methods-a3de4bc8.pdf" TargetMode="External" Id="rId139" /><Relationship Type="http://schemas.openxmlformats.org/officeDocument/2006/relationships/hyperlink" Target="https://assets.mathsgenie.co.uk/content/worksheets/a_level_maths/algebraic-methods-ans-9324f91d.pdf" TargetMode="External" Id="rId140" /><Relationship Type="http://schemas.openxmlformats.org/officeDocument/2006/relationships/hyperlink" Target="https://pmt.physicsandmathstutor.com/download/Maths/A-level/Pure/Algebra-and-Functions-1/Edexcel-Set-C/QP/Factor%20Theorem%20QP.pdf" TargetMode="External" Id="rId141" /><Relationship Type="http://schemas.openxmlformats.org/officeDocument/2006/relationships/hyperlink" Target="https://pmt.physicsandmathstutor.com/download/Maths/A-level/Pure/Algebra-and-Functions-1/Edexcel-Set-C/MS/Factor%20Theorem%20MS.pdf" TargetMode="External" Id="rId142" /><Relationship Type="http://schemas.openxmlformats.org/officeDocument/2006/relationships/hyperlink" Target="https://pmt.physicsandmathstutor.com/download/Maths/A-level/Pure/Algebra-and-Functions-1/Edexcel-Set-C/MA/Factor%20Theorem%20MA.pdf" TargetMode="External" Id="rId143" /><Relationship Type="http://schemas.openxmlformats.org/officeDocument/2006/relationships/hyperlink" Target="https://www.yesterdaysmathsexam.com/_files/ugd/1ba96f_91854f91ca9c48c9b4a14ae5451ccf7c.pdf" TargetMode="External" Id="rId144" /><Relationship Type="http://schemas.openxmlformats.org/officeDocument/2006/relationships/hyperlink" Target="https://www.yesterdaysmathsexam.com/_files/ugd/1ba96f_91d88e11265c464f93c3640439b79bdd.pdf" TargetMode="External" Id="rId145" /><Relationship Type="http://schemas.openxmlformats.org/officeDocument/2006/relationships/hyperlink" Target="https://mathsgenie.co.uk/a-level/maths/edexcel/as-pure-mathematics-7-3-the-factor-theorem" TargetMode="External" Id="rId146" /><Relationship Type="http://schemas.openxmlformats.org/officeDocument/2006/relationships/hyperlink" Target="https://assets.mathsgenie.co.uk/content/worksheets/a_level_maths/as-pure-factor-theorem-8d13729f.pdf" TargetMode="External" Id="rId147" /><Relationship Type="http://schemas.openxmlformats.org/officeDocument/2006/relationships/hyperlink" Target="https://assets.mathsgenie.co.uk/content/worksheets/a_level_maths/as-pure-factor-theorem-ans-01efae22.pdf" TargetMode="External" Id="rId148" /><Relationship Type="http://schemas.openxmlformats.org/officeDocument/2006/relationships/hyperlink" Target="https://pmt.physicsandmathstutor.com/download/Maths/A-level/Pure/Algebra-and-Functions-1/Edexcel-Set-C/QP/Factor%20Theorem%20QP.pdf" TargetMode="External" Id="rId149" /><Relationship Type="http://schemas.openxmlformats.org/officeDocument/2006/relationships/hyperlink" Target="https://pmt.physicsandmathstutor.com/download/Maths/A-level/Pure/Algebra-and-Functions-1/Edexcel-Set-C/MS/Factor%20Theorem%20MS.pdf" TargetMode="External" Id="rId150" /><Relationship Type="http://schemas.openxmlformats.org/officeDocument/2006/relationships/hyperlink" Target="https://pmt.physicsandmathstutor.com/download/Maths/A-level/Pure/Algebra-and-Functions-1/Edexcel-Set-C/MA/Factor%20Theorem%20MA.pdf" TargetMode="External" Id="rId151" /><Relationship Type="http://schemas.openxmlformats.org/officeDocument/2006/relationships/hyperlink" Target="https://www.yesterdaysmathsexam.com/_files/ugd/1ba96f_91854f91ca9c48c9b4a14ae5451ccf7c.pdf" TargetMode="External" Id="rId152" /><Relationship Type="http://schemas.openxmlformats.org/officeDocument/2006/relationships/hyperlink" Target="https://www.yesterdaysmathsexam.com/_files/ugd/1ba96f_91d88e11265c464f93c3640439b79bdd.pdf" TargetMode="External" Id="rId153" /><Relationship Type="http://schemas.openxmlformats.org/officeDocument/2006/relationships/hyperlink" Target="https://mathsgenie.co.uk/a-level/maths/edexcel/a-level-pure-mathematics-1-2-algebraic-fractions" TargetMode="External" Id="rId154" /><Relationship Type="http://schemas.openxmlformats.org/officeDocument/2006/relationships/hyperlink" Target="https://assets.mathsgenie.co.uk/content/worksheets/a_level_maths/a-level-algebraic-methods-67104351.pdf" TargetMode="External" Id="rId155" /><Relationship Type="http://schemas.openxmlformats.org/officeDocument/2006/relationships/hyperlink" Target="https://assets.mathsgenie.co.uk/content/worksheets/a_level_maths/a-level-algebraic-methods-ans-75eb77a6.pdf" TargetMode="External" Id="rId156" /><Relationship Type="http://schemas.openxmlformats.org/officeDocument/2006/relationships/hyperlink" Target="https://www.yesterdaysmathsexam.com/_files/ugd/1ba96f_202f299f34b448afb234a795116475aa.pdf" TargetMode="External" Id="rId157" /><Relationship Type="http://schemas.openxmlformats.org/officeDocument/2006/relationships/hyperlink" Target="https://www.yesterdaysmathsexam.com/_files/ugd/1ba96f_34dfb5236a424b94be30b9f91a3a8571.pdf" TargetMode="External" Id="rId158" /><Relationship Type="http://schemas.openxmlformats.org/officeDocument/2006/relationships/hyperlink" Target="https://mathsgenie.co.uk/a-level/maths/edexcel/a-level-pure-mathematics-1-5-algebraic-division" TargetMode="External" Id="rId159" /><Relationship Type="http://schemas.openxmlformats.org/officeDocument/2006/relationships/hyperlink" Target="https://assets.mathsgenie.co.uk/content/worksheets/a_level_maths/a-level-algebraic-methods-67104351.pdf" TargetMode="External" Id="rId160" /><Relationship Type="http://schemas.openxmlformats.org/officeDocument/2006/relationships/hyperlink" Target="https://assets.mathsgenie.co.uk/content/worksheets/a_level_maths/a-level-algebraic-methods-ans-75eb77a6.pdf" TargetMode="External" Id="rId161" /><Relationship Type="http://schemas.openxmlformats.org/officeDocument/2006/relationships/hyperlink" Target="https://pmt.physicsandmathstutor.com/download/Maths/A-level/Pure/Algebra-and-Functions-2/Edexcel-Set-C/QP/Composite%20and%20Inverse%20Functions%20QP.pdf" TargetMode="External" Id="rId162" /><Relationship Type="http://schemas.openxmlformats.org/officeDocument/2006/relationships/hyperlink" Target="https://pmt.physicsandmathstutor.com/download/Maths/A-level/Pure/Algebra-and-Functions-2/Edexcel-Set-C/MS/Composite%20and%20Inverse%20Functions%20MS.pdf" TargetMode="External" Id="rId163" /><Relationship Type="http://schemas.openxmlformats.org/officeDocument/2006/relationships/hyperlink" Target="https://pmt.physicsandmathstutor.com/download/Maths/A-level/Pure/Algebra-and-Functions-2/Edexcel-Set-C/MA/Composite%20and%20Inverse%20Functions%20MA.pdf" TargetMode="External" Id="rId164" /><Relationship Type="http://schemas.openxmlformats.org/officeDocument/2006/relationships/hyperlink" Target="https://www.yesterdaysmathsexam.com/_files/ugd/1ba96f_202f299f34b448afb234a795116475aa.pdf" TargetMode="External" Id="rId165" /><Relationship Type="http://schemas.openxmlformats.org/officeDocument/2006/relationships/hyperlink" Target="https://www.yesterdaysmathsexam.com/_files/ugd/1ba96f_34dfb5236a424b94be30b9f91a3a8571.pdf" TargetMode="External" Id="rId166" /><Relationship Type="http://schemas.openxmlformats.org/officeDocument/2006/relationships/hyperlink" Target="https://mathsgenie.co.uk/a-level/maths/edexcel/as-pure-mathematics-4-1-cubic-graphs" TargetMode="External" Id="rId167" /><Relationship Type="http://schemas.openxmlformats.org/officeDocument/2006/relationships/hyperlink" Target="https://assets.mathsgenie.co.uk/content/worksheets/as_level_maths/graphs-and-transformations-2ff373eb.pdf" TargetMode="External" Id="rId168" /><Relationship Type="http://schemas.openxmlformats.org/officeDocument/2006/relationships/hyperlink" Target="https://assets.mathsgenie.co.uk/content/worksheets/as_level_maths/graphs-and-transformations-ans-ad2c0ad7.pdf" TargetMode="External" Id="rId169" /><Relationship Type="http://schemas.openxmlformats.org/officeDocument/2006/relationships/hyperlink" Target="https://pmt.physicsandmathstutor.com/download/Maths/A-level/Pure/Algebra-and-Functions-1/Edexcel-Set-C/QP/Transformations%20and%20Graphs%20QP.pdf" TargetMode="External" Id="rId170" /><Relationship Type="http://schemas.openxmlformats.org/officeDocument/2006/relationships/hyperlink" Target="https://pmt.physicsandmathstutor.com/download/Maths/A-level/Pure/Algebra-and-Functions-1/Edexcel-Set-C/MS/Transformations%20and%20Graphs%20MS.pdf" TargetMode="External" Id="rId171" /><Relationship Type="http://schemas.openxmlformats.org/officeDocument/2006/relationships/hyperlink" Target="https://pmt.physicsandmathstutor.com/download/Maths/A-level/Pure/Algebra-and-Functions-1/Edexcel-Set-C/MA/Transformations%20and%20Graphs%20MA.pdf" TargetMode="External" Id="rId172" /><Relationship Type="http://schemas.openxmlformats.org/officeDocument/2006/relationships/hyperlink" Target="https://www.yesterdaysmathsexam.com/_files/ugd/1ba96f_91854f91ca9c48c9b4a14ae5451ccf7c.pdf" TargetMode="External" Id="rId173" /><Relationship Type="http://schemas.openxmlformats.org/officeDocument/2006/relationships/hyperlink" Target="https://www.yesterdaysmathsexam.com/_files/ugd/1ba96f_91d88e11265c464f93c3640439b79bdd.pdf" TargetMode="External" Id="rId174" /><Relationship Type="http://schemas.openxmlformats.org/officeDocument/2006/relationships/hyperlink" Target="https://mathsgenie.co.uk/a-level/maths/edexcel/as-pure-mathematics-4-2-quartic-graphs" TargetMode="External" Id="rId175" /><Relationship Type="http://schemas.openxmlformats.org/officeDocument/2006/relationships/hyperlink" Target="https://assets.mathsgenie.co.uk/content/worksheets/as_level_maths/graphs-and-transformations-2ff373eb.pdf" TargetMode="External" Id="rId176" /><Relationship Type="http://schemas.openxmlformats.org/officeDocument/2006/relationships/hyperlink" Target="https://assets.mathsgenie.co.uk/content/worksheets/as_level_maths/graphs-and-transformations-ans-ad2c0ad7.pdf" TargetMode="External" Id="rId177" /><Relationship Type="http://schemas.openxmlformats.org/officeDocument/2006/relationships/hyperlink" Target="https://www.yesterdaysmathsexam.com/_files/ugd/1ba96f_91854f91ca9c48c9b4a14ae5451ccf7c.pdf" TargetMode="External" Id="rId178" /><Relationship Type="http://schemas.openxmlformats.org/officeDocument/2006/relationships/hyperlink" Target="https://www.yesterdaysmathsexam.com/_files/ugd/1ba96f_91d88e11265c464f93c3640439b79bdd.pdf" TargetMode="External" Id="rId179" /><Relationship Type="http://schemas.openxmlformats.org/officeDocument/2006/relationships/hyperlink" Target="https://mathsgenie.co.uk/a-level/maths/edexcel/as-pure-mathematics-4-3-reciprocal-graphs" TargetMode="External" Id="rId180" /><Relationship Type="http://schemas.openxmlformats.org/officeDocument/2006/relationships/hyperlink" Target="https://assets.mathsgenie.co.uk/content/worksheets/as_level_maths/graphs-and-transformations-2ff373eb.pdf" TargetMode="External" Id="rId181" /><Relationship Type="http://schemas.openxmlformats.org/officeDocument/2006/relationships/hyperlink" Target="https://assets.mathsgenie.co.uk/content/worksheets/as_level_maths/graphs-and-transformations-ans-ad2c0ad7.pdf" TargetMode="External" Id="rId182" /><Relationship Type="http://schemas.openxmlformats.org/officeDocument/2006/relationships/hyperlink" Target="https://pmt.physicsandmathstutor.com/download/Maths/A-level/Pure/Algebra-and-Functions-1/Edexcel-Set-C/QP/Transformations%20and%20Graphs%20QP.pdf" TargetMode="External" Id="rId183" /><Relationship Type="http://schemas.openxmlformats.org/officeDocument/2006/relationships/hyperlink" Target="https://pmt.physicsandmathstutor.com/download/Maths/A-level/Pure/Algebra-and-Functions-1/Edexcel-Set-C/MS/Transformations%20and%20Graphs%20MS.pdf" TargetMode="External" Id="rId184" /><Relationship Type="http://schemas.openxmlformats.org/officeDocument/2006/relationships/hyperlink" Target="https://pmt.physicsandmathstutor.com/download/Maths/A-level/Pure/Algebra-and-Functions-1/Edexcel-Set-C/MA/Transformations%20and%20Graphs%20MA.pdf" TargetMode="External" Id="rId185" /><Relationship Type="http://schemas.openxmlformats.org/officeDocument/2006/relationships/hyperlink" Target="https://www.yesterdaysmathsexam.com/_files/ugd/1ba96f_91854f91ca9c48c9b4a14ae5451ccf7c.pdf" TargetMode="External" Id="rId186" /><Relationship Type="http://schemas.openxmlformats.org/officeDocument/2006/relationships/hyperlink" Target="https://www.yesterdaysmathsexam.com/_files/ugd/1ba96f_91d88e11265c464f93c3640439b79bdd.pdf" TargetMode="External" Id="rId187" /><Relationship Type="http://schemas.openxmlformats.org/officeDocument/2006/relationships/hyperlink" Target="https://mathsgenie.co.uk/a-level/maths/edexcel/as-pure-mathematics-4-4-points-of-intersection" TargetMode="External" Id="rId188" /><Relationship Type="http://schemas.openxmlformats.org/officeDocument/2006/relationships/hyperlink" Target="https://assets.mathsgenie.co.uk/content/worksheets/as_level_maths/graphs-and-transformations-2ff373eb.pdf" TargetMode="External" Id="rId189" /><Relationship Type="http://schemas.openxmlformats.org/officeDocument/2006/relationships/hyperlink" Target="https://assets.mathsgenie.co.uk/content/worksheets/as_level_maths/graphs-and-transformations-ans-ad2c0ad7.pdf" TargetMode="External" Id="rId190" /><Relationship Type="http://schemas.openxmlformats.org/officeDocument/2006/relationships/hyperlink" Target="https://pmt.physicsandmathstutor.com/download/Maths/A-level/Pure/Algebra-and-Functions-1/Edexcel-Set-C/QP/Transformations%20and%20Graphs%20QP.pdf" TargetMode="External" Id="rId191" /><Relationship Type="http://schemas.openxmlformats.org/officeDocument/2006/relationships/hyperlink" Target="https://pmt.physicsandmathstutor.com/download/Maths/A-level/Pure/Algebra-and-Functions-1/Edexcel-Set-C/MS/Transformations%20and%20Graphs%20MS.pdf" TargetMode="External" Id="rId192" /><Relationship Type="http://schemas.openxmlformats.org/officeDocument/2006/relationships/hyperlink" Target="https://pmt.physicsandmathstutor.com/download/Maths/A-level/Pure/Algebra-and-Functions-1/Edexcel-Set-C/MA/Transformations%20and%20Graphs%20MA.pdf" TargetMode="External" Id="rId193" /><Relationship Type="http://schemas.openxmlformats.org/officeDocument/2006/relationships/hyperlink" Target="https://www.yesterdaysmathsexam.com/_files/ugd/1ba96f_91854f91ca9c48c9b4a14ae5451ccf7c.pdf" TargetMode="External" Id="rId194" /><Relationship Type="http://schemas.openxmlformats.org/officeDocument/2006/relationships/hyperlink" Target="https://www.yesterdaysmathsexam.com/_files/ugd/1ba96f_91d88e11265c464f93c3640439b79bdd.pdf" TargetMode="External" Id="rId195" /><Relationship Type="http://schemas.openxmlformats.org/officeDocument/2006/relationships/hyperlink" Target="https://mathsgenie.co.uk/a-level/maths/edexcel/as-pure-mathematics-4-graphs-and-transformations" TargetMode="External" Id="rId196" /><Relationship Type="http://schemas.openxmlformats.org/officeDocument/2006/relationships/hyperlink" Target="https://assets.mathsgenie.co.uk/content/worksheets/as_level_maths/graphs-and-transformations-2ff373eb.pdf" TargetMode="External" Id="rId197" /><Relationship Type="http://schemas.openxmlformats.org/officeDocument/2006/relationships/hyperlink" Target="https://assets.mathsgenie.co.uk/content/worksheets/as_level_maths/graphs-and-transformations-ans-ad2c0ad7.pdf" TargetMode="External" Id="rId198" /><Relationship Type="http://schemas.openxmlformats.org/officeDocument/2006/relationships/hyperlink" Target="https://www.yesterdaysmathsexam.com/_files/ugd/1ba96f_91854f91ca9c48c9b4a14ae5451ccf7c.pdf" TargetMode="External" Id="rId199" /><Relationship Type="http://schemas.openxmlformats.org/officeDocument/2006/relationships/hyperlink" Target="https://www.yesterdaysmathsexam.com/_files/ugd/1ba96f_91d88e11265c464f93c3640439b79bdd.pdf" TargetMode="External" Id="rId200" /><Relationship Type="http://schemas.openxmlformats.org/officeDocument/2006/relationships/hyperlink" Target="https://mathsgenie.co.uk/a-level/maths/edexcel/a-level-pure-mathematics-2-1-the-modulus-function" TargetMode="External" Id="rId201" /><Relationship Type="http://schemas.openxmlformats.org/officeDocument/2006/relationships/hyperlink" Target="https://assets.mathsgenie.co.uk/content/worksheets/a_level_maths/functions-and-graphs-e0302bb2.pdf" TargetMode="External" Id="rId202" /><Relationship Type="http://schemas.openxmlformats.org/officeDocument/2006/relationships/hyperlink" Target="https://assets.mathsgenie.co.uk/content/worksheets/a_level_maths/functions-and-graphs-ans-f4112813.pdf" TargetMode="External" Id="rId203" /><Relationship Type="http://schemas.openxmlformats.org/officeDocument/2006/relationships/hyperlink" Target="https://pmt.physicsandmathstutor.com/download/Maths/A-level/Pure/Algebra-and-Functions-2/Edexcel-Set-C/QP/Modulus%20of%20Functions%20QP.pdf" TargetMode="External" Id="rId204" /><Relationship Type="http://schemas.openxmlformats.org/officeDocument/2006/relationships/hyperlink" Target="https://pmt.physicsandmathstutor.com/download/Maths/A-level/Pure/Algebra-and-Functions-2/Edexcel-Set-C/MS/Modulus%20of%20Functions%20MS.pdf" TargetMode="External" Id="rId205" /><Relationship Type="http://schemas.openxmlformats.org/officeDocument/2006/relationships/hyperlink" Target="https://pmt.physicsandmathstutor.com/download/Maths/A-level/Pure/Algebra-and-Functions-2/Edexcel-Set-C/MA/Modulus%20of%20Functions%20MA.pdf" TargetMode="External" Id="rId206" /><Relationship Type="http://schemas.openxmlformats.org/officeDocument/2006/relationships/hyperlink" Target="https://www.yesterdaysmathsexam.com/_files/ugd/1ba96f_aabff9387fa64b2bb34c007c086f1967.pdf" TargetMode="External" Id="rId207" /><Relationship Type="http://schemas.openxmlformats.org/officeDocument/2006/relationships/hyperlink" Target="https://www.yesterdaysmathsexam.com/_files/ugd/1ba96f_32378d56df784deaabe0fa8114e895ca.pdf" TargetMode="External" Id="rId208" /><Relationship Type="http://schemas.openxmlformats.org/officeDocument/2006/relationships/hyperlink" Target="https://mathsgenie.co.uk/a-level/maths/edexcel/a-level-pure-mathematics-2-7-solving-modulus-problems" TargetMode="External" Id="rId209" /><Relationship Type="http://schemas.openxmlformats.org/officeDocument/2006/relationships/hyperlink" Target="https://assets.mathsgenie.co.uk/content/worksheets/a_level_maths/functions-and-graphs-e0302bb2.pdf" TargetMode="External" Id="rId210" /><Relationship Type="http://schemas.openxmlformats.org/officeDocument/2006/relationships/hyperlink" Target="https://assets.mathsgenie.co.uk/content/worksheets/a_level_maths/functions-and-graphs-ans-f4112813.pdf" TargetMode="External" Id="rId211" /><Relationship Type="http://schemas.openxmlformats.org/officeDocument/2006/relationships/hyperlink" Target="https://pmt.physicsandmathstutor.com/download/Maths/A-level/Pure/Algebra-and-Functions-2/Edexcel-Set-C/QP/Modulus%20of%20Functions%20QP.pdf" TargetMode="External" Id="rId212" /><Relationship Type="http://schemas.openxmlformats.org/officeDocument/2006/relationships/hyperlink" Target="https://pmt.physicsandmathstutor.com/download/Maths/A-level/Pure/Algebra-and-Functions-2/Edexcel-Set-C/MS/Modulus%20of%20Functions%20MS.pdf" TargetMode="External" Id="rId213" /><Relationship Type="http://schemas.openxmlformats.org/officeDocument/2006/relationships/hyperlink" Target="https://pmt.physicsandmathstutor.com/download/Maths/A-level/Pure/Algebra-and-Functions-2/Edexcel-Set-C/MA/Modulus%20of%20Functions%20MA.pdf" TargetMode="External" Id="rId214" /><Relationship Type="http://schemas.openxmlformats.org/officeDocument/2006/relationships/hyperlink" Target="https://www.yesterdaysmathsexam.com/_files/ugd/1ba96f_aabff9387fa64b2bb34c007c086f1967.pdf" TargetMode="External" Id="rId215" /><Relationship Type="http://schemas.openxmlformats.org/officeDocument/2006/relationships/hyperlink" Target="https://www.yesterdaysmathsexam.com/_files/ugd/1ba96f_32378d56df784deaabe0fa8114e895ca.pdf" TargetMode="External" Id="rId216" /><Relationship Type="http://schemas.openxmlformats.org/officeDocument/2006/relationships/hyperlink" Target="https://mathsgenie.co.uk/a-level/maths/edexcel/a-level-pure-mathematics-2-2-functions-and-mappings" TargetMode="External" Id="rId217" /><Relationship Type="http://schemas.openxmlformats.org/officeDocument/2006/relationships/hyperlink" Target="https://assets.mathsgenie.co.uk/content/worksheets/a_level_maths/functions-and-graphs-e0302bb2.pdf" TargetMode="External" Id="rId218" /><Relationship Type="http://schemas.openxmlformats.org/officeDocument/2006/relationships/hyperlink" Target="https://assets.mathsgenie.co.uk/content/worksheets/a_level_maths/functions-and-graphs-ans-f4112813.pdf" TargetMode="External" Id="rId219" /><Relationship Type="http://schemas.openxmlformats.org/officeDocument/2006/relationships/hyperlink" Target="https://pmt.physicsandmathstutor.com/download/Maths/A-level/Pure/Algebra-and-Functions-2/Edexcel-Set-C/QP/Composite%20and%20Inverse%20Functions%20QP.pdf" TargetMode="External" Id="rId220" /><Relationship Type="http://schemas.openxmlformats.org/officeDocument/2006/relationships/hyperlink" Target="https://pmt.physicsandmathstutor.com/download/Maths/A-level/Pure/Algebra-and-Functions-2/Edexcel-Set-C/MS/Composite%20and%20Inverse%20Functions%20MS.pdf" TargetMode="External" Id="rId221" /><Relationship Type="http://schemas.openxmlformats.org/officeDocument/2006/relationships/hyperlink" Target="https://pmt.physicsandmathstutor.com/download/Maths/A-level/Pure/Algebra-and-Functions-2/Edexcel-Set-C/MA/Composite%20and%20Inverse%20Functions%20MA.pdf" TargetMode="External" Id="rId222" /><Relationship Type="http://schemas.openxmlformats.org/officeDocument/2006/relationships/hyperlink" Target="https://www.yesterdaysmathsexam.com/_files/ugd/1ba96f_aabff9387fa64b2bb34c007c086f1967.pdf" TargetMode="External" Id="rId223" /><Relationship Type="http://schemas.openxmlformats.org/officeDocument/2006/relationships/hyperlink" Target="https://www.yesterdaysmathsexam.com/_files/ugd/1ba96f_32378d56df784deaabe0fa8114e895ca.pdf" TargetMode="External" Id="rId224" /><Relationship Type="http://schemas.openxmlformats.org/officeDocument/2006/relationships/hyperlink" Target="https://mathsgenie.co.uk/a-level/maths/edexcel/a-level-pure-mathematics-2-3-composite-functions" TargetMode="External" Id="rId225" /><Relationship Type="http://schemas.openxmlformats.org/officeDocument/2006/relationships/hyperlink" Target="https://assets.mathsgenie.co.uk/content/worksheets/a_level_maths/functions-and-graphs-e0302bb2.pdf" TargetMode="External" Id="rId226" /><Relationship Type="http://schemas.openxmlformats.org/officeDocument/2006/relationships/hyperlink" Target="https://assets.mathsgenie.co.uk/content/worksheets/a_level_maths/functions-and-graphs-ans-f4112813.pdf" TargetMode="External" Id="rId227" /><Relationship Type="http://schemas.openxmlformats.org/officeDocument/2006/relationships/hyperlink" Target="https://pmt.physicsandmathstutor.com/download/Maths/A-level/Pure/Algebra-and-Functions-2/Edexcel-Set-C/QP/Composite%20and%20Inverse%20Functions%20QP.pdf" TargetMode="External" Id="rId228" /><Relationship Type="http://schemas.openxmlformats.org/officeDocument/2006/relationships/hyperlink" Target="https://pmt.physicsandmathstutor.com/download/Maths/A-level/Pure/Algebra-and-Functions-2/Edexcel-Set-C/MS/Composite%20and%20Inverse%20Functions%20MS.pdf" TargetMode="External" Id="rId229" /><Relationship Type="http://schemas.openxmlformats.org/officeDocument/2006/relationships/hyperlink" Target="https://pmt.physicsandmathstutor.com/download/Maths/A-level/Pure/Algebra-and-Functions-2/Edexcel-Set-C/MA/Composite%20and%20Inverse%20Functions%20MA.pdf" TargetMode="External" Id="rId230" /><Relationship Type="http://schemas.openxmlformats.org/officeDocument/2006/relationships/hyperlink" Target="https://www.yesterdaysmathsexam.com/_files/ugd/1ba96f_aabff9387fa64b2bb34c007c086f1967.pdf" TargetMode="External" Id="rId231" /><Relationship Type="http://schemas.openxmlformats.org/officeDocument/2006/relationships/hyperlink" Target="https://www.yesterdaysmathsexam.com/_files/ugd/1ba96f_32378d56df784deaabe0fa8114e895ca.pdf" TargetMode="External" Id="rId232" /><Relationship Type="http://schemas.openxmlformats.org/officeDocument/2006/relationships/hyperlink" Target="https://mathsgenie.co.uk/a-level/maths/edexcel/a-level-pure-mathematics-2-4-inverse-functions" TargetMode="External" Id="rId233" /><Relationship Type="http://schemas.openxmlformats.org/officeDocument/2006/relationships/hyperlink" Target="https://assets.mathsgenie.co.uk/content/worksheets/a_level_maths/functions-and-graphs-e0302bb2.pdf" TargetMode="External" Id="rId234" /><Relationship Type="http://schemas.openxmlformats.org/officeDocument/2006/relationships/hyperlink" Target="https://assets.mathsgenie.co.uk/content/worksheets/a_level_maths/functions-and-graphs-ans-f4112813.pdf" TargetMode="External" Id="rId235" /><Relationship Type="http://schemas.openxmlformats.org/officeDocument/2006/relationships/hyperlink" Target="https://pmt.physicsandmathstutor.com/download/Maths/A-level/Pure/Algebra-and-Functions-2/Edexcel-Set-C/QP/Composite%20and%20Inverse%20Functions%20QP.pdf" TargetMode="External" Id="rId236" /><Relationship Type="http://schemas.openxmlformats.org/officeDocument/2006/relationships/hyperlink" Target="https://pmt.physicsandmathstutor.com/download/Maths/A-level/Pure/Algebra-and-Functions-2/Edexcel-Set-C/MS/Composite%20and%20Inverse%20Functions%20MS.pdf" TargetMode="External" Id="rId237" /><Relationship Type="http://schemas.openxmlformats.org/officeDocument/2006/relationships/hyperlink" Target="https://pmt.physicsandmathstutor.com/download/Maths/A-level/Pure/Algebra-and-Functions-2/Edexcel-Set-C/MA/Composite%20and%20Inverse%20Functions%20MA.pdf" TargetMode="External" Id="rId238" /><Relationship Type="http://schemas.openxmlformats.org/officeDocument/2006/relationships/hyperlink" Target="https://www.yesterdaysmathsexam.com/_files/ugd/1ba96f_aabff9387fa64b2bb34c007c086f1967.pdf" TargetMode="External" Id="rId239" /><Relationship Type="http://schemas.openxmlformats.org/officeDocument/2006/relationships/hyperlink" Target="https://www.yesterdaysmathsexam.com/_files/ugd/1ba96f_32378d56df784deaabe0fa8114e895ca.pdf" TargetMode="External" Id="rId240" /><Relationship Type="http://schemas.openxmlformats.org/officeDocument/2006/relationships/hyperlink" Target="https://mathsgenie.co.uk/a-level/maths/edexcel/as-pure-mathematics-4-5-translating-graphs" TargetMode="External" Id="rId241" /><Relationship Type="http://schemas.openxmlformats.org/officeDocument/2006/relationships/hyperlink" Target="https://assets.mathsgenie.co.uk/content/worksheets/as_level_maths/graphs-and-transformations-2ff373eb.pdf" TargetMode="External" Id="rId242" /><Relationship Type="http://schemas.openxmlformats.org/officeDocument/2006/relationships/hyperlink" Target="https://assets.mathsgenie.co.uk/content/worksheets/as_level_maths/graphs-and-transformations-ans-ad2c0ad7.pdf" TargetMode="External" Id="rId243" /><Relationship Type="http://schemas.openxmlformats.org/officeDocument/2006/relationships/hyperlink" Target="https://pmt.physicsandmathstutor.com/download/Maths/A-level/Pure/Algebra-and-Functions-1/Edexcel-Set-C/QP/Transformations%20and%20Graphs%20QP.pdf" TargetMode="External" Id="rId244" /><Relationship Type="http://schemas.openxmlformats.org/officeDocument/2006/relationships/hyperlink" Target="https://pmt.physicsandmathstutor.com/download/Maths/A-level/Pure/Algebra-and-Functions-1/Edexcel-Set-C/MS/Transformations%20and%20Graphs%20MS.pdf" TargetMode="External" Id="rId245" /><Relationship Type="http://schemas.openxmlformats.org/officeDocument/2006/relationships/hyperlink" Target="https://pmt.physicsandmathstutor.com/download/Maths/A-level/Pure/Algebra-and-Functions-1/Edexcel-Set-C/MA/Transformations%20and%20Graphs%20MA.pdf" TargetMode="External" Id="rId246" /><Relationship Type="http://schemas.openxmlformats.org/officeDocument/2006/relationships/hyperlink" Target="https://www.yesterdaysmathsexam.com/_files/ugd/1ba96f_91854f91ca9c48c9b4a14ae5451ccf7c.pdf" TargetMode="External" Id="rId247" /><Relationship Type="http://schemas.openxmlformats.org/officeDocument/2006/relationships/hyperlink" Target="https://www.yesterdaysmathsexam.com/_files/ugd/1ba96f_91d88e11265c464f93c3640439b79bdd.pdf" TargetMode="External" Id="rId248" /><Relationship Type="http://schemas.openxmlformats.org/officeDocument/2006/relationships/hyperlink" Target="https://mathsgenie.co.uk/a-level/maths/edexcel/as-pure-mathematics-4-6-stretching-graphs" TargetMode="External" Id="rId249" /><Relationship Type="http://schemas.openxmlformats.org/officeDocument/2006/relationships/hyperlink" Target="https://assets.mathsgenie.co.uk/content/worksheets/as_level_maths/graphs-and-transformations-2ff373eb.pdf" TargetMode="External" Id="rId250" /><Relationship Type="http://schemas.openxmlformats.org/officeDocument/2006/relationships/hyperlink" Target="https://assets.mathsgenie.co.uk/content/worksheets/as_level_maths/graphs-and-transformations-ans-ad2c0ad7.pdf" TargetMode="External" Id="rId251" /><Relationship Type="http://schemas.openxmlformats.org/officeDocument/2006/relationships/hyperlink" Target="https://pmt.physicsandmathstutor.com/download/Maths/A-level/Pure/Algebra-and-Functions-1/Edexcel-Set-C/QP/Transformations%20and%20Graphs%20QP.pdf" TargetMode="External" Id="rId252" /><Relationship Type="http://schemas.openxmlformats.org/officeDocument/2006/relationships/hyperlink" Target="https://pmt.physicsandmathstutor.com/download/Maths/A-level/Pure/Algebra-and-Functions-1/Edexcel-Set-C/MS/Transformations%20and%20Graphs%20MS.pdf" TargetMode="External" Id="rId253" /><Relationship Type="http://schemas.openxmlformats.org/officeDocument/2006/relationships/hyperlink" Target="https://pmt.physicsandmathstutor.com/download/Maths/A-level/Pure/Algebra-and-Functions-1/Edexcel-Set-C/MA/Transformations%20and%20Graphs%20MA.pdf" TargetMode="External" Id="rId254" /><Relationship Type="http://schemas.openxmlformats.org/officeDocument/2006/relationships/hyperlink" Target="https://www.yesterdaysmathsexam.com/_files/ugd/1ba96f_91854f91ca9c48c9b4a14ae5451ccf7c.pdf" TargetMode="External" Id="rId255" /><Relationship Type="http://schemas.openxmlformats.org/officeDocument/2006/relationships/hyperlink" Target="https://www.yesterdaysmathsexam.com/_files/ugd/1ba96f_91d88e11265c464f93c3640439b79bdd.pdf" TargetMode="External" Id="rId256" /><Relationship Type="http://schemas.openxmlformats.org/officeDocument/2006/relationships/hyperlink" Target="https://mathsgenie.co.uk/a-level/maths/edexcel/as-pure-mathematics-4-7-transforming-functions" TargetMode="External" Id="rId257" /><Relationship Type="http://schemas.openxmlformats.org/officeDocument/2006/relationships/hyperlink" Target="https://assets.mathsgenie.co.uk/content/worksheets/as_level_maths/graphs-and-transformations-2ff373eb.pdf" TargetMode="External" Id="rId258" /><Relationship Type="http://schemas.openxmlformats.org/officeDocument/2006/relationships/hyperlink" Target="https://assets.mathsgenie.co.uk/content/worksheets/as_level_maths/graphs-and-transformations-ans-ad2c0ad7.pdf" TargetMode="External" Id="rId259" /><Relationship Type="http://schemas.openxmlformats.org/officeDocument/2006/relationships/hyperlink" Target="https://pmt.physicsandmathstutor.com/download/Maths/A-level/Pure/Algebra-and-Functions-2/Edexcel-Set-C/QP/Modulus%20of%20Functions%20QP.pdf" TargetMode="External" Id="rId260" /><Relationship Type="http://schemas.openxmlformats.org/officeDocument/2006/relationships/hyperlink" Target="https://pmt.physicsandmathstutor.com/download/Maths/A-level/Pure/Algebra-and-Functions-2/Edexcel-Set-C/MS/Modulus%20of%20Functions%20MS.pdf" TargetMode="External" Id="rId261" /><Relationship Type="http://schemas.openxmlformats.org/officeDocument/2006/relationships/hyperlink" Target="https://pmt.physicsandmathstutor.com/download/Maths/A-level/Pure/Algebra-and-Functions-2/Edexcel-Set-C/MA/Modulus%20of%20Functions%20MA.pdf" TargetMode="External" Id="rId262" /><Relationship Type="http://schemas.openxmlformats.org/officeDocument/2006/relationships/hyperlink" Target="https://www.yesterdaysmathsexam.com/_files/ugd/1ba96f_91854f91ca9c48c9b4a14ae5451ccf7c.pdf" TargetMode="External" Id="rId263" /><Relationship Type="http://schemas.openxmlformats.org/officeDocument/2006/relationships/hyperlink" Target="https://www.yesterdaysmathsexam.com/_files/ugd/1ba96f_91d88e11265c464f93c3640439b79bdd.pdf" TargetMode="External" Id="rId264" /><Relationship Type="http://schemas.openxmlformats.org/officeDocument/2006/relationships/hyperlink" Target="https://mathsgenie.co.uk/a-level/maths/edexcel/a-level-pure-mathematics-2-5-y-f-x-and-y-f-x" TargetMode="External" Id="rId265" /><Relationship Type="http://schemas.openxmlformats.org/officeDocument/2006/relationships/hyperlink" Target="https://assets.mathsgenie.co.uk/content/worksheets/a_level_maths/functions-and-graphs-e0302bb2.pdf" TargetMode="External" Id="rId266" /><Relationship Type="http://schemas.openxmlformats.org/officeDocument/2006/relationships/hyperlink" Target="https://assets.mathsgenie.co.uk/content/worksheets/a_level_maths/functions-and-graphs-ans-f4112813.pdf" TargetMode="External" Id="rId267" /><Relationship Type="http://schemas.openxmlformats.org/officeDocument/2006/relationships/hyperlink" Target="https://www.yesterdaysmathsexam.com/_files/ugd/1ba96f_aabff9387fa64b2bb34c007c086f1967.pdf" TargetMode="External" Id="rId268" /><Relationship Type="http://schemas.openxmlformats.org/officeDocument/2006/relationships/hyperlink" Target="https://www.yesterdaysmathsexam.com/_files/ugd/1ba96f_32378d56df784deaabe0fa8114e895ca.pdf" TargetMode="External" Id="rId269" /><Relationship Type="http://schemas.openxmlformats.org/officeDocument/2006/relationships/hyperlink" Target="https://mathsgenie.co.uk/a-level/maths/edexcel/a-level-pure-mathematics-2-6-combining-transformations" TargetMode="External" Id="rId270" /><Relationship Type="http://schemas.openxmlformats.org/officeDocument/2006/relationships/hyperlink" Target="https://assets.mathsgenie.co.uk/content/worksheets/a_level_maths/functions-and-graphs-e0302bb2.pdf" TargetMode="External" Id="rId271" /><Relationship Type="http://schemas.openxmlformats.org/officeDocument/2006/relationships/hyperlink" Target="https://assets.mathsgenie.co.uk/content/worksheets/a_level_maths/functions-and-graphs-ans-f4112813.pdf" TargetMode="External" Id="rId272" /><Relationship Type="http://schemas.openxmlformats.org/officeDocument/2006/relationships/hyperlink" Target="https://pmt.physicsandmathstutor.com/download/Maths/A-level/Pure/Algebra-and-Functions-1/Edexcel-Set-C/QP/Transformations%20and%20Graphs%20QP.pdf" TargetMode="External" Id="rId273" /><Relationship Type="http://schemas.openxmlformats.org/officeDocument/2006/relationships/hyperlink" Target="https://pmt.physicsandmathstutor.com/download/Maths/A-level/Pure/Algebra-and-Functions-1/Edexcel-Set-C/MS/Transformations%20and%20Graphs%20MS.pdf" TargetMode="External" Id="rId274" /><Relationship Type="http://schemas.openxmlformats.org/officeDocument/2006/relationships/hyperlink" Target="https://pmt.physicsandmathstutor.com/download/Maths/A-level/Pure/Algebra-and-Functions-1/Edexcel-Set-C/MA/Transformations%20and%20Graphs%20MA.pdf" TargetMode="External" Id="rId275" /><Relationship Type="http://schemas.openxmlformats.org/officeDocument/2006/relationships/hyperlink" Target="https://www.yesterdaysmathsexam.com/_files/ugd/1ba96f_aabff9387fa64b2bb34c007c086f1967.pdf" TargetMode="External" Id="rId276" /><Relationship Type="http://schemas.openxmlformats.org/officeDocument/2006/relationships/hyperlink" Target="https://www.yesterdaysmathsexam.com/_files/ugd/1ba96f_32378d56df784deaabe0fa8114e895ca.pdf" TargetMode="External" Id="rId277" /><Relationship Type="http://schemas.openxmlformats.org/officeDocument/2006/relationships/hyperlink" Target="https://mathsgenie.co.uk/a-level/maths/edexcel/a-level-pure-mathematics-1-3-partial-fractions" TargetMode="External" Id="rId278" /><Relationship Type="http://schemas.openxmlformats.org/officeDocument/2006/relationships/hyperlink" Target="https://assets.mathsgenie.co.uk/content/worksheets/a_level_maths/a-level-algebraic-methods-67104351.pdf" TargetMode="External" Id="rId279" /><Relationship Type="http://schemas.openxmlformats.org/officeDocument/2006/relationships/hyperlink" Target="https://assets.mathsgenie.co.uk/content/worksheets/a_level_maths/a-level-algebraic-methods-ans-75eb77a6.pdf" TargetMode="External" Id="rId280" /><Relationship Type="http://schemas.openxmlformats.org/officeDocument/2006/relationships/hyperlink" Target="https://pmt.physicsandmathstutor.com/download/Maths/A-level/Pure/Algebra-and-Functions-2/Edexcel-Set-C/QP/Partial%20Fractions%20QP.pdf" TargetMode="External" Id="rId281" /><Relationship Type="http://schemas.openxmlformats.org/officeDocument/2006/relationships/hyperlink" Target="https://pmt.physicsandmathstutor.com/download/Maths/A-level/Pure/Algebra-and-Functions-2/Edexcel-Set-C/MS/Partial%20Fractions%20MS.pdf" TargetMode="External" Id="rId282" /><Relationship Type="http://schemas.openxmlformats.org/officeDocument/2006/relationships/hyperlink" Target="https://pmt.physicsandmathstutor.com/download/Maths/A-level/Pure/Algebra-and-Functions-2/Edexcel-Set-C/MA/Partial%20Fractions%20MA.pdf" TargetMode="External" Id="rId283" /><Relationship Type="http://schemas.openxmlformats.org/officeDocument/2006/relationships/hyperlink" Target="https://www.yesterdaysmathsexam.com/_files/ugd/1ba96f_202f299f34b448afb234a795116475aa.pdf" TargetMode="External" Id="rId284" /><Relationship Type="http://schemas.openxmlformats.org/officeDocument/2006/relationships/hyperlink" Target="https://www.yesterdaysmathsexam.com/_files/ugd/1ba96f_34dfb5236a424b94be30b9f91a3a8571.pdf" TargetMode="External" Id="rId285" /><Relationship Type="http://schemas.openxmlformats.org/officeDocument/2006/relationships/hyperlink" Target="https://mathsgenie.co.uk/a-level/maths/edexcel/a-level-pure-mathematics-1-4-repeated-factors" TargetMode="External" Id="rId286" /><Relationship Type="http://schemas.openxmlformats.org/officeDocument/2006/relationships/hyperlink" Target="https://assets.mathsgenie.co.uk/content/worksheets/a_level_maths/a-level-algebraic-methods-67104351.pdf" TargetMode="External" Id="rId287" /><Relationship Type="http://schemas.openxmlformats.org/officeDocument/2006/relationships/hyperlink" Target="https://assets.mathsgenie.co.uk/content/worksheets/a_level_maths/a-level-algebraic-methods-ans-75eb77a6.pdf" TargetMode="External" Id="rId288" /><Relationship Type="http://schemas.openxmlformats.org/officeDocument/2006/relationships/hyperlink" Target="https://pmt.physicsandmathstutor.com/download/Maths/A-level/Pure/Algebra-and-Functions-2/Edexcel-Set-C/QP/Partial%20Fractions%20QP.pdf" TargetMode="External" Id="rId289" /><Relationship Type="http://schemas.openxmlformats.org/officeDocument/2006/relationships/hyperlink" Target="https://pmt.physicsandmathstutor.com/download/Maths/A-level/Pure/Algebra-and-Functions-2/Edexcel-Set-C/MS/Partial%20Fractions%20MS.pdf" TargetMode="External" Id="rId290" /><Relationship Type="http://schemas.openxmlformats.org/officeDocument/2006/relationships/hyperlink" Target="https://pmt.physicsandmathstutor.com/download/Maths/A-level/Pure/Algebra-and-Functions-2/Edexcel-Set-C/MA/Partial%20Fractions%20MA.pdf" TargetMode="External" Id="rId291" /><Relationship Type="http://schemas.openxmlformats.org/officeDocument/2006/relationships/hyperlink" Target="https://www.yesterdaysmathsexam.com/_files/ugd/1ba96f_202f299f34b448afb234a795116475aa.pdf" TargetMode="External" Id="rId292" /><Relationship Type="http://schemas.openxmlformats.org/officeDocument/2006/relationships/hyperlink" Target="https://www.yesterdaysmathsexam.com/_files/ugd/1ba96f_34dfb5236a424b94be30b9f91a3a8571.pdf" TargetMode="External" Id="rId293" /><Relationship Type="http://schemas.openxmlformats.org/officeDocument/2006/relationships/hyperlink" Target="https://mathsgenie.co.uk/a-level/maths/edexcel/as-pure-mathematics-2-5-modelling-with-quadratics" TargetMode="External" Id="rId294" /><Relationship Type="http://schemas.openxmlformats.org/officeDocument/2006/relationships/hyperlink" Target="https://assets.mathsgenie.co.uk/content/worksheets/a_level_maths/quadratics-368699de.pdf" TargetMode="External" Id="rId295" /><Relationship Type="http://schemas.openxmlformats.org/officeDocument/2006/relationships/hyperlink" Target="https://assets.mathsgenie.co.uk/content/worksheets/a_level_maths/quadratics-ans-cb70f353.pdf" TargetMode="External" Id="rId296" /><Relationship Type="http://schemas.openxmlformats.org/officeDocument/2006/relationships/hyperlink" Target="https://pmt.physicsandmathstutor.com/download/Maths/A-level/Pure/Algebra-and-Functions-1/Edexcel-Set-C/QP/Quadratics%20QP.pdf" TargetMode="External" Id="rId297" /><Relationship Type="http://schemas.openxmlformats.org/officeDocument/2006/relationships/hyperlink" Target="https://pmt.physicsandmathstutor.com/download/Maths/A-level/Pure/Algebra-and-Functions-1/Edexcel-Set-C/MS/Quadratics%20MS.pdf" TargetMode="External" Id="rId298" /><Relationship Type="http://schemas.openxmlformats.org/officeDocument/2006/relationships/hyperlink" Target="https://pmt.physicsandmathstutor.com/download/Maths/A-level/Pure/Algebra-and-Functions-1/Edexcel-Set-C/MA/Quadratics%20MA.pdf" TargetMode="External" Id="rId299" /><Relationship Type="http://schemas.openxmlformats.org/officeDocument/2006/relationships/hyperlink" Target="https://www.yesterdaysmathsexam.com/_files/ugd/1ba96f_e22773086352449e8757f2f4f6601256.pdf" TargetMode="External" Id="rId300" /><Relationship Type="http://schemas.openxmlformats.org/officeDocument/2006/relationships/hyperlink" Target="https://www.yesterdaysmathsexam.com/_files/ugd/1ba96f_5d26dee8e05a4d68aeb30e40b3a3c9c1.pdf" TargetMode="External" Id="rId301" /><Relationship Type="http://schemas.openxmlformats.org/officeDocument/2006/relationships/hyperlink" Target="https://mathsgenie.co.uk/a-level/maths/edexcel/as-pure-mathematics-5-1-y-mx-c" TargetMode="External" Id="rId302" /><Relationship Type="http://schemas.openxmlformats.org/officeDocument/2006/relationships/hyperlink" Target="https://assets.mathsgenie.co.uk/content/worksheets/a_level_maths/straight-line-graphs-292c4a26.pdf" TargetMode="External" Id="rId303" /><Relationship Type="http://schemas.openxmlformats.org/officeDocument/2006/relationships/hyperlink" Target="https://assets.mathsgenie.co.uk/content/worksheets/a_level_maths/straight-line-graphs-ans-005ba0f8.pdf" TargetMode="External" Id="rId304" /><Relationship Type="http://schemas.openxmlformats.org/officeDocument/2006/relationships/hyperlink" Target="https://pmt.physicsandmathstutor.com/download/Maths/A-level/Pure/Coordinate-Geometry-1/Edexcel-Set-C/QP/Straight%20Lines%20QP.pdf" TargetMode="External" Id="rId305" /><Relationship Type="http://schemas.openxmlformats.org/officeDocument/2006/relationships/hyperlink" Target="https://pmt.physicsandmathstutor.com/download/Maths/A-level/Pure/Coordinate-Geometry-1/Edexcel-Set-C/MS/Straight%20Lines%20MS.pdf" TargetMode="External" Id="rId306" /><Relationship Type="http://schemas.openxmlformats.org/officeDocument/2006/relationships/hyperlink" Target="https://pmt.physicsandmathstutor.com/download/Maths/A-level/Pure/Coordinate-Geometry-1/Edexcel-Set-C/MA/Straight%20Lines%20MA.pdf" TargetMode="External" Id="rId307" /><Relationship Type="http://schemas.openxmlformats.org/officeDocument/2006/relationships/hyperlink" Target="https://www.yesterdaysmathsexam.com/_files/ugd/1ba96f_0c034f6ab83040e294803ce31407d2a9.pdf" TargetMode="External" Id="rId308" /><Relationship Type="http://schemas.openxmlformats.org/officeDocument/2006/relationships/hyperlink" Target="https://www.yesterdaysmathsexam.com/_files/ugd/1ba96f_58c2b569086c4f6faecee67913c86a4d.pdf" TargetMode="External" Id="rId309" /><Relationship Type="http://schemas.openxmlformats.org/officeDocument/2006/relationships/hyperlink" Target="https://mathsgenie.co.uk/a-level/maths/edexcel/as-pure-mathematics-5-2-equations-of-straight-lines" TargetMode="External" Id="rId310" /><Relationship Type="http://schemas.openxmlformats.org/officeDocument/2006/relationships/hyperlink" Target="https://assets.mathsgenie.co.uk/content/worksheets/a_level_maths/straight-line-graphs-292c4a26.pdf" TargetMode="External" Id="rId311" /><Relationship Type="http://schemas.openxmlformats.org/officeDocument/2006/relationships/hyperlink" Target="https://assets.mathsgenie.co.uk/content/worksheets/a_level_maths/straight-line-graphs-ans-005ba0f8.pdf" TargetMode="External" Id="rId312" /><Relationship Type="http://schemas.openxmlformats.org/officeDocument/2006/relationships/hyperlink" Target="https://pmt.physicsandmathstutor.com/download/Maths/A-level/Pure/Coordinate-Geometry-1/Edexcel-Set-C/QP/Straight%20Lines%20QP.pdf" TargetMode="External" Id="rId313" /><Relationship Type="http://schemas.openxmlformats.org/officeDocument/2006/relationships/hyperlink" Target="https://pmt.physicsandmathstutor.com/download/Maths/A-level/Pure/Coordinate-Geometry-1/Edexcel-Set-C/MS/Straight%20Lines%20MS.pdf" TargetMode="External" Id="rId314" /><Relationship Type="http://schemas.openxmlformats.org/officeDocument/2006/relationships/hyperlink" Target="https://pmt.physicsandmathstutor.com/download/Maths/A-level/Pure/Coordinate-Geometry-1/Edexcel-Set-C/MA/Straight%20Lines%20MA.pdf" TargetMode="External" Id="rId315" /><Relationship Type="http://schemas.openxmlformats.org/officeDocument/2006/relationships/hyperlink" Target="https://www.yesterdaysmathsexam.com/_files/ugd/1ba96f_0c034f6ab83040e294803ce31407d2a9.pdf" TargetMode="External" Id="rId316" /><Relationship Type="http://schemas.openxmlformats.org/officeDocument/2006/relationships/hyperlink" Target="https://www.yesterdaysmathsexam.com/_files/ugd/1ba96f_58c2b569086c4f6faecee67913c86a4d.pdf" TargetMode="External" Id="rId317" /><Relationship Type="http://schemas.openxmlformats.org/officeDocument/2006/relationships/hyperlink" Target="https://mathsgenie.co.uk/a-level/maths/edexcel/as-pure-mathematics-5-3-parallel-and-perpendicular-lines" TargetMode="External" Id="rId318" /><Relationship Type="http://schemas.openxmlformats.org/officeDocument/2006/relationships/hyperlink" Target="https://assets.mathsgenie.co.uk/content/worksheets/a_level_maths/straight-line-graphs-292c4a26.pdf" TargetMode="External" Id="rId319" /><Relationship Type="http://schemas.openxmlformats.org/officeDocument/2006/relationships/hyperlink" Target="https://assets.mathsgenie.co.uk/content/worksheets/a_level_maths/straight-line-graphs-ans-005ba0f8.pdf" TargetMode="External" Id="rId320" /><Relationship Type="http://schemas.openxmlformats.org/officeDocument/2006/relationships/hyperlink" Target="https://pmt.physicsandmathstutor.com/download/Maths/A-level/Pure/Coordinate-Geometry-1/Edexcel-Set-C/QP/Straight%20Lines%20QP.pdf" TargetMode="External" Id="rId321" /><Relationship Type="http://schemas.openxmlformats.org/officeDocument/2006/relationships/hyperlink" Target="https://pmt.physicsandmathstutor.com/download/Maths/A-level/Pure/Coordinate-Geometry-1/Edexcel-Set-C/MS/Straight%20Lines%20MS.pdf" TargetMode="External" Id="rId322" /><Relationship Type="http://schemas.openxmlformats.org/officeDocument/2006/relationships/hyperlink" Target="https://pmt.physicsandmathstutor.com/download/Maths/A-level/Pure/Coordinate-Geometry-1/Edexcel-Set-C/MA/Straight%20Lines%20MA.pdf" TargetMode="External" Id="rId323" /><Relationship Type="http://schemas.openxmlformats.org/officeDocument/2006/relationships/hyperlink" Target="https://www.yesterdaysmathsexam.com/_files/ugd/1ba96f_0c034f6ab83040e294803ce31407d2a9.pdf" TargetMode="External" Id="rId324" /><Relationship Type="http://schemas.openxmlformats.org/officeDocument/2006/relationships/hyperlink" Target="https://www.yesterdaysmathsexam.com/_files/ugd/1ba96f_58c2b569086c4f6faecee67913c86a4d.pdf" TargetMode="External" Id="rId325" /><Relationship Type="http://schemas.openxmlformats.org/officeDocument/2006/relationships/hyperlink" Target="https://mathsgenie.co.uk/a-level/maths/edexcel/as-pure-mathematics-5-4-length-and-area" TargetMode="External" Id="rId326" /><Relationship Type="http://schemas.openxmlformats.org/officeDocument/2006/relationships/hyperlink" Target="https://assets.mathsgenie.co.uk/content/worksheets/a_level_maths/straight-line-graphs-292c4a26.pdf" TargetMode="External" Id="rId327" /><Relationship Type="http://schemas.openxmlformats.org/officeDocument/2006/relationships/hyperlink" Target="https://assets.mathsgenie.co.uk/content/worksheets/a_level_maths/straight-line-graphs-ans-005ba0f8.pdf" TargetMode="External" Id="rId328" /><Relationship Type="http://schemas.openxmlformats.org/officeDocument/2006/relationships/hyperlink" Target="https://pmt.physicsandmathstutor.com/download/Maths/A-level/Pure/Coordinate-Geometry-1/Edexcel-Set-C/QP/Straight%20Lines%20QP.pdf" TargetMode="External" Id="rId329" /><Relationship Type="http://schemas.openxmlformats.org/officeDocument/2006/relationships/hyperlink" Target="https://pmt.physicsandmathstutor.com/download/Maths/A-level/Pure/Coordinate-Geometry-1/Edexcel-Set-C/MS/Straight%20Lines%20MS.pdf" TargetMode="External" Id="rId330" /><Relationship Type="http://schemas.openxmlformats.org/officeDocument/2006/relationships/hyperlink" Target="https://pmt.physicsandmathstutor.com/download/Maths/A-level/Pure/Coordinate-Geometry-1/Edexcel-Set-C/MA/Straight%20Lines%20MA.pdf" TargetMode="External" Id="rId331" /><Relationship Type="http://schemas.openxmlformats.org/officeDocument/2006/relationships/hyperlink" Target="https://www.yesterdaysmathsexam.com/_files/ugd/1ba96f_0c034f6ab83040e294803ce31407d2a9.pdf" TargetMode="External" Id="rId332" /><Relationship Type="http://schemas.openxmlformats.org/officeDocument/2006/relationships/hyperlink" Target="https://www.yesterdaysmathsexam.com/_files/ugd/1ba96f_58c2b569086c4f6faecee67913c86a4d.pdf" TargetMode="External" Id="rId333" /><Relationship Type="http://schemas.openxmlformats.org/officeDocument/2006/relationships/hyperlink" Target="https://mathsgenie.co.uk/a-level/maths/edexcel/as-pure-mathematics-5-5-modelling-with-straight-lines" TargetMode="External" Id="rId334" /><Relationship Type="http://schemas.openxmlformats.org/officeDocument/2006/relationships/hyperlink" Target="https://assets.mathsgenie.co.uk/content/worksheets/a_level_maths/straight-line-graphs-292c4a26.pdf" TargetMode="External" Id="rId335" /><Relationship Type="http://schemas.openxmlformats.org/officeDocument/2006/relationships/hyperlink" Target="https://assets.mathsgenie.co.uk/content/worksheets/a_level_maths/straight-line-graphs-ans-005ba0f8.pdf" TargetMode="External" Id="rId336" /><Relationship Type="http://schemas.openxmlformats.org/officeDocument/2006/relationships/hyperlink" Target="https://pmt.physicsandmathstutor.com/download/Maths/A-level/Pure/Coordinate-Geometry-1/Edexcel-Set-C/QP/Linear%20Models%20QP.pdf" TargetMode="External" Id="rId337" /><Relationship Type="http://schemas.openxmlformats.org/officeDocument/2006/relationships/hyperlink" Target="https://pmt.physicsandmathstutor.com/download/Maths/A-level/Pure/Coordinate-Geometry-1/Edexcel-Set-C/MS/Linear%20Models%20MS.pdf" TargetMode="External" Id="rId338" /><Relationship Type="http://schemas.openxmlformats.org/officeDocument/2006/relationships/hyperlink" Target="https://pmt.physicsandmathstutor.com/download/Maths/A-level/Pure/Coordinate-Geometry-1/Edexcel-Set-C/MA/Linear%20Models%20MA.pdf" TargetMode="External" Id="rId339" /><Relationship Type="http://schemas.openxmlformats.org/officeDocument/2006/relationships/hyperlink" Target="https://www.yesterdaysmathsexam.com/_files/ugd/1ba96f_0c034f6ab83040e294803ce31407d2a9.pdf" TargetMode="External" Id="rId340" /><Relationship Type="http://schemas.openxmlformats.org/officeDocument/2006/relationships/hyperlink" Target="https://www.yesterdaysmathsexam.com/_files/ugd/1ba96f_58c2b569086c4f6faecee67913c86a4d.pdf" TargetMode="External" Id="rId341" /><Relationship Type="http://schemas.openxmlformats.org/officeDocument/2006/relationships/hyperlink" Target="https://mathsgenie.co.uk/a-level/maths/edexcel/as-pure-mathematics-6-1-midpoints-and-perpendicular-bisectors" TargetMode="External" Id="rId342" /><Relationship Type="http://schemas.openxmlformats.org/officeDocument/2006/relationships/hyperlink" Target="https://assets.mathsgenie.co.uk/content/worksheets/a_level_maths/circles-f6b421fc.pdf" TargetMode="External" Id="rId343" /><Relationship Type="http://schemas.openxmlformats.org/officeDocument/2006/relationships/hyperlink" Target="https://assets.mathsgenie.co.uk/content/worksheets/a_level_maths/circles-ans-e9cff5dc.pdf" TargetMode="External" Id="rId344" /><Relationship Type="http://schemas.openxmlformats.org/officeDocument/2006/relationships/hyperlink" Target="https://www.yesterdaysmathsexam.com/_files/ugd/1ba96f_137fddacd6a741eea1c38a996d8b2e17.pdf" TargetMode="External" Id="rId345" /><Relationship Type="http://schemas.openxmlformats.org/officeDocument/2006/relationships/hyperlink" Target="https://www.yesterdaysmathsexam.com/_files/ugd/1ba96f_28606260e6214f7998dbba87694ffce4.pdf" TargetMode="External" Id="rId346" /><Relationship Type="http://schemas.openxmlformats.org/officeDocument/2006/relationships/hyperlink" Target="https://mathsgenie.co.uk/a-level/maths/edexcel/as-pure-mathematics-6-2-equation-of-a-circle" TargetMode="External" Id="rId347" /><Relationship Type="http://schemas.openxmlformats.org/officeDocument/2006/relationships/hyperlink" Target="https://assets.mathsgenie.co.uk/content/worksheets/a_level_maths/as-pure-equation-of-a-circle-dd6b60df.pdf" TargetMode="External" Id="rId348" /><Relationship Type="http://schemas.openxmlformats.org/officeDocument/2006/relationships/hyperlink" Target="https://assets.mathsgenie.co.uk/content/worksheets/a_level_maths/as-pure-equation-of-a-circle-ans-b821a7c5.pdf" TargetMode="External" Id="rId349" /><Relationship Type="http://schemas.openxmlformats.org/officeDocument/2006/relationships/hyperlink" Target="https://pmt.physicsandmathstutor.com/download/Maths/A-level/Pure/Coordinate-Geometry-1/Edexcel-Set-C/QP/Circles%20QP.pdf" TargetMode="External" Id="rId350" /><Relationship Type="http://schemas.openxmlformats.org/officeDocument/2006/relationships/hyperlink" Target="https://pmt.physicsandmathstutor.com/download/Maths/A-level/Pure/Coordinate-Geometry-1/Edexcel-Set-C/MS/Circles%20MS.pdf" TargetMode="External" Id="rId351" /><Relationship Type="http://schemas.openxmlformats.org/officeDocument/2006/relationships/hyperlink" Target="https://pmt.physicsandmathstutor.com/download/Maths/A-level/Pure/Coordinate-Geometry-1/Edexcel-Set-C/MA/Circles%20MA.pdf" TargetMode="External" Id="rId352" /><Relationship Type="http://schemas.openxmlformats.org/officeDocument/2006/relationships/hyperlink" Target="https://www.yesterdaysmathsexam.com/_files/ugd/1ba96f_137fddacd6a741eea1c38a996d8b2e17.pdf" TargetMode="External" Id="rId353" /><Relationship Type="http://schemas.openxmlformats.org/officeDocument/2006/relationships/hyperlink" Target="https://www.yesterdaysmathsexam.com/_files/ugd/1ba96f_28606260e6214f7998dbba87694ffce4.pdf" TargetMode="External" Id="rId354" /><Relationship Type="http://schemas.openxmlformats.org/officeDocument/2006/relationships/hyperlink" Target="https://mathsgenie.co.uk/a-level/maths/edexcel/as-pure-mathematics-6-3-intersections-of-straight-lines-and-circles" TargetMode="External" Id="rId355" /><Relationship Type="http://schemas.openxmlformats.org/officeDocument/2006/relationships/hyperlink" Target="https://assets.mathsgenie.co.uk/content/worksheets/a_level_maths/circles-f6b421fc.pdf" TargetMode="External" Id="rId356" /><Relationship Type="http://schemas.openxmlformats.org/officeDocument/2006/relationships/hyperlink" Target="https://assets.mathsgenie.co.uk/content/worksheets/a_level_maths/circles-ans-e9cff5dc.pdf" TargetMode="External" Id="rId357" /><Relationship Type="http://schemas.openxmlformats.org/officeDocument/2006/relationships/hyperlink" Target="https://pmt.physicsandmathstutor.com/download/Maths/A-level/Pure/Coordinate-Geometry-1/Edexcel-Set-C/QP/Circles%20QP.pdf" TargetMode="External" Id="rId358" /><Relationship Type="http://schemas.openxmlformats.org/officeDocument/2006/relationships/hyperlink" Target="https://pmt.physicsandmathstutor.com/download/Maths/A-level/Pure/Coordinate-Geometry-1/Edexcel-Set-C/MS/Circles%20MS.pdf" TargetMode="External" Id="rId359" /><Relationship Type="http://schemas.openxmlformats.org/officeDocument/2006/relationships/hyperlink" Target="https://pmt.physicsandmathstutor.com/download/Maths/A-level/Pure/Coordinate-Geometry-1/Edexcel-Set-C/MA/Circles%20MA.pdf" TargetMode="External" Id="rId360" /><Relationship Type="http://schemas.openxmlformats.org/officeDocument/2006/relationships/hyperlink" Target="https://www.yesterdaysmathsexam.com/_files/ugd/1ba96f_137fddacd6a741eea1c38a996d8b2e17.pdf" TargetMode="External" Id="rId361" /><Relationship Type="http://schemas.openxmlformats.org/officeDocument/2006/relationships/hyperlink" Target="https://www.yesterdaysmathsexam.com/_files/ugd/1ba96f_28606260e6214f7998dbba87694ffce4.pdf" TargetMode="External" Id="rId362" /><Relationship Type="http://schemas.openxmlformats.org/officeDocument/2006/relationships/hyperlink" Target="https://mathsgenie.co.uk/a-level/maths/edexcel/as-pure-mathematics-6-4-use-tangent-and-chord-properties" TargetMode="External" Id="rId363" /><Relationship Type="http://schemas.openxmlformats.org/officeDocument/2006/relationships/hyperlink" Target="https://assets.mathsgenie.co.uk/content/worksheets/a_level_maths/circles-f6b421fc.pdf" TargetMode="External" Id="rId364" /><Relationship Type="http://schemas.openxmlformats.org/officeDocument/2006/relationships/hyperlink" Target="https://assets.mathsgenie.co.uk/content/worksheets/a_level_maths/circles-ans-e9cff5dc.pdf" TargetMode="External" Id="rId365" /><Relationship Type="http://schemas.openxmlformats.org/officeDocument/2006/relationships/hyperlink" Target="https://pmt.physicsandmathstutor.com/download/Maths/A-level/Pure/Coordinate-Geometry-1/Edexcel-Set-C/QP/Circles%20QP.pdf" TargetMode="External" Id="rId366" /><Relationship Type="http://schemas.openxmlformats.org/officeDocument/2006/relationships/hyperlink" Target="https://pmt.physicsandmathstutor.com/download/Maths/A-level/Pure/Coordinate-Geometry-1/Edexcel-Set-C/MS/Circles%20MS.pdf" TargetMode="External" Id="rId367" /><Relationship Type="http://schemas.openxmlformats.org/officeDocument/2006/relationships/hyperlink" Target="https://pmt.physicsandmathstutor.com/download/Maths/A-level/Pure/Coordinate-Geometry-1/Edexcel-Set-C/MA/Circles%20MA.pdf" TargetMode="External" Id="rId368" /><Relationship Type="http://schemas.openxmlformats.org/officeDocument/2006/relationships/hyperlink" Target="https://www.yesterdaysmathsexam.com/_files/ugd/1ba96f_137fddacd6a741eea1c38a996d8b2e17.pdf" TargetMode="External" Id="rId369" /><Relationship Type="http://schemas.openxmlformats.org/officeDocument/2006/relationships/hyperlink" Target="https://www.yesterdaysmathsexam.com/_files/ugd/1ba96f_28606260e6214f7998dbba87694ffce4.pdf" TargetMode="External" Id="rId370" /><Relationship Type="http://schemas.openxmlformats.org/officeDocument/2006/relationships/hyperlink" Target="https://mathsgenie.co.uk/a-level/maths/edexcel/as-pure-mathematics-6-5-circles-and-triangles" TargetMode="External" Id="rId371" /><Relationship Type="http://schemas.openxmlformats.org/officeDocument/2006/relationships/hyperlink" Target="https://assets.mathsgenie.co.uk/content/worksheets/a_level_maths/circles-f6b421fc.pdf" TargetMode="External" Id="rId372" /><Relationship Type="http://schemas.openxmlformats.org/officeDocument/2006/relationships/hyperlink" Target="https://assets.mathsgenie.co.uk/content/worksheets/a_level_maths/circles-ans-e9cff5dc.pdf" TargetMode="External" Id="rId373" /><Relationship Type="http://schemas.openxmlformats.org/officeDocument/2006/relationships/hyperlink" Target="https://www.yesterdaysmathsexam.com/_files/ugd/1ba96f_137fddacd6a741eea1c38a996d8b2e17.pdf" TargetMode="External" Id="rId374" /><Relationship Type="http://schemas.openxmlformats.org/officeDocument/2006/relationships/hyperlink" Target="https://www.yesterdaysmathsexam.com/_files/ugd/1ba96f_28606260e6214f7998dbba87694ffce4.pdf" TargetMode="External" Id="rId375" /><Relationship Type="http://schemas.openxmlformats.org/officeDocument/2006/relationships/hyperlink" Target="https://mathsgenie.co.uk/a-level/maths/edexcel/a-level-pure-mathematics-8-1-parametric-equations" TargetMode="External" Id="rId376" /><Relationship Type="http://schemas.openxmlformats.org/officeDocument/2006/relationships/hyperlink" Target="https://assets.mathsgenie.co.uk/content/worksheets/a_level_maths/parametric-equations-37ac7b71.pdf" TargetMode="External" Id="rId377" /><Relationship Type="http://schemas.openxmlformats.org/officeDocument/2006/relationships/hyperlink" Target="https://assets.mathsgenie.co.uk/content/worksheets/a_level_maths/parametric-equations-ans-f9e3d49c.pdf" TargetMode="External" Id="rId378" /><Relationship Type="http://schemas.openxmlformats.org/officeDocument/2006/relationships/hyperlink" Target="https://pmt.physicsandmathstutor.com/download/Maths/A-level/Pure/Coordinate-Geometry-2/Edexcel-Set-C/QP/Parametric%20Equations%20QP.pdf" TargetMode="External" Id="rId379" /><Relationship Type="http://schemas.openxmlformats.org/officeDocument/2006/relationships/hyperlink" Target="https://pmt.physicsandmathstutor.com/download/Maths/A-level/Pure/Coordinate-Geometry-2/Edexcel-Set-C/MS/Parametric%20Equations%20MS.pdf" TargetMode="External" Id="rId380" /><Relationship Type="http://schemas.openxmlformats.org/officeDocument/2006/relationships/hyperlink" Target="https://pmt.physicsandmathstutor.com/download/Maths/A-level/Pure/Coordinate-Geometry-2/Edexcel-Set-C/MA/Parametric%20Equations%20MA.pdf" TargetMode="External" Id="rId381" /><Relationship Type="http://schemas.openxmlformats.org/officeDocument/2006/relationships/hyperlink" Target="https://www.yesterdaysmathsexam.com/_files/ugd/1ba96f_73cb3a284cb4426e98f4d6371973d180.pdf" TargetMode="External" Id="rId382" /><Relationship Type="http://schemas.openxmlformats.org/officeDocument/2006/relationships/hyperlink" Target="https://www.yesterdaysmathsexam.com/_files/ugd/1ba96f_814e620dfe4648c684796a46e5dac697.pdf" TargetMode="External" Id="rId383" /><Relationship Type="http://schemas.openxmlformats.org/officeDocument/2006/relationships/hyperlink" Target="https://mathsgenie.co.uk/a-level/maths/edexcel/a-level-pure-mathematics-8-2-using-trigonometric-identities" TargetMode="External" Id="rId384" /><Relationship Type="http://schemas.openxmlformats.org/officeDocument/2006/relationships/hyperlink" Target="https://assets.mathsgenie.co.uk/content/worksheets/a_level_maths/parametric-equations-37ac7b71.pdf" TargetMode="External" Id="rId385" /><Relationship Type="http://schemas.openxmlformats.org/officeDocument/2006/relationships/hyperlink" Target="https://assets.mathsgenie.co.uk/content/worksheets/a_level_maths/parametric-equations-ans-f9e3d49c.pdf" TargetMode="External" Id="rId386" /><Relationship Type="http://schemas.openxmlformats.org/officeDocument/2006/relationships/hyperlink" Target="https://pmt.physicsandmathstutor.com/download/Maths/A-level/Pure/Differentiation-2/Edexcel-Set-C/QP/Parametric%20Differentiation%20QP.pdf" TargetMode="External" Id="rId387" /><Relationship Type="http://schemas.openxmlformats.org/officeDocument/2006/relationships/hyperlink" Target="https://pmt.physicsandmathstutor.com/download/Maths/A-level/Pure/Differentiation-2/Edexcel-Set-C/MS/Parametric%20Differentiation%20MS.pdf" TargetMode="External" Id="rId388" /><Relationship Type="http://schemas.openxmlformats.org/officeDocument/2006/relationships/hyperlink" Target="https://pmt.physicsandmathstutor.com/download/Maths/A-level/Pure/Differentiation-2/Edexcel-Set-C/MA/Parametric%20Differentiation%20MA.pdf" TargetMode="External" Id="rId389" /><Relationship Type="http://schemas.openxmlformats.org/officeDocument/2006/relationships/hyperlink" Target="https://www.yesterdaysmathsexam.com/_files/ugd/1ba96f_73cb3a284cb4426e98f4d6371973d180.pdf" TargetMode="External" Id="rId390" /><Relationship Type="http://schemas.openxmlformats.org/officeDocument/2006/relationships/hyperlink" Target="https://www.yesterdaysmathsexam.com/_files/ugd/1ba96f_814e620dfe4648c684796a46e5dac697.pdf" TargetMode="External" Id="rId391" /><Relationship Type="http://schemas.openxmlformats.org/officeDocument/2006/relationships/hyperlink" Target="https://mathsgenie.co.uk/a-level/maths/edexcel/a-level-pure-mathematics-8-3-curve-sketching" TargetMode="External" Id="rId392" /><Relationship Type="http://schemas.openxmlformats.org/officeDocument/2006/relationships/hyperlink" Target="https://assets.mathsgenie.co.uk/content/worksheets/a_level_maths/parametric-equations-37ac7b71.pdf" TargetMode="External" Id="rId393" /><Relationship Type="http://schemas.openxmlformats.org/officeDocument/2006/relationships/hyperlink" Target="https://assets.mathsgenie.co.uk/content/worksheets/a_level_maths/parametric-equations-ans-f9e3d49c.pdf" TargetMode="External" Id="rId394" /><Relationship Type="http://schemas.openxmlformats.org/officeDocument/2006/relationships/hyperlink" Target="https://www.yesterdaysmathsexam.com/_files/ugd/1ba96f_73cb3a284cb4426e98f4d6371973d180.pdf" TargetMode="External" Id="rId395" /><Relationship Type="http://schemas.openxmlformats.org/officeDocument/2006/relationships/hyperlink" Target="https://www.yesterdaysmathsexam.com/_files/ugd/1ba96f_814e620dfe4648c684796a46e5dac697.pdf" TargetMode="External" Id="rId396" /><Relationship Type="http://schemas.openxmlformats.org/officeDocument/2006/relationships/hyperlink" Target="https://mathsgenie.co.uk/a-level/maths/edexcel/a-level-pure-mathematics-8-4-points-of-intersection" TargetMode="External" Id="rId397" /><Relationship Type="http://schemas.openxmlformats.org/officeDocument/2006/relationships/hyperlink" Target="https://assets.mathsgenie.co.uk/content/worksheets/a_level_maths/parametric-equations-37ac7b71.pdf" TargetMode="External" Id="rId398" /><Relationship Type="http://schemas.openxmlformats.org/officeDocument/2006/relationships/hyperlink" Target="https://assets.mathsgenie.co.uk/content/worksheets/a_level_maths/parametric-equations-ans-f9e3d49c.pdf" TargetMode="External" Id="rId399" /><Relationship Type="http://schemas.openxmlformats.org/officeDocument/2006/relationships/hyperlink" Target="https://pmt.physicsandmathstutor.com/download/Maths/A-level/Pure/Differentiation-2/Edexcel-Set-C/QP/Parametric%20Differentiation%20QP.pdf" TargetMode="External" Id="rId400" /><Relationship Type="http://schemas.openxmlformats.org/officeDocument/2006/relationships/hyperlink" Target="https://pmt.physicsandmathstutor.com/download/Maths/A-level/Pure/Differentiation-2/Edexcel-Set-C/MS/Parametric%20Differentiation%20MS.pdf" TargetMode="External" Id="rId401" /><Relationship Type="http://schemas.openxmlformats.org/officeDocument/2006/relationships/hyperlink" Target="https://pmt.physicsandmathstutor.com/download/Maths/A-level/Pure/Differentiation-2/Edexcel-Set-C/MA/Parametric%20Differentiation%20MA.pdf" TargetMode="External" Id="rId402" /><Relationship Type="http://schemas.openxmlformats.org/officeDocument/2006/relationships/hyperlink" Target="https://www.yesterdaysmathsexam.com/_files/ugd/1ba96f_73cb3a284cb4426e98f4d6371973d180.pdf" TargetMode="External" Id="rId403" /><Relationship Type="http://schemas.openxmlformats.org/officeDocument/2006/relationships/hyperlink" Target="https://www.yesterdaysmathsexam.com/_files/ugd/1ba96f_814e620dfe4648c684796a46e5dac697.pdf" TargetMode="External" Id="rId404" /><Relationship Type="http://schemas.openxmlformats.org/officeDocument/2006/relationships/hyperlink" Target="https://mathsgenie.co.uk/a-level/maths/edexcel/a-level-pure-mathematics-8-5-modelling-with-parametric-equations" TargetMode="External" Id="rId405" /><Relationship Type="http://schemas.openxmlformats.org/officeDocument/2006/relationships/hyperlink" Target="https://assets.mathsgenie.co.uk/content/worksheets/a_level_maths/parametric-equations-37ac7b71.pdf" TargetMode="External" Id="rId406" /><Relationship Type="http://schemas.openxmlformats.org/officeDocument/2006/relationships/hyperlink" Target="https://assets.mathsgenie.co.uk/content/worksheets/a_level_maths/parametric-equations-ans-f9e3d49c.pdf" TargetMode="External" Id="rId407" /><Relationship Type="http://schemas.openxmlformats.org/officeDocument/2006/relationships/hyperlink" Target="https://www.yesterdaysmathsexam.com/_files/ugd/1ba96f_73cb3a284cb4426e98f4d6371973d180.pdf" TargetMode="External" Id="rId408" /><Relationship Type="http://schemas.openxmlformats.org/officeDocument/2006/relationships/hyperlink" Target="https://www.yesterdaysmathsexam.com/_files/ugd/1ba96f_814e620dfe4648c684796a46e5dac697.pdf" TargetMode="External" Id="rId409" /><Relationship Type="http://schemas.openxmlformats.org/officeDocument/2006/relationships/hyperlink" Target="https://mathsgenie.co.uk/a-level/maths/edexcel/as-pure-mathematics-8-2-factorial-notation" TargetMode="External" Id="rId410" /><Relationship Type="http://schemas.openxmlformats.org/officeDocument/2006/relationships/hyperlink" Target="https://assets.mathsgenie.co.uk/content/worksheets/as_level_maths/the-binomial-expansion-5c869b97.pdf" TargetMode="External" Id="rId411" /><Relationship Type="http://schemas.openxmlformats.org/officeDocument/2006/relationships/hyperlink" Target="https://assets.mathsgenie.co.uk/content/worksheets/as_level_maths/the-binomial-expansion-ans-2a6c8fcf.pdf" TargetMode="External" Id="rId412" /><Relationship Type="http://schemas.openxmlformats.org/officeDocument/2006/relationships/hyperlink" Target="https://pmt.physicsandmathstutor.com/download/Maths/A-level/Pure/Sequences-and-Series-1/Edexcel-Set-C/QP/Binomial%20Expansion%20QP.pdf" TargetMode="External" Id="rId413" /><Relationship Type="http://schemas.openxmlformats.org/officeDocument/2006/relationships/hyperlink" Target="https://pmt.physicsandmathstutor.com/download/Maths/A-level/Pure/Sequences-and-Series-1/Edexcel-Set-C/MS/Binomial%20Expansion%20MS.pdf" TargetMode="External" Id="rId414" /><Relationship Type="http://schemas.openxmlformats.org/officeDocument/2006/relationships/hyperlink" Target="https://pmt.physicsandmathstutor.com/download/Maths/A-level/Pure/Sequences-and-Series-1/Edexcel-Set-C/MA/Binomial%20Expansion%20MA.pdf" TargetMode="External" Id="rId415" /><Relationship Type="http://schemas.openxmlformats.org/officeDocument/2006/relationships/hyperlink" Target="https://www.yesterdaysmathsexam.com/_files/ugd/1ba96f_c8544a0f89ba4828b541a6ab457e337a.pdf" TargetMode="External" Id="rId416" /><Relationship Type="http://schemas.openxmlformats.org/officeDocument/2006/relationships/hyperlink" Target="https://www.yesterdaysmathsexam.com/_files/ugd/1ba96f_5b057af81a504c6ab4848b1752a0ebae.pdf" TargetMode="External" Id="rId417" /><Relationship Type="http://schemas.openxmlformats.org/officeDocument/2006/relationships/hyperlink" Target="https://mathsgenie.co.uk/a-level/maths/edexcel/as-pure-mathematics-8-3-the-binomial-expansion" TargetMode="External" Id="rId418" /><Relationship Type="http://schemas.openxmlformats.org/officeDocument/2006/relationships/hyperlink" Target="https://assets.mathsgenie.co.uk/content/worksheets/as_level_maths/the-binomial-expansion-5c869b97.pdf" TargetMode="External" Id="rId419" /><Relationship Type="http://schemas.openxmlformats.org/officeDocument/2006/relationships/hyperlink" Target="https://assets.mathsgenie.co.uk/content/worksheets/as_level_maths/the-binomial-expansion-ans-2a6c8fcf.pdf" TargetMode="External" Id="rId420" /><Relationship Type="http://schemas.openxmlformats.org/officeDocument/2006/relationships/hyperlink" Target="https://pmt.physicsandmathstutor.com/download/Maths/A-level/Pure/Sequences-and-Series-1/Edexcel-Set-C/QP/Binomial%20Expansion%20QP.pdf" TargetMode="External" Id="rId421" /><Relationship Type="http://schemas.openxmlformats.org/officeDocument/2006/relationships/hyperlink" Target="https://pmt.physicsandmathstutor.com/download/Maths/A-level/Pure/Sequences-and-Series-1/Edexcel-Set-C/MS/Binomial%20Expansion%20MS.pdf" TargetMode="External" Id="rId422" /><Relationship Type="http://schemas.openxmlformats.org/officeDocument/2006/relationships/hyperlink" Target="https://pmt.physicsandmathstutor.com/download/Maths/A-level/Pure/Sequences-and-Series-1/Edexcel-Set-C/MA/Binomial%20Expansion%20MA.pdf" TargetMode="External" Id="rId423" /><Relationship Type="http://schemas.openxmlformats.org/officeDocument/2006/relationships/hyperlink" Target="https://www.yesterdaysmathsexam.com/_files/ugd/1ba96f_c8544a0f89ba4828b541a6ab457e337a.pdf" TargetMode="External" Id="rId424" /><Relationship Type="http://schemas.openxmlformats.org/officeDocument/2006/relationships/hyperlink" Target="https://www.yesterdaysmathsexam.com/_files/ugd/1ba96f_5b057af81a504c6ab4848b1752a0ebae.pdf" TargetMode="External" Id="rId425" /><Relationship Type="http://schemas.openxmlformats.org/officeDocument/2006/relationships/hyperlink" Target="https://mathsgenie.co.uk/a-level/maths/edexcel/as-pure-mathematics-8-4-solving-binomial-problems" TargetMode="External" Id="rId426" /><Relationship Type="http://schemas.openxmlformats.org/officeDocument/2006/relationships/hyperlink" Target="https://assets.mathsgenie.co.uk/content/worksheets/as_level_maths/the-binomial-expansion-5c869b97.pdf" TargetMode="External" Id="rId427" /><Relationship Type="http://schemas.openxmlformats.org/officeDocument/2006/relationships/hyperlink" Target="https://assets.mathsgenie.co.uk/content/worksheets/as_level_maths/the-binomial-expansion-ans-2a6c8fcf.pdf" TargetMode="External" Id="rId428" /><Relationship Type="http://schemas.openxmlformats.org/officeDocument/2006/relationships/hyperlink" Target="https://pmt.physicsandmathstutor.com/download/Maths/A-level/Pure/Sequences-and-Series-1/Edexcel-Set-C/QP/Binomial%20Expansion%20QP.pdf" TargetMode="External" Id="rId429" /><Relationship Type="http://schemas.openxmlformats.org/officeDocument/2006/relationships/hyperlink" Target="https://pmt.physicsandmathstutor.com/download/Maths/A-level/Pure/Sequences-and-Series-1/Edexcel-Set-C/MS/Binomial%20Expansion%20MS.pdf" TargetMode="External" Id="rId430" /><Relationship Type="http://schemas.openxmlformats.org/officeDocument/2006/relationships/hyperlink" Target="https://pmt.physicsandmathstutor.com/download/Maths/A-level/Pure/Sequences-and-Series-1/Edexcel-Set-C/MA/Binomial%20Expansion%20MA.pdf" TargetMode="External" Id="rId431" /><Relationship Type="http://schemas.openxmlformats.org/officeDocument/2006/relationships/hyperlink" Target="https://www.yesterdaysmathsexam.com/_files/ugd/1ba96f_c8544a0f89ba4828b541a6ab457e337a.pdf" TargetMode="External" Id="rId432" /><Relationship Type="http://schemas.openxmlformats.org/officeDocument/2006/relationships/hyperlink" Target="https://www.yesterdaysmathsexam.com/_files/ugd/1ba96f_5b057af81a504c6ab4848b1752a0ebae.pdf" TargetMode="External" Id="rId433" /><Relationship Type="http://schemas.openxmlformats.org/officeDocument/2006/relationships/hyperlink" Target="https://mathsgenie.co.uk/a-level/maths/edexcel/as-pure-mathematics-8-5-binomial-estimation" TargetMode="External" Id="rId434" /><Relationship Type="http://schemas.openxmlformats.org/officeDocument/2006/relationships/hyperlink" Target="https://assets.mathsgenie.co.uk/content/worksheets/as_level_maths/the-binomial-expansion-5c869b97.pdf" TargetMode="External" Id="rId435" /><Relationship Type="http://schemas.openxmlformats.org/officeDocument/2006/relationships/hyperlink" Target="https://assets.mathsgenie.co.uk/content/worksheets/as_level_maths/the-binomial-expansion-ans-2a6c8fcf.pdf" TargetMode="External" Id="rId436" /><Relationship Type="http://schemas.openxmlformats.org/officeDocument/2006/relationships/hyperlink" Target="https://pmt.physicsandmathstutor.com/download/Maths/A-level/Pure/Sequences-and-Series-2/Edexcel-Set-C/QP/Binomial%20Expansion%20QP.pdf" TargetMode="External" Id="rId437" /><Relationship Type="http://schemas.openxmlformats.org/officeDocument/2006/relationships/hyperlink" Target="https://pmt.physicsandmathstutor.com/download/Maths/A-level/Pure/Sequences-and-Series-2/Edexcel-Set-C/MS/Binomial%20Expansion%20MS.pdf" TargetMode="External" Id="rId438" /><Relationship Type="http://schemas.openxmlformats.org/officeDocument/2006/relationships/hyperlink" Target="https://pmt.physicsandmathstutor.com/download/Maths/A-level/Pure/Sequences-and-Series-2/Edexcel-Set-C/MA/Binomial%20Expansion%20MA.pdf" TargetMode="External" Id="rId439" /><Relationship Type="http://schemas.openxmlformats.org/officeDocument/2006/relationships/hyperlink" Target="https://www.yesterdaysmathsexam.com/_files/ugd/1ba96f_c8544a0f89ba4828b541a6ab457e337a.pdf" TargetMode="External" Id="rId440" /><Relationship Type="http://schemas.openxmlformats.org/officeDocument/2006/relationships/hyperlink" Target="https://www.yesterdaysmathsexam.com/_files/ugd/1ba96f_5b057af81a504c6ab4848b1752a0ebae.pdf" TargetMode="External" Id="rId441" /><Relationship Type="http://schemas.openxmlformats.org/officeDocument/2006/relationships/hyperlink" Target="https://mathsgenie.co.uk/a-level/maths/edexcel/a-level-pure-mathematics-4-1-expanding-1-x-n" TargetMode="External" Id="rId442" /><Relationship Type="http://schemas.openxmlformats.org/officeDocument/2006/relationships/hyperlink" Target="https://assets.mathsgenie.co.uk/content/worksheets/a_level_maths/year-2-binomial-expansion-34e0909e.pdf" TargetMode="External" Id="rId443" /><Relationship Type="http://schemas.openxmlformats.org/officeDocument/2006/relationships/hyperlink" Target="https://assets.mathsgenie.co.uk/content/worksheets/a_level_maths/year-2-binomial-expansion-ans-28b7e3e0.pdf" TargetMode="External" Id="rId444" /><Relationship Type="http://schemas.openxmlformats.org/officeDocument/2006/relationships/hyperlink" Target="https://pmt.physicsandmathstutor.com/download/Maths/A-level/Pure/Sequences-and-Series-2/Edexcel-Set-C/QP/Binomial%20Expansion%20QP.pdf" TargetMode="External" Id="rId445" /><Relationship Type="http://schemas.openxmlformats.org/officeDocument/2006/relationships/hyperlink" Target="https://pmt.physicsandmathstutor.com/download/Maths/A-level/Pure/Sequences-and-Series-2/Edexcel-Set-C/MS/Binomial%20Expansion%20MS.pdf" TargetMode="External" Id="rId446" /><Relationship Type="http://schemas.openxmlformats.org/officeDocument/2006/relationships/hyperlink" Target="https://pmt.physicsandmathstutor.com/download/Maths/A-level/Pure/Sequences-and-Series-2/Edexcel-Set-C/MA/Binomial%20Expansion%20MA.pdf" TargetMode="External" Id="rId447" /><Relationship Type="http://schemas.openxmlformats.org/officeDocument/2006/relationships/hyperlink" Target="https://www.yesterdaysmathsexam.com/_files/ugd/1ba96f_48b8d9b94c8b4430af8cd8dfa59dac51.pdf" TargetMode="External" Id="rId448" /><Relationship Type="http://schemas.openxmlformats.org/officeDocument/2006/relationships/hyperlink" Target="https://mathsgenie.co.uk/a-level/maths/edexcel/a-level-pure-mathematics-4-2-expanding-a-bx-n" TargetMode="External" Id="rId449" /><Relationship Type="http://schemas.openxmlformats.org/officeDocument/2006/relationships/hyperlink" Target="https://assets.mathsgenie.co.uk/content/worksheets/a_level_maths/year-2-binomial-expansion-34e0909e.pdf" TargetMode="External" Id="rId450" /><Relationship Type="http://schemas.openxmlformats.org/officeDocument/2006/relationships/hyperlink" Target="https://assets.mathsgenie.co.uk/content/worksheets/a_level_maths/year-2-binomial-expansion-ans-28b7e3e0.pdf" TargetMode="External" Id="rId451" /><Relationship Type="http://schemas.openxmlformats.org/officeDocument/2006/relationships/hyperlink" Target="https://pmt.physicsandmathstutor.com/download/Maths/A-level/Pure/Sequences-and-Series-2/Edexcel-Set-C/QP/Binomial%20Expansion%20QP.pdf" TargetMode="External" Id="rId452" /><Relationship Type="http://schemas.openxmlformats.org/officeDocument/2006/relationships/hyperlink" Target="https://pmt.physicsandmathstutor.com/download/Maths/A-level/Pure/Sequences-and-Series-2/Edexcel-Set-C/MS/Binomial%20Expansion%20MS.pdf" TargetMode="External" Id="rId453" /><Relationship Type="http://schemas.openxmlformats.org/officeDocument/2006/relationships/hyperlink" Target="https://pmt.physicsandmathstutor.com/download/Maths/A-level/Pure/Sequences-and-Series-2/Edexcel-Set-C/MA/Binomial%20Expansion%20MA.pdf" TargetMode="External" Id="rId454" /><Relationship Type="http://schemas.openxmlformats.org/officeDocument/2006/relationships/hyperlink" Target="https://www.yesterdaysmathsexam.com/_files/ugd/1ba96f_48b8d9b94c8b4430af8cd8dfa59dac51.pdf" TargetMode="External" Id="rId455" /><Relationship Type="http://schemas.openxmlformats.org/officeDocument/2006/relationships/hyperlink" Target="https://mathsgenie.co.uk/a-level/maths/edexcel/a-level-pure-mathematics-4-3-using-partial-fractions" TargetMode="External" Id="rId456" /><Relationship Type="http://schemas.openxmlformats.org/officeDocument/2006/relationships/hyperlink" Target="https://assets.mathsgenie.co.uk/content/worksheets/a_level_maths/year-2-binomial-expansion-34e0909e.pdf" TargetMode="External" Id="rId457" /><Relationship Type="http://schemas.openxmlformats.org/officeDocument/2006/relationships/hyperlink" Target="https://assets.mathsgenie.co.uk/content/worksheets/a_level_maths/year-2-binomial-expansion-ans-28b7e3e0.pdf" TargetMode="External" Id="rId458" /><Relationship Type="http://schemas.openxmlformats.org/officeDocument/2006/relationships/hyperlink" Target="https://pmt.physicsandmathstutor.com/download/Maths/A-level/Pure/Sequences-and-Series-2/Edexcel-Set-C/QP/Binomial%20Expansion%20QP.pdf" TargetMode="External" Id="rId459" /><Relationship Type="http://schemas.openxmlformats.org/officeDocument/2006/relationships/hyperlink" Target="https://pmt.physicsandmathstutor.com/download/Maths/A-level/Pure/Sequences-and-Series-2/Edexcel-Set-C/MS/Binomial%20Expansion%20MS.pdf" TargetMode="External" Id="rId460" /><Relationship Type="http://schemas.openxmlformats.org/officeDocument/2006/relationships/hyperlink" Target="https://pmt.physicsandmathstutor.com/download/Maths/A-level/Pure/Sequences-and-Series-2/Edexcel-Set-C/MA/Binomial%20Expansion%20MA.pdf" TargetMode="External" Id="rId461" /><Relationship Type="http://schemas.openxmlformats.org/officeDocument/2006/relationships/hyperlink" Target="https://www.yesterdaysmathsexam.com/_files/ugd/1ba96f_48b8d9b94c8b4430af8cd8dfa59dac51.pdf" TargetMode="External" Id="rId462" /><Relationship Type="http://schemas.openxmlformats.org/officeDocument/2006/relationships/hyperlink" Target="https://mathsgenie.co.uk/a-level/maths/edexcel/a-level-pure-mathematics-3-7-recurrence-relations" TargetMode="External" Id="rId463" /><Relationship Type="http://schemas.openxmlformats.org/officeDocument/2006/relationships/hyperlink" Target="https://assets.mathsgenie.co.uk/content/worksheets/a_level_maths/sequences-and-series-91a49f19.pdf" TargetMode="External" Id="rId464" /><Relationship Type="http://schemas.openxmlformats.org/officeDocument/2006/relationships/hyperlink" Target="https://assets.mathsgenie.co.uk/content/worksheets/a_level_maths/sequences-and-series-ans-1530136d.pdf" TargetMode="External" Id="rId465" /><Relationship Type="http://schemas.openxmlformats.org/officeDocument/2006/relationships/hyperlink" Target="https://pmt.physicsandmathstutor.com/download/Maths/A-level/Pure/Sequences-and-Series-2/Edexcel-Set-C/QP/Sequences%20and%20Series%20QP.pdf" TargetMode="External" Id="rId466" /><Relationship Type="http://schemas.openxmlformats.org/officeDocument/2006/relationships/hyperlink" Target="https://pmt.physicsandmathstutor.com/download/Maths/A-level/Pure/Sequences-and-Series-2/Edexcel-Set-C/MS/Sequences%20and%20Series%20MS.pdf" TargetMode="External" Id="rId467" /><Relationship Type="http://schemas.openxmlformats.org/officeDocument/2006/relationships/hyperlink" Target="https://pmt.physicsandmathstutor.com/download/Maths/A-level/Pure/Sequences-and-Series-2/Edexcel-Set-C/MA/Sequences%20and%20Series%20MA.pdf" TargetMode="External" Id="rId468" /><Relationship Type="http://schemas.openxmlformats.org/officeDocument/2006/relationships/hyperlink" Target="https://www.yesterdaysmathsexam.com/_files/ugd/1ba96f_c8483dcf58004b1788d3fc2e0b878c56.pdf" TargetMode="External" Id="rId469" /><Relationship Type="http://schemas.openxmlformats.org/officeDocument/2006/relationships/hyperlink" Target="https://www.yesterdaysmathsexam.com/_files/ugd/1ba96f_fac388da48db4f569812a159a4adbb82.pdf" TargetMode="External" Id="rId470" /><Relationship Type="http://schemas.openxmlformats.org/officeDocument/2006/relationships/hyperlink" Target="https://mathsgenie.co.uk/a-level/maths/edexcel/a-level-pure-mathematics-3-7-recurrence-relations" TargetMode="External" Id="rId471" /><Relationship Type="http://schemas.openxmlformats.org/officeDocument/2006/relationships/hyperlink" Target="https://assets.mathsgenie.co.uk/content/worksheets/a_level_maths/sequences-and-series-91a49f19.pdf" TargetMode="External" Id="rId472" /><Relationship Type="http://schemas.openxmlformats.org/officeDocument/2006/relationships/hyperlink" Target="https://assets.mathsgenie.co.uk/content/worksheets/a_level_maths/sequences-and-series-ans-1530136d.pdf" TargetMode="External" Id="rId473" /><Relationship Type="http://schemas.openxmlformats.org/officeDocument/2006/relationships/hyperlink" Target="https://pmt.physicsandmathstutor.com/download/Maths/A-level/Pure/Sequences-and-Series-2/Edexcel-Set-C/QP/Sequences%20and%20Series%20QP.pdf" TargetMode="External" Id="rId474" /><Relationship Type="http://schemas.openxmlformats.org/officeDocument/2006/relationships/hyperlink" Target="https://pmt.physicsandmathstutor.com/download/Maths/A-level/Pure/Sequences-and-Series-2/Edexcel-Set-C/MS/Sequences%20and%20Series%20MS.pdf" TargetMode="External" Id="rId475" /><Relationship Type="http://schemas.openxmlformats.org/officeDocument/2006/relationships/hyperlink" Target="https://pmt.physicsandmathstutor.com/download/Maths/A-level/Pure/Sequences-and-Series-2/Edexcel-Set-C/MA/Sequences%20and%20Series%20MA.pdf" TargetMode="External" Id="rId476" /><Relationship Type="http://schemas.openxmlformats.org/officeDocument/2006/relationships/hyperlink" Target="https://www.yesterdaysmathsexam.com/_files/ugd/1ba96f_c8483dcf58004b1788d3fc2e0b878c56.pdf" TargetMode="External" Id="rId477" /><Relationship Type="http://schemas.openxmlformats.org/officeDocument/2006/relationships/hyperlink" Target="https://www.yesterdaysmathsexam.com/_files/ugd/1ba96f_fac388da48db4f569812a159a4adbb82.pdf" TargetMode="External" Id="rId478" /><Relationship Type="http://schemas.openxmlformats.org/officeDocument/2006/relationships/hyperlink" Target="https://mathsgenie.co.uk/a-level/maths/edexcel/a-level-pure-mathematics-3-6-sigma-notation" TargetMode="External" Id="rId479" /><Relationship Type="http://schemas.openxmlformats.org/officeDocument/2006/relationships/hyperlink" Target="https://assets.mathsgenie.co.uk/content/worksheets/a_level_maths/sequences-and-series-91a49f19.pdf" TargetMode="External" Id="rId480" /><Relationship Type="http://schemas.openxmlformats.org/officeDocument/2006/relationships/hyperlink" Target="https://assets.mathsgenie.co.uk/content/worksheets/a_level_maths/sequences-and-series-ans-1530136d.pdf" TargetMode="External" Id="rId481" /><Relationship Type="http://schemas.openxmlformats.org/officeDocument/2006/relationships/hyperlink" Target="https://pmt.physicsandmathstutor.com/download/Maths/A-level/Pure/Sequences-and-Series-2/Edexcel-Set-C/QP/Sequences%20and%20Series%20QP.pdf" TargetMode="External" Id="rId482" /><Relationship Type="http://schemas.openxmlformats.org/officeDocument/2006/relationships/hyperlink" Target="https://pmt.physicsandmathstutor.com/download/Maths/A-level/Pure/Sequences-and-Series-2/Edexcel-Set-C/MS/Sequences%20and%20Series%20MS.pdf" TargetMode="External" Id="rId483" /><Relationship Type="http://schemas.openxmlformats.org/officeDocument/2006/relationships/hyperlink" Target="https://pmt.physicsandmathstutor.com/download/Maths/A-level/Pure/Sequences-and-Series-2/Edexcel-Set-C/MA/Sequences%20and%20Series%20MA.pdf" TargetMode="External" Id="rId484" /><Relationship Type="http://schemas.openxmlformats.org/officeDocument/2006/relationships/hyperlink" Target="https://www.yesterdaysmathsexam.com/_files/ugd/1ba96f_c8483dcf58004b1788d3fc2e0b878c56.pdf" TargetMode="External" Id="rId485" /><Relationship Type="http://schemas.openxmlformats.org/officeDocument/2006/relationships/hyperlink" Target="https://www.yesterdaysmathsexam.com/_files/ugd/1ba96f_fac388da48db4f569812a159a4adbb82.pdf" TargetMode="External" Id="rId486" /><Relationship Type="http://schemas.openxmlformats.org/officeDocument/2006/relationships/hyperlink" Target="https://mathsgenie.co.uk/a-level/maths/edexcel/a-level-pure-mathematics-3-1-arithmetic-sequences" TargetMode="External" Id="rId487" /><Relationship Type="http://schemas.openxmlformats.org/officeDocument/2006/relationships/hyperlink" Target="https://assets.mathsgenie.co.uk/content/worksheets/a_level_maths/sequences-and-series-91a49f19.pdf" TargetMode="External" Id="rId488" /><Relationship Type="http://schemas.openxmlformats.org/officeDocument/2006/relationships/hyperlink" Target="https://assets.mathsgenie.co.uk/content/worksheets/a_level_maths/sequences-and-series-ans-1530136d.pdf" TargetMode="External" Id="rId489" /><Relationship Type="http://schemas.openxmlformats.org/officeDocument/2006/relationships/hyperlink" Target="https://pmt.physicsandmathstutor.com/download/Maths/A-level/Pure/Sequences-and-Series-2/Edexcel-Set-C/QP/Arithmetic%20Sequences%20QP.pdf" TargetMode="External" Id="rId490" /><Relationship Type="http://schemas.openxmlformats.org/officeDocument/2006/relationships/hyperlink" Target="https://pmt.physicsandmathstutor.com/download/Maths/A-level/Pure/Sequences-and-Series-2/Edexcel-Set-C/MS/Arithmetic%20Sequences%20MS.pdf" TargetMode="External" Id="rId491" /><Relationship Type="http://schemas.openxmlformats.org/officeDocument/2006/relationships/hyperlink" Target="https://pmt.physicsandmathstutor.com/download/Maths/A-level/Pure/Sequences-and-Series-2/Edexcel-Set-C/MA/Arithmetic%20Sequences%20MA.pdf" TargetMode="External" Id="rId492" /><Relationship Type="http://schemas.openxmlformats.org/officeDocument/2006/relationships/hyperlink" Target="https://www.yesterdaysmathsexam.com/_files/ugd/1ba96f_c8483dcf58004b1788d3fc2e0b878c56.pdf" TargetMode="External" Id="rId493" /><Relationship Type="http://schemas.openxmlformats.org/officeDocument/2006/relationships/hyperlink" Target="https://www.yesterdaysmathsexam.com/_files/ugd/1ba96f_fac388da48db4f569812a159a4adbb82.pdf" TargetMode="External" Id="rId494" /><Relationship Type="http://schemas.openxmlformats.org/officeDocument/2006/relationships/hyperlink" Target="https://mathsgenie.co.uk/a-level/maths/edexcel/a-level-pure-mathematics-3-2-arithmetic-series" TargetMode="External" Id="rId495" /><Relationship Type="http://schemas.openxmlformats.org/officeDocument/2006/relationships/hyperlink" Target="https://assets.mathsgenie.co.uk/content/worksheets/a_level_maths/sequences-and-series-91a49f19.pdf" TargetMode="External" Id="rId496" /><Relationship Type="http://schemas.openxmlformats.org/officeDocument/2006/relationships/hyperlink" Target="https://assets.mathsgenie.co.uk/content/worksheets/a_level_maths/sequences-and-series-ans-1530136d.pdf" TargetMode="External" Id="rId497" /><Relationship Type="http://schemas.openxmlformats.org/officeDocument/2006/relationships/hyperlink" Target="https://pmt.physicsandmathstutor.com/download/Maths/A-level/Pure/Sequences-and-Series-2/Edexcel-Set-C/QP/Arithmetic%20Sequences%20QP.pdf" TargetMode="External" Id="rId498" /><Relationship Type="http://schemas.openxmlformats.org/officeDocument/2006/relationships/hyperlink" Target="https://pmt.physicsandmathstutor.com/download/Maths/A-level/Pure/Sequences-and-Series-2/Edexcel-Set-C/MS/Arithmetic%20Sequences%20MS.pdf" TargetMode="External" Id="rId499" /><Relationship Type="http://schemas.openxmlformats.org/officeDocument/2006/relationships/hyperlink" Target="https://pmt.physicsandmathstutor.com/download/Maths/A-level/Pure/Sequences-and-Series-2/Edexcel-Set-C/MA/Arithmetic%20Sequences%20MA.pdf" TargetMode="External" Id="rId500" /><Relationship Type="http://schemas.openxmlformats.org/officeDocument/2006/relationships/hyperlink" Target="https://www.yesterdaysmathsexam.com/_files/ugd/1ba96f_c8483dcf58004b1788d3fc2e0b878c56.pdf" TargetMode="External" Id="rId501" /><Relationship Type="http://schemas.openxmlformats.org/officeDocument/2006/relationships/hyperlink" Target="https://www.yesterdaysmathsexam.com/_files/ugd/1ba96f_fac388da48db4f569812a159a4adbb82.pdf" TargetMode="External" Id="rId502" /><Relationship Type="http://schemas.openxmlformats.org/officeDocument/2006/relationships/hyperlink" Target="https://mathsgenie.co.uk/a-level/maths/edexcel/a-level-pure-mathematics-3-3-geometric-sequences" TargetMode="External" Id="rId503" /><Relationship Type="http://schemas.openxmlformats.org/officeDocument/2006/relationships/hyperlink" Target="https://assets.mathsgenie.co.uk/content/worksheets/a_level_maths/sequences-and-series-91a49f19.pdf" TargetMode="External" Id="rId504" /><Relationship Type="http://schemas.openxmlformats.org/officeDocument/2006/relationships/hyperlink" Target="https://assets.mathsgenie.co.uk/content/worksheets/a_level_maths/sequences-and-series-ans-1530136d.pdf" TargetMode="External" Id="rId505" /><Relationship Type="http://schemas.openxmlformats.org/officeDocument/2006/relationships/hyperlink" Target="https://pmt.physicsandmathstutor.com/download/Maths/A-level/Pure/Sequences-and-Series-2/Edexcel-Set-C/QP/Geometric%20Series%20QP.pdf" TargetMode="External" Id="rId506" /><Relationship Type="http://schemas.openxmlformats.org/officeDocument/2006/relationships/hyperlink" Target="https://pmt.physicsandmathstutor.com/download/Maths/A-level/Pure/Sequences-and-Series-2/Edexcel-Set-C/MS/Geometric%20Series%20MS.pdf" TargetMode="External" Id="rId507" /><Relationship Type="http://schemas.openxmlformats.org/officeDocument/2006/relationships/hyperlink" Target="https://pmt.physicsandmathstutor.com/download/Maths/A-level/Pure/Sequences-and-Series-2/Edexcel-Set-C/MA/Geometric%20Series%20MA.pdf" TargetMode="External" Id="rId508" /><Relationship Type="http://schemas.openxmlformats.org/officeDocument/2006/relationships/hyperlink" Target="https://www.yesterdaysmathsexam.com/_files/ugd/1ba96f_c8483dcf58004b1788d3fc2e0b878c56.pdf" TargetMode="External" Id="rId509" /><Relationship Type="http://schemas.openxmlformats.org/officeDocument/2006/relationships/hyperlink" Target="https://www.yesterdaysmathsexam.com/_files/ugd/1ba96f_fac388da48db4f569812a159a4adbb82.pdf" TargetMode="External" Id="rId510" /><Relationship Type="http://schemas.openxmlformats.org/officeDocument/2006/relationships/hyperlink" Target="https://mathsgenie.co.uk/a-level/maths/edexcel/a-level-pure-mathematics-3-4-geometric-series" TargetMode="External" Id="rId511" /><Relationship Type="http://schemas.openxmlformats.org/officeDocument/2006/relationships/hyperlink" Target="https://assets.mathsgenie.co.uk/content/worksheets/a_level_maths/sequences-and-series-91a49f19.pdf" TargetMode="External" Id="rId512" /><Relationship Type="http://schemas.openxmlformats.org/officeDocument/2006/relationships/hyperlink" Target="https://assets.mathsgenie.co.uk/content/worksheets/a_level_maths/sequences-and-series-ans-1530136d.pdf" TargetMode="External" Id="rId513" /><Relationship Type="http://schemas.openxmlformats.org/officeDocument/2006/relationships/hyperlink" Target="https://pmt.physicsandmathstutor.com/download/Maths/A-level/Pure/Sequences-and-Series-2/Edexcel-Set-C/QP/Geometric%20Series%20QP.pdf" TargetMode="External" Id="rId514" /><Relationship Type="http://schemas.openxmlformats.org/officeDocument/2006/relationships/hyperlink" Target="https://pmt.physicsandmathstutor.com/download/Maths/A-level/Pure/Sequences-and-Series-2/Edexcel-Set-C/MS/Geometric%20Series%20MS.pdf" TargetMode="External" Id="rId515" /><Relationship Type="http://schemas.openxmlformats.org/officeDocument/2006/relationships/hyperlink" Target="https://pmt.physicsandmathstutor.com/download/Maths/A-level/Pure/Sequences-and-Series-2/Edexcel-Set-C/MA/Geometric%20Series%20MA.pdf" TargetMode="External" Id="rId516" /><Relationship Type="http://schemas.openxmlformats.org/officeDocument/2006/relationships/hyperlink" Target="https://www.yesterdaysmathsexam.com/_files/ugd/1ba96f_c8483dcf58004b1788d3fc2e0b878c56.pdf" TargetMode="External" Id="rId517" /><Relationship Type="http://schemas.openxmlformats.org/officeDocument/2006/relationships/hyperlink" Target="https://www.yesterdaysmathsexam.com/_files/ugd/1ba96f_fac388da48db4f569812a159a4adbb82.pdf" TargetMode="External" Id="rId518" /><Relationship Type="http://schemas.openxmlformats.org/officeDocument/2006/relationships/hyperlink" Target="https://mathsgenie.co.uk/a-level/maths/edexcel/a-level-pure-mathematics-3-5-sum-to-infinity" TargetMode="External" Id="rId519" /><Relationship Type="http://schemas.openxmlformats.org/officeDocument/2006/relationships/hyperlink" Target="https://assets.mathsgenie.co.uk/content/worksheets/a_level_maths/sequences-and-series-91a49f19.pdf" TargetMode="External" Id="rId520" /><Relationship Type="http://schemas.openxmlformats.org/officeDocument/2006/relationships/hyperlink" Target="https://assets.mathsgenie.co.uk/content/worksheets/a_level_maths/sequences-and-series-ans-1530136d.pdf" TargetMode="External" Id="rId521" /><Relationship Type="http://schemas.openxmlformats.org/officeDocument/2006/relationships/hyperlink" Target="https://pmt.physicsandmathstutor.com/download/Maths/A-level/Pure/Sequences-and-Series-2/Edexcel-Set-C/QP/Geometric%20Series%20QP.pdf" TargetMode="External" Id="rId522" /><Relationship Type="http://schemas.openxmlformats.org/officeDocument/2006/relationships/hyperlink" Target="https://pmt.physicsandmathstutor.com/download/Maths/A-level/Pure/Sequences-and-Series-2/Edexcel-Set-C/MS/Geometric%20Series%20MS.pdf" TargetMode="External" Id="rId523" /><Relationship Type="http://schemas.openxmlformats.org/officeDocument/2006/relationships/hyperlink" Target="https://pmt.physicsandmathstutor.com/download/Maths/A-level/Pure/Sequences-and-Series-2/Edexcel-Set-C/MA/Geometric%20Series%20MA.pdf" TargetMode="External" Id="rId524" /><Relationship Type="http://schemas.openxmlformats.org/officeDocument/2006/relationships/hyperlink" Target="https://www.yesterdaysmathsexam.com/_files/ugd/1ba96f_c8483dcf58004b1788d3fc2e0b878c56.pdf" TargetMode="External" Id="rId525" /><Relationship Type="http://schemas.openxmlformats.org/officeDocument/2006/relationships/hyperlink" Target="https://www.yesterdaysmathsexam.com/_files/ugd/1ba96f_fac388da48db4f569812a159a4adbb82.pdf" TargetMode="External" Id="rId526" /><Relationship Type="http://schemas.openxmlformats.org/officeDocument/2006/relationships/hyperlink" Target="https://mathsgenie.co.uk/a-level/maths/edexcel/a-level-pure-mathematics-3-8-modelling-with-series" TargetMode="External" Id="rId527" /><Relationship Type="http://schemas.openxmlformats.org/officeDocument/2006/relationships/hyperlink" Target="https://assets.mathsgenie.co.uk/content/worksheets/a_level_maths/sequences-and-series-91a49f19.pdf" TargetMode="External" Id="rId528" /><Relationship Type="http://schemas.openxmlformats.org/officeDocument/2006/relationships/hyperlink" Target="https://assets.mathsgenie.co.uk/content/worksheets/a_level_maths/sequences-and-series-ans-1530136d.pdf" TargetMode="External" Id="rId529" /><Relationship Type="http://schemas.openxmlformats.org/officeDocument/2006/relationships/hyperlink" Target="https://pmt.physicsandmathstutor.com/download/Maths/A-level/Pure/Sequences-and-Series-2/Edexcel-Set-C/QP/Geometric%20Series%20QP.pdf" TargetMode="External" Id="rId530" /><Relationship Type="http://schemas.openxmlformats.org/officeDocument/2006/relationships/hyperlink" Target="https://pmt.physicsandmathstutor.com/download/Maths/A-level/Pure/Sequences-and-Series-2/Edexcel-Set-C/MS/Geometric%20Series%20MS.pdf" TargetMode="External" Id="rId531" /><Relationship Type="http://schemas.openxmlformats.org/officeDocument/2006/relationships/hyperlink" Target="https://pmt.physicsandmathstutor.com/download/Maths/A-level/Pure/Sequences-and-Series-2/Edexcel-Set-C/MA/Geometric%20Series%20MA.pdf" TargetMode="External" Id="rId532" /><Relationship Type="http://schemas.openxmlformats.org/officeDocument/2006/relationships/hyperlink" Target="https://www.yesterdaysmathsexam.com/_files/ugd/1ba96f_c8483dcf58004b1788d3fc2e0b878c56.pdf" TargetMode="External" Id="rId533" /><Relationship Type="http://schemas.openxmlformats.org/officeDocument/2006/relationships/hyperlink" Target="https://www.yesterdaysmathsexam.com/_files/ugd/1ba96f_fac388da48db4f569812a159a4adbb82.pdf" TargetMode="External" Id="rId534" /><Relationship Type="http://schemas.openxmlformats.org/officeDocument/2006/relationships/hyperlink" Target="https://mathsgenie.co.uk/a-level/maths/edexcel/as-pure-mathematics-9-1-the-cosine-rule" TargetMode="External" Id="rId535" /><Relationship Type="http://schemas.openxmlformats.org/officeDocument/2006/relationships/hyperlink" Target="https://assets.mathsgenie.co.uk/content/worksheets/a_level_maths/trigonometric-ratios-eaa8fc86.pdf" TargetMode="External" Id="rId536" /><Relationship Type="http://schemas.openxmlformats.org/officeDocument/2006/relationships/hyperlink" Target="https://assets.mathsgenie.co.uk/content/worksheets/a_level_maths/trigonometric-ratios-ans-8276d4dd.pdf" TargetMode="External" Id="rId537" /><Relationship Type="http://schemas.openxmlformats.org/officeDocument/2006/relationships/hyperlink" Target="https://pmt.physicsandmathstutor.com/download/Maths/A-level/Pure/Trigonometry-1/Edexcel-Set-C/QP/Sine%20and%20Cosine%20Rule%20QP.pdf" TargetMode="External" Id="rId538" /><Relationship Type="http://schemas.openxmlformats.org/officeDocument/2006/relationships/hyperlink" Target="https://pmt.physicsandmathstutor.com/download/Maths/A-level/Pure/Trigonometry-1/Edexcel-Set-C/MS/Sine%20and%20Cosine%20Rule%20MS.pdf" TargetMode="External" Id="rId539" /><Relationship Type="http://schemas.openxmlformats.org/officeDocument/2006/relationships/hyperlink" Target="https://pmt.physicsandmathstutor.com/download/Maths/A-level/Pure/Trigonometry-1/Edexcel-Set-C/MA/Sine%20and%20Cosine%20Rule%20MA.pdf" TargetMode="External" Id="rId540" /><Relationship Type="http://schemas.openxmlformats.org/officeDocument/2006/relationships/hyperlink" Target="https://www.yesterdaysmathsexam.com/_files/ugd/1ba96f_5870fbb9c6ae429abe50bd076b5da130.pdf" TargetMode="External" Id="rId541" /><Relationship Type="http://schemas.openxmlformats.org/officeDocument/2006/relationships/hyperlink" Target="https://www.yesterdaysmathsexam.com/_files/ugd/1ba96f_c1a210161a45417495e5ca00d2b219ce.pdf" TargetMode="External" Id="rId542" /><Relationship Type="http://schemas.openxmlformats.org/officeDocument/2006/relationships/hyperlink" Target="https://mathsgenie.co.uk/a-level/maths/edexcel/as-pure-mathematics-9-2-the-sine-rule" TargetMode="External" Id="rId543" /><Relationship Type="http://schemas.openxmlformats.org/officeDocument/2006/relationships/hyperlink" Target="https://assets.mathsgenie.co.uk/content/worksheets/a_level_maths/trigonometric-ratios-eaa8fc86.pdf" TargetMode="External" Id="rId544" /><Relationship Type="http://schemas.openxmlformats.org/officeDocument/2006/relationships/hyperlink" Target="https://assets.mathsgenie.co.uk/content/worksheets/a_level_maths/trigonometric-ratios-ans-8276d4dd.pdf" TargetMode="External" Id="rId545" /><Relationship Type="http://schemas.openxmlformats.org/officeDocument/2006/relationships/hyperlink" Target="https://pmt.physicsandmathstutor.com/download/Maths/A-level/Pure/Trigonometry-1/Edexcel-Set-C/QP/Sine%20and%20Cosine%20Rule%20QP.pdf" TargetMode="External" Id="rId546" /><Relationship Type="http://schemas.openxmlformats.org/officeDocument/2006/relationships/hyperlink" Target="https://pmt.physicsandmathstutor.com/download/Maths/A-level/Pure/Trigonometry-1/Edexcel-Set-C/MS/Sine%20and%20Cosine%20Rule%20MS.pdf" TargetMode="External" Id="rId547" /><Relationship Type="http://schemas.openxmlformats.org/officeDocument/2006/relationships/hyperlink" Target="https://pmt.physicsandmathstutor.com/download/Maths/A-level/Pure/Trigonometry-1/Edexcel-Set-C/MA/Sine%20and%20Cosine%20Rule%20MA.pdf" TargetMode="External" Id="rId548" /><Relationship Type="http://schemas.openxmlformats.org/officeDocument/2006/relationships/hyperlink" Target="https://www.yesterdaysmathsexam.com/_files/ugd/1ba96f_5870fbb9c6ae429abe50bd076b5da130.pdf" TargetMode="External" Id="rId549" /><Relationship Type="http://schemas.openxmlformats.org/officeDocument/2006/relationships/hyperlink" Target="https://www.yesterdaysmathsexam.com/_files/ugd/1ba96f_c1a210161a45417495e5ca00d2b219ce.pdf" TargetMode="External" Id="rId550" /><Relationship Type="http://schemas.openxmlformats.org/officeDocument/2006/relationships/hyperlink" Target="https://mathsgenie.co.uk/a-level/maths/edexcel/as-pure-mathematics-9-3-areas-of-triangles" TargetMode="External" Id="rId551" /><Relationship Type="http://schemas.openxmlformats.org/officeDocument/2006/relationships/hyperlink" Target="https://assets.mathsgenie.co.uk/content/worksheets/a_level_maths/trigonometric-ratios-eaa8fc86.pdf" TargetMode="External" Id="rId552" /><Relationship Type="http://schemas.openxmlformats.org/officeDocument/2006/relationships/hyperlink" Target="https://assets.mathsgenie.co.uk/content/worksheets/a_level_maths/trigonometric-ratios-ans-8276d4dd.pdf" TargetMode="External" Id="rId553" /><Relationship Type="http://schemas.openxmlformats.org/officeDocument/2006/relationships/hyperlink" Target="https://pmt.physicsandmathstutor.com/download/Maths/A-level/Pure/Trigonometry-1/Edexcel-Set-C/QP/Sine%20and%20Cosine%20Rule%20QP.pdf" TargetMode="External" Id="rId554" /><Relationship Type="http://schemas.openxmlformats.org/officeDocument/2006/relationships/hyperlink" Target="https://pmt.physicsandmathstutor.com/download/Maths/A-level/Pure/Trigonometry-1/Edexcel-Set-C/MS/Sine%20and%20Cosine%20Rule%20MS.pdf" TargetMode="External" Id="rId555" /><Relationship Type="http://schemas.openxmlformats.org/officeDocument/2006/relationships/hyperlink" Target="https://pmt.physicsandmathstutor.com/download/Maths/A-level/Pure/Trigonometry-1/Edexcel-Set-C/MA/Sine%20and%20Cosine%20Rule%20MA.pdf" TargetMode="External" Id="rId556" /><Relationship Type="http://schemas.openxmlformats.org/officeDocument/2006/relationships/hyperlink" Target="https://www.yesterdaysmathsexam.com/_files/ugd/1ba96f_5870fbb9c6ae429abe50bd076b5da130.pdf" TargetMode="External" Id="rId557" /><Relationship Type="http://schemas.openxmlformats.org/officeDocument/2006/relationships/hyperlink" Target="https://www.yesterdaysmathsexam.com/_files/ugd/1ba96f_c1a210161a45417495e5ca00d2b219ce.pdf" TargetMode="External" Id="rId558" /><Relationship Type="http://schemas.openxmlformats.org/officeDocument/2006/relationships/hyperlink" Target="https://mathsgenie.co.uk/a-level/maths/edexcel/as-pure-mathematics-9-4-solving-triangle-problems" TargetMode="External" Id="rId559" /><Relationship Type="http://schemas.openxmlformats.org/officeDocument/2006/relationships/hyperlink" Target="https://assets.mathsgenie.co.uk/content/worksheets/a_level_maths/trigonometric-ratios-eaa8fc86.pdf" TargetMode="External" Id="rId560" /><Relationship Type="http://schemas.openxmlformats.org/officeDocument/2006/relationships/hyperlink" Target="https://assets.mathsgenie.co.uk/content/worksheets/a_level_maths/trigonometric-ratios-ans-8276d4dd.pdf" TargetMode="External" Id="rId561" /><Relationship Type="http://schemas.openxmlformats.org/officeDocument/2006/relationships/hyperlink" Target="https://pmt.physicsandmathstutor.com/download/Maths/A-level/Pure/Trigonometry-1/Edexcel-Set-C/QP/Sine%20and%20Cosine%20Rule%20QP.pdf" TargetMode="External" Id="rId562" /><Relationship Type="http://schemas.openxmlformats.org/officeDocument/2006/relationships/hyperlink" Target="https://pmt.physicsandmathstutor.com/download/Maths/A-level/Pure/Trigonometry-1/Edexcel-Set-C/MS/Sine%20and%20Cosine%20Rule%20MS.pdf" TargetMode="External" Id="rId563" /><Relationship Type="http://schemas.openxmlformats.org/officeDocument/2006/relationships/hyperlink" Target="https://pmt.physicsandmathstutor.com/download/Maths/A-level/Pure/Trigonometry-1/Edexcel-Set-C/MA/Sine%20and%20Cosine%20Rule%20MA.pdf" TargetMode="External" Id="rId564" /><Relationship Type="http://schemas.openxmlformats.org/officeDocument/2006/relationships/hyperlink" Target="https://www.yesterdaysmathsexam.com/_files/ugd/1ba96f_5870fbb9c6ae429abe50bd076b5da130.pdf" TargetMode="External" Id="rId565" /><Relationship Type="http://schemas.openxmlformats.org/officeDocument/2006/relationships/hyperlink" Target="https://www.yesterdaysmathsexam.com/_files/ugd/1ba96f_c1a210161a45417495e5ca00d2b219ce.pdf" TargetMode="External" Id="rId566" /><Relationship Type="http://schemas.openxmlformats.org/officeDocument/2006/relationships/hyperlink" Target="https://mathsgenie.co.uk/a-level/maths/edexcel/as-pure-mathematics-10-1-angles-in-all-four-quadrants" TargetMode="External" Id="rId567" /><Relationship Type="http://schemas.openxmlformats.org/officeDocument/2006/relationships/hyperlink" Target="https://assets.mathsgenie.co.uk/content/worksheets/as_level_maths/trigonometric-identities-and-equations-ffd64a6d.pdf" TargetMode="External" Id="rId568" /><Relationship Type="http://schemas.openxmlformats.org/officeDocument/2006/relationships/hyperlink" Target="https://assets.mathsgenie.co.uk/content/worksheets/as_level_maths/trigonometric-identities-and-equations-ans-1ae76cee.pdf" TargetMode="External" Id="rId569" /><Relationship Type="http://schemas.openxmlformats.org/officeDocument/2006/relationships/hyperlink" Target="https://www.yesterdaysmathsexam.com/_files/ugd/1ba96f_2c311df40fa8428eb48c8c67a6585999.pdf" TargetMode="External" Id="rId570" /><Relationship Type="http://schemas.openxmlformats.org/officeDocument/2006/relationships/hyperlink" Target="https://www.yesterdaysmathsexam.com/_files/ugd/1ba96f_67d05bced5e54e638c5a51e9d32efa6c.pdf" TargetMode="External" Id="rId571" /><Relationship Type="http://schemas.openxmlformats.org/officeDocument/2006/relationships/hyperlink" Target="https://mathsgenie.co.uk/a-level/maths/edexcel/a-level-pure-mathematics-5-1-radian-measure" TargetMode="External" Id="rId572" /><Relationship Type="http://schemas.openxmlformats.org/officeDocument/2006/relationships/hyperlink" Target="https://assets.mathsgenie.co.uk/content/worksheets/a_level_maths/radians-2a6e7bab.pdf" TargetMode="External" Id="rId573" /><Relationship Type="http://schemas.openxmlformats.org/officeDocument/2006/relationships/hyperlink" Target="https://assets.mathsgenie.co.uk/content/worksheets/a_level_maths/radians-ans-c0f95f99.pdf" TargetMode="External" Id="rId574" /><Relationship Type="http://schemas.openxmlformats.org/officeDocument/2006/relationships/hyperlink" Target="https://pmt.physicsandmathstutor.com/download/Maths/A-level/Pure/Coordinate-Geometry-2/Edexcel-Set-C/QP/Arc%20Length%20and%20Sector%20Area%20QP.pdf" TargetMode="External" Id="rId575" /><Relationship Type="http://schemas.openxmlformats.org/officeDocument/2006/relationships/hyperlink" Target="https://pmt.physicsandmathstutor.com/download/Maths/A-level/Pure/Coordinate-Geometry-2/Edexcel-Set-C/MS/Arc%20Length%20and%20Sector%20Area%20MS.pdf" TargetMode="External" Id="rId576" /><Relationship Type="http://schemas.openxmlformats.org/officeDocument/2006/relationships/hyperlink" Target="https://pmt.physicsandmathstutor.com/download/Maths/A-level/Pure/Coordinate-Geometry-2/Edexcel-Set-C/MA/Arc%20Length%20and%20Sector%20Area%20MA.pdf" TargetMode="External" Id="rId577" /><Relationship Type="http://schemas.openxmlformats.org/officeDocument/2006/relationships/hyperlink" Target="https://www.yesterdaysmathsexam.com/_files/ugd/1ba96f_9fd76f9ea7cf46eb8074280c46213e06.pdf" TargetMode="External" Id="rId578" /><Relationship Type="http://schemas.openxmlformats.org/officeDocument/2006/relationships/hyperlink" Target="https://www.yesterdaysmathsexam.com/_files/ugd/1ba96f_80a3205f20de4fe989d20572dfcb6f06.pdf" TargetMode="External" Id="rId579" /><Relationship Type="http://schemas.openxmlformats.org/officeDocument/2006/relationships/hyperlink" Target="https://mathsgenie.co.uk/a-level/maths/edexcel/a-level-pure-mathematics-5-2-arc-length" TargetMode="External" Id="rId580" /><Relationship Type="http://schemas.openxmlformats.org/officeDocument/2006/relationships/hyperlink" Target="https://assets.mathsgenie.co.uk/content/worksheets/a_level_maths/radians-2a6e7bab.pdf" TargetMode="External" Id="rId581" /><Relationship Type="http://schemas.openxmlformats.org/officeDocument/2006/relationships/hyperlink" Target="https://assets.mathsgenie.co.uk/content/worksheets/a_level_maths/radians-ans-c0f95f99.pdf" TargetMode="External" Id="rId582" /><Relationship Type="http://schemas.openxmlformats.org/officeDocument/2006/relationships/hyperlink" Target="https://pmt.physicsandmathstutor.com/download/Maths/A-level/Pure/Coordinate-Geometry-2/Edexcel-Set-C/QP/Arc%20Length%20and%20Sector%20Area%20QP.pdf" TargetMode="External" Id="rId583" /><Relationship Type="http://schemas.openxmlformats.org/officeDocument/2006/relationships/hyperlink" Target="https://pmt.physicsandmathstutor.com/download/Maths/A-level/Pure/Coordinate-Geometry-2/Edexcel-Set-C/MS/Arc%20Length%20and%20Sector%20Area%20MS.pdf" TargetMode="External" Id="rId584" /><Relationship Type="http://schemas.openxmlformats.org/officeDocument/2006/relationships/hyperlink" Target="https://pmt.physicsandmathstutor.com/download/Maths/A-level/Pure/Coordinate-Geometry-2/Edexcel-Set-C/MA/Arc%20Length%20and%20Sector%20Area%20MA.pdf" TargetMode="External" Id="rId585" /><Relationship Type="http://schemas.openxmlformats.org/officeDocument/2006/relationships/hyperlink" Target="https://www.yesterdaysmathsexam.com/_files/ugd/1ba96f_9fd76f9ea7cf46eb8074280c46213e06.pdf" TargetMode="External" Id="rId586" /><Relationship Type="http://schemas.openxmlformats.org/officeDocument/2006/relationships/hyperlink" Target="https://www.yesterdaysmathsexam.com/_files/ugd/1ba96f_80a3205f20de4fe989d20572dfcb6f06.pdf" TargetMode="External" Id="rId587" /><Relationship Type="http://schemas.openxmlformats.org/officeDocument/2006/relationships/hyperlink" Target="https://mathsgenie.co.uk/a-level/maths/edexcel/a-level-pure-mathematics-5-3-areas-of-sectors-and-segments" TargetMode="External" Id="rId588" /><Relationship Type="http://schemas.openxmlformats.org/officeDocument/2006/relationships/hyperlink" Target="https://assets.mathsgenie.co.uk/content/worksheets/a_level_maths/radians-2a6e7bab.pdf" TargetMode="External" Id="rId589" /><Relationship Type="http://schemas.openxmlformats.org/officeDocument/2006/relationships/hyperlink" Target="https://assets.mathsgenie.co.uk/content/worksheets/a_level_maths/radians-ans-c0f95f99.pdf" TargetMode="External" Id="rId590" /><Relationship Type="http://schemas.openxmlformats.org/officeDocument/2006/relationships/hyperlink" Target="https://www.yesterdaysmathsexam.com/_files/ugd/1ba96f_9fd76f9ea7cf46eb8074280c46213e06.pdf" TargetMode="External" Id="rId591" /><Relationship Type="http://schemas.openxmlformats.org/officeDocument/2006/relationships/hyperlink" Target="https://www.yesterdaysmathsexam.com/_files/ugd/1ba96f_80a3205f20de4fe989d20572dfcb6f06.pdf" TargetMode="External" Id="rId592" /><Relationship Type="http://schemas.openxmlformats.org/officeDocument/2006/relationships/hyperlink" Target="https://mathsgenie.co.uk/a-level/maths/edexcel/a-level-pure-mathematics-5-5-small-angle-approximations" TargetMode="External" Id="rId593" /><Relationship Type="http://schemas.openxmlformats.org/officeDocument/2006/relationships/hyperlink" Target="https://assets.mathsgenie.co.uk/content/worksheets/a_level_maths/radians-2a6e7bab.pdf" TargetMode="External" Id="rId594" /><Relationship Type="http://schemas.openxmlformats.org/officeDocument/2006/relationships/hyperlink" Target="https://assets.mathsgenie.co.uk/content/worksheets/a_level_maths/radians-ans-c0f95f99.pdf" TargetMode="External" Id="rId595" /><Relationship Type="http://schemas.openxmlformats.org/officeDocument/2006/relationships/hyperlink" Target="https://pmt.physicsandmathstutor.com/download/Maths/A-level/Pure/Trigonometry-2/Edexcel-Set-C/QP/Small%20Angle%20Approximation%20QP.pdf" TargetMode="External" Id="rId596" /><Relationship Type="http://schemas.openxmlformats.org/officeDocument/2006/relationships/hyperlink" Target="https://pmt.physicsandmathstutor.com/download/Maths/A-level/Pure/Trigonometry-2/Edexcel-Set-C/MS/Small%20Angle%20Approximation%20MS.pdf" TargetMode="External" Id="rId597" /><Relationship Type="http://schemas.openxmlformats.org/officeDocument/2006/relationships/hyperlink" Target="https://pmt.physicsandmathstutor.com/download/Maths/A-level/Pure/Trigonometry-2/Edexcel-Set-C/MA/Small%20Angle%20Approximation%20MA.pdf" TargetMode="External" Id="rId598" /><Relationship Type="http://schemas.openxmlformats.org/officeDocument/2006/relationships/hyperlink" Target="https://www.yesterdaysmathsexam.com/_files/ugd/1ba96f_9fd76f9ea7cf46eb8074280c46213e06.pdf" TargetMode="External" Id="rId599" /><Relationship Type="http://schemas.openxmlformats.org/officeDocument/2006/relationships/hyperlink" Target="https://www.yesterdaysmathsexam.com/_files/ugd/1ba96f_80a3205f20de4fe989d20572dfcb6f06.pdf" TargetMode="External" Id="rId600" /><Relationship Type="http://schemas.openxmlformats.org/officeDocument/2006/relationships/hyperlink" Target="https://mathsgenie.co.uk/a-level/maths/edexcel/as-pure-mathematics-9-5-graphs-of-sine-cosine-and-tangent" TargetMode="External" Id="rId601" /><Relationship Type="http://schemas.openxmlformats.org/officeDocument/2006/relationships/hyperlink" Target="https://assets.mathsgenie.co.uk/content/worksheets/a_level_maths/trigonometric-ratios-eaa8fc86.pdf" TargetMode="External" Id="rId602" /><Relationship Type="http://schemas.openxmlformats.org/officeDocument/2006/relationships/hyperlink" Target="https://assets.mathsgenie.co.uk/content/worksheets/a_level_maths/trigonometric-ratios-ans-8276d4dd.pdf" TargetMode="External" Id="rId603" /><Relationship Type="http://schemas.openxmlformats.org/officeDocument/2006/relationships/hyperlink" Target="https://www.yesterdaysmathsexam.com/_files/ugd/1ba96f_5870fbb9c6ae429abe50bd076b5da130.pdf" TargetMode="External" Id="rId604" /><Relationship Type="http://schemas.openxmlformats.org/officeDocument/2006/relationships/hyperlink" Target="https://www.yesterdaysmathsexam.com/_files/ugd/1ba96f_c1a210161a45417495e5ca00d2b219ce.pdf" TargetMode="External" Id="rId605" /><Relationship Type="http://schemas.openxmlformats.org/officeDocument/2006/relationships/hyperlink" Target="https://mathsgenie.co.uk/a-level/maths/edexcel/as-pure-mathematics-9-6-transforming-trigonometric-graphs" TargetMode="External" Id="rId606" /><Relationship Type="http://schemas.openxmlformats.org/officeDocument/2006/relationships/hyperlink" Target="https://assets.mathsgenie.co.uk/content/worksheets/a_level_maths/trigonometric-ratios-eaa8fc86.pdf" TargetMode="External" Id="rId607" /><Relationship Type="http://schemas.openxmlformats.org/officeDocument/2006/relationships/hyperlink" Target="https://assets.mathsgenie.co.uk/content/worksheets/a_level_maths/trigonometric-ratios-ans-8276d4dd.pdf" TargetMode="External" Id="rId608" /><Relationship Type="http://schemas.openxmlformats.org/officeDocument/2006/relationships/hyperlink" Target="https://pmt.physicsandmathstutor.com/download/Maths/A-level/Pure/Trigonometry-2/Edexcel-Set-C/QP/Modelling%20with%20Trigonometric%20Functions%20QP.pdf" TargetMode="External" Id="rId609" /><Relationship Type="http://schemas.openxmlformats.org/officeDocument/2006/relationships/hyperlink" Target="https://pmt.physicsandmathstutor.com/download/Maths/A-level/Pure/Trigonometry-2/Edexcel-Set-C/MS/Modelling%20with%20Trigonometric%20Functions%20MS.pdf" TargetMode="External" Id="rId610" /><Relationship Type="http://schemas.openxmlformats.org/officeDocument/2006/relationships/hyperlink" Target="https://pmt.physicsandmathstutor.com/download/Maths/A-level/Pure/Trigonometry-2/Edexcel-Set-C/MA/Modelling%20with%20Trigonometric%20Functions%20MA.pdf" TargetMode="External" Id="rId611" /><Relationship Type="http://schemas.openxmlformats.org/officeDocument/2006/relationships/hyperlink" Target="https://www.yesterdaysmathsexam.com/_files/ugd/1ba96f_5870fbb9c6ae429abe50bd076b5da130.pdf" TargetMode="External" Id="rId612" /><Relationship Type="http://schemas.openxmlformats.org/officeDocument/2006/relationships/hyperlink" Target="https://www.yesterdaysmathsexam.com/_files/ugd/1ba96f_c1a210161a45417495e5ca00d2b219ce.pdf" TargetMode="External" Id="rId613" /><Relationship Type="http://schemas.openxmlformats.org/officeDocument/2006/relationships/hyperlink" Target="https://mathsgenie.co.uk/a-level/maths/edexcel/as-pure-mathematics-10-2-exact-values-of-trigonometric-ratios" TargetMode="External" Id="rId614" /><Relationship Type="http://schemas.openxmlformats.org/officeDocument/2006/relationships/hyperlink" Target="https://assets.mathsgenie.co.uk/content/worksheets/as_level_maths/trigonometric-identities-and-equations-ffd64a6d.pdf" TargetMode="External" Id="rId615" /><Relationship Type="http://schemas.openxmlformats.org/officeDocument/2006/relationships/hyperlink" Target="https://assets.mathsgenie.co.uk/content/worksheets/as_level_maths/trigonometric-identities-and-equations-ans-1ae76cee.pdf" TargetMode="External" Id="rId616" /><Relationship Type="http://schemas.openxmlformats.org/officeDocument/2006/relationships/hyperlink" Target="https://www.yesterdaysmathsexam.com/_files/ugd/1ba96f_2c311df40fa8428eb48c8c67a6585999.pdf" TargetMode="External" Id="rId617" /><Relationship Type="http://schemas.openxmlformats.org/officeDocument/2006/relationships/hyperlink" Target="https://www.yesterdaysmathsexam.com/_files/ugd/1ba96f_67d05bced5e54e638c5a51e9d32efa6c.pdf" TargetMode="External" Id="rId618" /><Relationship Type="http://schemas.openxmlformats.org/officeDocument/2006/relationships/hyperlink" Target="https://mathsgenie.co.uk/a-level/maths/edexcel/a-level-pure-mathematics-6-1-secant-cosecant-and-cotangent" TargetMode="External" Id="rId619" /><Relationship Type="http://schemas.openxmlformats.org/officeDocument/2006/relationships/hyperlink" Target="https://assets.mathsgenie.co.uk/content/worksheets/a_level_maths/trigonometric-functions-8d9efec9.pdf" TargetMode="External" Id="rId620" /><Relationship Type="http://schemas.openxmlformats.org/officeDocument/2006/relationships/hyperlink" Target="https://assets.mathsgenie.co.uk/content/worksheets/a_level_maths/trigonometric-functions-ans-36daa596.pdf" TargetMode="External" Id="rId621" /><Relationship Type="http://schemas.openxmlformats.org/officeDocument/2006/relationships/hyperlink" Target="https://www.yesterdaysmathsexam.com/_files/ugd/1ba96f_813e46e578db4eb2879882398c80e3c4.pdf" TargetMode="External" Id="rId622" /><Relationship Type="http://schemas.openxmlformats.org/officeDocument/2006/relationships/hyperlink" Target="https://www.yesterdaysmathsexam.com/_files/ugd/1ba96f_cb4a9bc0fd524170be7067e2770f5a77.pdf" TargetMode="External" Id="rId623" /><Relationship Type="http://schemas.openxmlformats.org/officeDocument/2006/relationships/hyperlink" Target="https://mathsgenie.co.uk/a-level/maths/edexcel/a-level-pure-mathematics-6-2-graphs-of-sec-x-cosec-x-and-cot-x" TargetMode="External" Id="rId624" /><Relationship Type="http://schemas.openxmlformats.org/officeDocument/2006/relationships/hyperlink" Target="https://assets.mathsgenie.co.uk/content/worksheets/a_level_maths/trigonometric-functions-8d9efec9.pdf" TargetMode="External" Id="rId625" /><Relationship Type="http://schemas.openxmlformats.org/officeDocument/2006/relationships/hyperlink" Target="https://assets.mathsgenie.co.uk/content/worksheets/a_level_maths/trigonometric-functions-ans-36daa596.pdf" TargetMode="External" Id="rId626" /><Relationship Type="http://schemas.openxmlformats.org/officeDocument/2006/relationships/hyperlink" Target="https://www.yesterdaysmathsexam.com/_files/ugd/1ba96f_813e46e578db4eb2879882398c80e3c4.pdf" TargetMode="External" Id="rId627" /><Relationship Type="http://schemas.openxmlformats.org/officeDocument/2006/relationships/hyperlink" Target="https://www.yesterdaysmathsexam.com/_files/ugd/1ba96f_cb4a9bc0fd524170be7067e2770f5a77.pdf" TargetMode="External" Id="rId628" /><Relationship Type="http://schemas.openxmlformats.org/officeDocument/2006/relationships/hyperlink" Target="https://mathsgenie.co.uk/a-level/maths/edexcel/a-level-pure-mathematics-6-5-inverse-trigonometric-functions" TargetMode="External" Id="rId629" /><Relationship Type="http://schemas.openxmlformats.org/officeDocument/2006/relationships/hyperlink" Target="https://assets.mathsgenie.co.uk/content/worksheets/a_level_maths/trigonometric-functions-8d9efec9.pdf" TargetMode="External" Id="rId630" /><Relationship Type="http://schemas.openxmlformats.org/officeDocument/2006/relationships/hyperlink" Target="https://assets.mathsgenie.co.uk/content/worksheets/a_level_maths/trigonometric-functions-ans-36daa596.pdf" TargetMode="External" Id="rId631" /><Relationship Type="http://schemas.openxmlformats.org/officeDocument/2006/relationships/hyperlink" Target="https://www.yesterdaysmathsexam.com/_files/ugd/1ba96f_813e46e578db4eb2879882398c80e3c4.pdf" TargetMode="External" Id="rId632" /><Relationship Type="http://schemas.openxmlformats.org/officeDocument/2006/relationships/hyperlink" Target="https://www.yesterdaysmathsexam.com/_files/ugd/1ba96f_cb4a9bc0fd524170be7067e2770f5a77.pdf" TargetMode="External" Id="rId633" /><Relationship Type="http://schemas.openxmlformats.org/officeDocument/2006/relationships/hyperlink" Target="https://mathsgenie.co.uk/a-level/maths/edexcel/as-pure-mathematics-10-3-trigonometric-identities" TargetMode="External" Id="rId634" /><Relationship Type="http://schemas.openxmlformats.org/officeDocument/2006/relationships/hyperlink" Target="https://assets.mathsgenie.co.uk/content/worksheets/as_level_maths/trigonometric-identities-and-equations-ffd64a6d.pdf" TargetMode="External" Id="rId635" /><Relationship Type="http://schemas.openxmlformats.org/officeDocument/2006/relationships/hyperlink" Target="https://assets.mathsgenie.co.uk/content/worksheets/as_level_maths/trigonometric-identities-and-equations-ans-1ae76cee.pdf" TargetMode="External" Id="rId636" /><Relationship Type="http://schemas.openxmlformats.org/officeDocument/2006/relationships/hyperlink" Target="https://pmt.physicsandmathstutor.com/download/Maths/A-level/Pure/Trigonometry-1/Edexcel-Set-C/QP/Trigonometric%20Identities%20QP.pdf" TargetMode="External" Id="rId637" /><Relationship Type="http://schemas.openxmlformats.org/officeDocument/2006/relationships/hyperlink" Target="https://pmt.physicsandmathstutor.com/download/Maths/A-level/Pure/Trigonometry-1/Edexcel-Set-C/MS/Trigonometric%20Identities%20MS.pdf" TargetMode="External" Id="rId638" /><Relationship Type="http://schemas.openxmlformats.org/officeDocument/2006/relationships/hyperlink" Target="https://pmt.physicsandmathstutor.com/download/Maths/A-level/Pure/Trigonometry-1/Edexcel-Set-C/MA/Trigonometric%20Identities%20MA.pdf" TargetMode="External" Id="rId639" /><Relationship Type="http://schemas.openxmlformats.org/officeDocument/2006/relationships/hyperlink" Target="https://www.yesterdaysmathsexam.com/_files/ugd/1ba96f_2c311df40fa8428eb48c8c67a6585999.pdf" TargetMode="External" Id="rId640" /><Relationship Type="http://schemas.openxmlformats.org/officeDocument/2006/relationships/hyperlink" Target="https://www.yesterdaysmathsexam.com/_files/ugd/1ba96f_67d05bced5e54e638c5a51e9d32efa6c.pdf" TargetMode="External" Id="rId641" /><Relationship Type="http://schemas.openxmlformats.org/officeDocument/2006/relationships/hyperlink" Target="https://mathsgenie.co.uk/a-level/maths/edexcel/a-level-pure-mathematics-6-4-trigonometric-identities" TargetMode="External" Id="rId642" /><Relationship Type="http://schemas.openxmlformats.org/officeDocument/2006/relationships/hyperlink" Target="https://assets.mathsgenie.co.uk/content/worksheets/a_level_maths/trigonometric-functions-8d9efec9.pdf" TargetMode="External" Id="rId643" /><Relationship Type="http://schemas.openxmlformats.org/officeDocument/2006/relationships/hyperlink" Target="https://assets.mathsgenie.co.uk/content/worksheets/a_level_maths/trigonometric-functions-ans-36daa596.pdf" TargetMode="External" Id="rId644" /><Relationship Type="http://schemas.openxmlformats.org/officeDocument/2006/relationships/hyperlink" Target="https://pmt.physicsandmathstutor.com/download/Maths/A-level/Pure/Differentiation-2/Edexcel-Set-C/QP/Parametric%20Differentiation%20QP.pdf" TargetMode="External" Id="rId645" /><Relationship Type="http://schemas.openxmlformats.org/officeDocument/2006/relationships/hyperlink" Target="https://pmt.physicsandmathstutor.com/download/Maths/A-level/Pure/Differentiation-2/Edexcel-Set-C/MS/Parametric%20Differentiation%20MS.pdf" TargetMode="External" Id="rId646" /><Relationship Type="http://schemas.openxmlformats.org/officeDocument/2006/relationships/hyperlink" Target="https://pmt.physicsandmathstutor.com/download/Maths/A-level/Pure/Differentiation-2/Edexcel-Set-C/MA/Parametric%20Differentiation%20MA.pdf" TargetMode="External" Id="rId647" /><Relationship Type="http://schemas.openxmlformats.org/officeDocument/2006/relationships/hyperlink" Target="https://www.yesterdaysmathsexam.com/_files/ugd/1ba96f_813e46e578db4eb2879882398c80e3c4.pdf" TargetMode="External" Id="rId648" /><Relationship Type="http://schemas.openxmlformats.org/officeDocument/2006/relationships/hyperlink" Target="https://www.yesterdaysmathsexam.com/_files/ugd/1ba96f_cb4a9bc0fd524170be7067e2770f5a77.pdf" TargetMode="External" Id="rId649" /><Relationship Type="http://schemas.openxmlformats.org/officeDocument/2006/relationships/hyperlink" Target="https://mathsgenie.co.uk/a-level/maths/edexcel/a-level-pure-mathematics-7-1-addition-formulae" TargetMode="External" Id="rId650" /><Relationship Type="http://schemas.openxmlformats.org/officeDocument/2006/relationships/hyperlink" Target="https://assets.mathsgenie.co.uk/content/worksheets/a_level_maths/trigonometry-and-modelling-b99133d9.pdf" TargetMode="External" Id="rId651" /><Relationship Type="http://schemas.openxmlformats.org/officeDocument/2006/relationships/hyperlink" Target="https://assets.mathsgenie.co.uk/content/worksheets/a_level_maths/trigonometry-and-modelling-ans-69c51c88.pdf" TargetMode="External" Id="rId652" /><Relationship Type="http://schemas.openxmlformats.org/officeDocument/2006/relationships/hyperlink" Target="https://pmt.physicsandmathstutor.com/download/Maths/A-level/Pure/Trigonometry-2/Edexcel-Set-C/QP/Trigonometric%20Identities%20QP.pdf" TargetMode="External" Id="rId653" /><Relationship Type="http://schemas.openxmlformats.org/officeDocument/2006/relationships/hyperlink" Target="https://pmt.physicsandmathstutor.com/download/Maths/A-level/Pure/Trigonometry-2/Edexcel-Set-C/MS/Trigonometric%20Identities%20MS.pdf" TargetMode="External" Id="rId654" /><Relationship Type="http://schemas.openxmlformats.org/officeDocument/2006/relationships/hyperlink" Target="https://pmt.physicsandmathstutor.com/download/Maths/A-level/Pure/Trigonometry-2/Edexcel-Set-C/MA/Trigonometric%20Identities%20MA.pdf" TargetMode="External" Id="rId655" /><Relationship Type="http://schemas.openxmlformats.org/officeDocument/2006/relationships/hyperlink" Target="https://www.yesterdaysmathsexam.com/_files/ugd/1ba96f_813e46e578db4eb2879882398c80e3c4.pdf" TargetMode="External" Id="rId656" /><Relationship Type="http://schemas.openxmlformats.org/officeDocument/2006/relationships/hyperlink" Target="https://www.yesterdaysmathsexam.com/_files/ugd/1ba96f_cb4a9bc0fd524170be7067e2770f5a77.pdf" TargetMode="External" Id="rId657" /><Relationship Type="http://schemas.openxmlformats.org/officeDocument/2006/relationships/hyperlink" Target="https://mathsgenie.co.uk/a-level/maths/edexcel/a-level-pure-mathematics-7-2-double-angle-formulae" TargetMode="External" Id="rId658" /><Relationship Type="http://schemas.openxmlformats.org/officeDocument/2006/relationships/hyperlink" Target="https://assets.mathsgenie.co.uk/content/worksheets/a_level_maths/trigonometry-and-modelling-b99133d9.pdf" TargetMode="External" Id="rId659" /><Relationship Type="http://schemas.openxmlformats.org/officeDocument/2006/relationships/hyperlink" Target="https://assets.mathsgenie.co.uk/content/worksheets/a_level_maths/trigonometry-and-modelling-ans-69c51c88.pdf" TargetMode="External" Id="rId660" /><Relationship Type="http://schemas.openxmlformats.org/officeDocument/2006/relationships/hyperlink" Target="https://pmt.physicsandmathstutor.com/download/Maths/A-level/Pure/Trigonometry-2/Edexcel-Set-C/QP/Trigonometric%20Equations%20QP.pdf" TargetMode="External" Id="rId661" /><Relationship Type="http://schemas.openxmlformats.org/officeDocument/2006/relationships/hyperlink" Target="https://pmt.physicsandmathstutor.com/download/Maths/A-level/Pure/Trigonometry-2/Edexcel-Set-C/MS/Trigonometric%20Equations%20MS.pdf" TargetMode="External" Id="rId662" /><Relationship Type="http://schemas.openxmlformats.org/officeDocument/2006/relationships/hyperlink" Target="https://pmt.physicsandmathstutor.com/download/Maths/A-level/Pure/Trigonometry-2/Edexcel-Set-C/MA/Trigonometric%20Equations%20MA.pdf" TargetMode="External" Id="rId663" /><Relationship Type="http://schemas.openxmlformats.org/officeDocument/2006/relationships/hyperlink" Target="https://www.yesterdaysmathsexam.com/_files/ugd/1ba96f_813e46e578db4eb2879882398c80e3c4.pdf" TargetMode="External" Id="rId664" /><Relationship Type="http://schemas.openxmlformats.org/officeDocument/2006/relationships/hyperlink" Target="https://www.yesterdaysmathsexam.com/_files/ugd/1ba96f_cb4a9bc0fd524170be7067e2770f5a77.pdf" TargetMode="External" Id="rId665" /><Relationship Type="http://schemas.openxmlformats.org/officeDocument/2006/relationships/hyperlink" Target="https://mathsgenie.co.uk/a-level/maths/edexcel/a-level-pure-mathematics-7-4-simplifying-a-cos-x-b-sin-x" TargetMode="External" Id="rId666" /><Relationship Type="http://schemas.openxmlformats.org/officeDocument/2006/relationships/hyperlink" Target="https://assets.mathsgenie.co.uk/content/worksheets/a_level_maths/trigonometry-and-modelling-b99133d9.pdf" TargetMode="External" Id="rId667" /><Relationship Type="http://schemas.openxmlformats.org/officeDocument/2006/relationships/hyperlink" Target="https://assets.mathsgenie.co.uk/content/worksheets/a_level_maths/trigonometry-and-modelling-ans-69c51c88.pdf" TargetMode="External" Id="rId668" /><Relationship Type="http://schemas.openxmlformats.org/officeDocument/2006/relationships/hyperlink" Target="https://pmt.physicsandmathstutor.com/download/Maths/A-level/Pure/Trigonometry-2/Edexcel-Set-C/QP/Trigonometric%20Equations%20QP.pdf" TargetMode="External" Id="rId669" /><Relationship Type="http://schemas.openxmlformats.org/officeDocument/2006/relationships/hyperlink" Target="https://pmt.physicsandmathstutor.com/download/Maths/A-level/Pure/Trigonometry-2/Edexcel-Set-C/MS/Trigonometric%20Equations%20MS.pdf" TargetMode="External" Id="rId670" /><Relationship Type="http://schemas.openxmlformats.org/officeDocument/2006/relationships/hyperlink" Target="https://pmt.physicsandmathstutor.com/download/Maths/A-level/Pure/Trigonometry-2/Edexcel-Set-C/MA/Trigonometric%20Equations%20MA.pdf" TargetMode="External" Id="rId671" /><Relationship Type="http://schemas.openxmlformats.org/officeDocument/2006/relationships/hyperlink" Target="https://www.yesterdaysmathsexam.com/_files/ugd/1ba96f_813e46e578db4eb2879882398c80e3c4.pdf" TargetMode="External" Id="rId672" /><Relationship Type="http://schemas.openxmlformats.org/officeDocument/2006/relationships/hyperlink" Target="https://www.yesterdaysmathsexam.com/_files/ugd/1ba96f_cb4a9bc0fd524170be7067e2770f5a77.pdf" TargetMode="External" Id="rId673" /><Relationship Type="http://schemas.openxmlformats.org/officeDocument/2006/relationships/hyperlink" Target="https://mathsgenie.co.uk/a-level/maths/edexcel/as-pure-mathematics-10-4-solving-trigonometric-equations" TargetMode="External" Id="rId674" /><Relationship Type="http://schemas.openxmlformats.org/officeDocument/2006/relationships/hyperlink" Target="https://assets.mathsgenie.co.uk/content/worksheets/a_level_maths/as-pure-solving-trig-equations-97afbba6.pdf" TargetMode="External" Id="rId675" /><Relationship Type="http://schemas.openxmlformats.org/officeDocument/2006/relationships/hyperlink" Target="https://assets.mathsgenie.co.uk/content/worksheets/a_level_maths/as-pure-solving-trig-equations-ans-34dad6d1.pdf" TargetMode="External" Id="rId676" /><Relationship Type="http://schemas.openxmlformats.org/officeDocument/2006/relationships/hyperlink" Target="https://pmt.physicsandmathstutor.com/download/Maths/A-level/Pure/Trigonometry-1/Edexcel-Set-C/QP/Trigonometric%20Equations%20QP.pdf" TargetMode="External" Id="rId677" /><Relationship Type="http://schemas.openxmlformats.org/officeDocument/2006/relationships/hyperlink" Target="https://pmt.physicsandmathstutor.com/download/Maths/A-level/Pure/Trigonometry-1/Edexcel-Set-C/MS/Trigonometric%20Equations%20MS.pdf" TargetMode="External" Id="rId678" /><Relationship Type="http://schemas.openxmlformats.org/officeDocument/2006/relationships/hyperlink" Target="https://pmt.physicsandmathstutor.com/download/Maths/A-level/Pure/Trigonometry-1/Edexcel-Set-C/MA/Trigonometric%20Equations%20MA.pdf" TargetMode="External" Id="rId679" /><Relationship Type="http://schemas.openxmlformats.org/officeDocument/2006/relationships/hyperlink" Target="https://www.yesterdaysmathsexam.com/_files/ugd/1ba96f_2c311df40fa8428eb48c8c67a6585999.pdf" TargetMode="External" Id="rId680" /><Relationship Type="http://schemas.openxmlformats.org/officeDocument/2006/relationships/hyperlink" Target="https://www.yesterdaysmathsexam.com/_files/ugd/1ba96f_67d05bced5e54e638c5a51e9d32efa6c.pdf" TargetMode="External" Id="rId681" /><Relationship Type="http://schemas.openxmlformats.org/officeDocument/2006/relationships/hyperlink" Target="https://mathsgenie.co.uk/a-level/maths/edexcel/as-pure-mathematics-10-5-harder-trigonometric-equations" TargetMode="External" Id="rId682" /><Relationship Type="http://schemas.openxmlformats.org/officeDocument/2006/relationships/hyperlink" Target="https://assets.mathsgenie.co.uk/content/worksheets/as_level_maths/trigonometric-identities-and-equations-ffd64a6d.pdf" TargetMode="External" Id="rId683" /><Relationship Type="http://schemas.openxmlformats.org/officeDocument/2006/relationships/hyperlink" Target="https://assets.mathsgenie.co.uk/content/worksheets/as_level_maths/trigonometric-identities-and-equations-ans-1ae76cee.pdf" TargetMode="External" Id="rId684" /><Relationship Type="http://schemas.openxmlformats.org/officeDocument/2006/relationships/hyperlink" Target="https://pmt.physicsandmathstutor.com/download/Maths/A-level/Pure/Trigonometry-1/Edexcel-Set-C/QP/Trigonometric%20Equations%20QP.pdf" TargetMode="External" Id="rId685" /><Relationship Type="http://schemas.openxmlformats.org/officeDocument/2006/relationships/hyperlink" Target="https://pmt.physicsandmathstutor.com/download/Maths/A-level/Pure/Trigonometry-1/Edexcel-Set-C/MS/Trigonometric%20Equations%20MS.pdf" TargetMode="External" Id="rId686" /><Relationship Type="http://schemas.openxmlformats.org/officeDocument/2006/relationships/hyperlink" Target="https://pmt.physicsandmathstutor.com/download/Maths/A-level/Pure/Trigonometry-1/Edexcel-Set-C/MA/Trigonometric%20Equations%20MA.pdf" TargetMode="External" Id="rId687" /><Relationship Type="http://schemas.openxmlformats.org/officeDocument/2006/relationships/hyperlink" Target="https://www.yesterdaysmathsexam.com/_files/ugd/1ba96f_2c311df40fa8428eb48c8c67a6585999.pdf" TargetMode="External" Id="rId688" /><Relationship Type="http://schemas.openxmlformats.org/officeDocument/2006/relationships/hyperlink" Target="https://www.yesterdaysmathsexam.com/_files/ugd/1ba96f_67d05bced5e54e638c5a51e9d32efa6c.pdf" TargetMode="External" Id="rId689" /><Relationship Type="http://schemas.openxmlformats.org/officeDocument/2006/relationships/hyperlink" Target="https://mathsgenie.co.uk/a-level/maths/edexcel/a-level-pure-mathematics-7-3-solving-trigonometric-equations" TargetMode="External" Id="rId690" /><Relationship Type="http://schemas.openxmlformats.org/officeDocument/2006/relationships/hyperlink" Target="https://assets.mathsgenie.co.uk/content/worksheets/a_level_maths/trigonometry-and-modelling-b99133d9.pdf" TargetMode="External" Id="rId691" /><Relationship Type="http://schemas.openxmlformats.org/officeDocument/2006/relationships/hyperlink" Target="https://assets.mathsgenie.co.uk/content/worksheets/a_level_maths/trigonometry-and-modelling-ans-69c51c88.pdf" TargetMode="External" Id="rId692" /><Relationship Type="http://schemas.openxmlformats.org/officeDocument/2006/relationships/hyperlink" Target="https://pmt.physicsandmathstutor.com/download/Maths/A-level/Pure/Trigonometry-2/Edexcel-Set-C/QP/Trigonometric%20Equations%20QP.pdf" TargetMode="External" Id="rId693" /><Relationship Type="http://schemas.openxmlformats.org/officeDocument/2006/relationships/hyperlink" Target="https://pmt.physicsandmathstutor.com/download/Maths/A-level/Pure/Trigonometry-2/Edexcel-Set-C/MS/Trigonometric%20Equations%20MS.pdf" TargetMode="External" Id="rId694" /><Relationship Type="http://schemas.openxmlformats.org/officeDocument/2006/relationships/hyperlink" Target="https://pmt.physicsandmathstutor.com/download/Maths/A-level/Pure/Trigonometry-2/Edexcel-Set-C/MA/Trigonometric%20Equations%20MA.pdf" TargetMode="External" Id="rId695" /><Relationship Type="http://schemas.openxmlformats.org/officeDocument/2006/relationships/hyperlink" Target="https://www.yesterdaysmathsexam.com/_files/ugd/1ba96f_813e46e578db4eb2879882398c80e3c4.pdf" TargetMode="External" Id="rId696" /><Relationship Type="http://schemas.openxmlformats.org/officeDocument/2006/relationships/hyperlink" Target="https://www.yesterdaysmathsexam.com/_files/ugd/1ba96f_cb4a9bc0fd524170be7067e2770f5a77.pdf" TargetMode="External" Id="rId697" /><Relationship Type="http://schemas.openxmlformats.org/officeDocument/2006/relationships/hyperlink" Target="https://mathsgenie.co.uk/a-level/maths/edexcel/a-level-pure-mathematics-7-5-proving-trigonometric-identities" TargetMode="External" Id="rId698" /><Relationship Type="http://schemas.openxmlformats.org/officeDocument/2006/relationships/hyperlink" Target="https://assets.mathsgenie.co.uk/content/worksheets/a_level_maths/trigonometry-and-modelling-b99133d9.pdf" TargetMode="External" Id="rId699" /><Relationship Type="http://schemas.openxmlformats.org/officeDocument/2006/relationships/hyperlink" Target="https://assets.mathsgenie.co.uk/content/worksheets/a_level_maths/trigonometry-and-modelling-ans-69c51c88.pdf" TargetMode="External" Id="rId700" /><Relationship Type="http://schemas.openxmlformats.org/officeDocument/2006/relationships/hyperlink" Target="https://pmt.physicsandmathstutor.com/download/Maths/A-level/Pure/Trigonometry-2/Edexcel-Set-C/QP/Trigonometric%20Equations%20QP.pdf" TargetMode="External" Id="rId701" /><Relationship Type="http://schemas.openxmlformats.org/officeDocument/2006/relationships/hyperlink" Target="https://pmt.physicsandmathstutor.com/download/Maths/A-level/Pure/Trigonometry-2/Edexcel-Set-C/MS/Trigonometric%20Equations%20MS.pdf" TargetMode="External" Id="rId702" /><Relationship Type="http://schemas.openxmlformats.org/officeDocument/2006/relationships/hyperlink" Target="https://pmt.physicsandmathstutor.com/download/Maths/A-level/Pure/Trigonometry-2/Edexcel-Set-C/MA/Trigonometric%20Equations%20MA.pdf" TargetMode="External" Id="rId703" /><Relationship Type="http://schemas.openxmlformats.org/officeDocument/2006/relationships/hyperlink" Target="https://www.yesterdaysmathsexam.com/_files/ugd/1ba96f_813e46e578db4eb2879882398c80e3c4.pdf" TargetMode="External" Id="rId704" /><Relationship Type="http://schemas.openxmlformats.org/officeDocument/2006/relationships/hyperlink" Target="https://www.yesterdaysmathsexam.com/_files/ugd/1ba96f_cb4a9bc0fd524170be7067e2770f5a77.pdf" TargetMode="External" Id="rId705" /><Relationship Type="http://schemas.openxmlformats.org/officeDocument/2006/relationships/hyperlink" Target="https://mathsgenie.co.uk/a-level/maths/edexcel/a-level-pure-mathematics-7-6-modelling-with-trigonometric-functions" TargetMode="External" Id="rId706" /><Relationship Type="http://schemas.openxmlformats.org/officeDocument/2006/relationships/hyperlink" Target="https://assets.mathsgenie.co.uk/content/worksheets/a_level_maths/trigonometry-and-modelling-b99133d9.pdf" TargetMode="External" Id="rId707" /><Relationship Type="http://schemas.openxmlformats.org/officeDocument/2006/relationships/hyperlink" Target="https://assets.mathsgenie.co.uk/content/worksheets/a_level_maths/trigonometry-and-modelling-ans-69c51c88.pdf" TargetMode="External" Id="rId708" /><Relationship Type="http://schemas.openxmlformats.org/officeDocument/2006/relationships/hyperlink" Target="https://pmt.physicsandmathstutor.com/download/Maths/A-level/Pure/Trigonometry-2/Edexcel-Set-C/QP/Modelling%20with%20Trigonometric%20Functions%20QP.pdf" TargetMode="External" Id="rId709" /><Relationship Type="http://schemas.openxmlformats.org/officeDocument/2006/relationships/hyperlink" Target="https://pmt.physicsandmathstutor.com/download/Maths/A-level/Pure/Trigonometry-2/Edexcel-Set-C/MS/Modelling%20with%20Trigonometric%20Functions%20MS.pdf" TargetMode="External" Id="rId710" /><Relationship Type="http://schemas.openxmlformats.org/officeDocument/2006/relationships/hyperlink" Target="https://pmt.physicsandmathstutor.com/download/Maths/A-level/Pure/Trigonometry-2/Edexcel-Set-C/MA/Modelling%20with%20Trigonometric%20Functions%20MA.pdf" TargetMode="External" Id="rId711" /><Relationship Type="http://schemas.openxmlformats.org/officeDocument/2006/relationships/hyperlink" Target="https://www.yesterdaysmathsexam.com/_files/ugd/1ba96f_813e46e578db4eb2879882398c80e3c4.pdf" TargetMode="External" Id="rId712" /><Relationship Type="http://schemas.openxmlformats.org/officeDocument/2006/relationships/hyperlink" Target="https://www.yesterdaysmathsexam.com/_files/ugd/1ba96f_cb4a9bc0fd524170be7067e2770f5a77.pdf" TargetMode="External" Id="rId713" /><Relationship Type="http://schemas.openxmlformats.org/officeDocument/2006/relationships/hyperlink" Target="https://mathsgenie.co.uk/a-level/maths/edexcel/as-pure-mathematics-14-1-exponential-functions" TargetMode="External" Id="rId714" /><Relationship Type="http://schemas.openxmlformats.org/officeDocument/2006/relationships/hyperlink" Target="https://assets.mathsgenie.co.uk/content/worksheets/as_level_maths/as-pure-exponentials-and-logs-16179138.pdf" TargetMode="External" Id="rId715" /><Relationship Type="http://schemas.openxmlformats.org/officeDocument/2006/relationships/hyperlink" Target="https://assets.mathsgenie.co.uk/content/worksheets/as_level_maths/exponentials-and-logs-ans-d72f1b47.pdf" TargetMode="External" Id="rId716" /><Relationship Type="http://schemas.openxmlformats.org/officeDocument/2006/relationships/hyperlink" Target="https://pmt.physicsandmathstutor.com/download/Maths/A-level/Pure/Exponentials-and-Logarithms-1/Edexcel-Set-C/QP/Laws%20of%20Logarithms%20QP.pdf" TargetMode="External" Id="rId717" /><Relationship Type="http://schemas.openxmlformats.org/officeDocument/2006/relationships/hyperlink" Target="https://pmt.physicsandmathstutor.com/download/Maths/A-level/Pure/Exponentials-and-Logarithms-1/Edexcel-Set-C/MS/Laws%20of%20Logarithms%20MS.pdf" TargetMode="External" Id="rId718" /><Relationship Type="http://schemas.openxmlformats.org/officeDocument/2006/relationships/hyperlink" Target="https://pmt.physicsandmathstutor.com/download/Maths/A-level/Pure/Exponentials-and-Logarithms-1/Edexcel-Set-C/MA/Laws%20of%20Logarithms%20MA.pdf" TargetMode="External" Id="rId719" /><Relationship Type="http://schemas.openxmlformats.org/officeDocument/2006/relationships/hyperlink" Target="https://www.yesterdaysmathsexam.com/_files/ugd/1ba96f_6ff07a7e39ae42b89ec4ef14b04e9423.pdf" TargetMode="External" Id="rId720" /><Relationship Type="http://schemas.openxmlformats.org/officeDocument/2006/relationships/hyperlink" Target="https://www.yesterdaysmathsexam.com/_files/ugd/1ba96f_c4b9ccdb696e47c7875bb53e0f6ccc1c.pdf" TargetMode="External" Id="rId721" /><Relationship Type="http://schemas.openxmlformats.org/officeDocument/2006/relationships/hyperlink" Target="https://mathsgenie.co.uk/a-level/maths/edexcel/as-pure-mathematics-14-2-y-e-x" TargetMode="External" Id="rId722" /><Relationship Type="http://schemas.openxmlformats.org/officeDocument/2006/relationships/hyperlink" Target="https://assets.mathsgenie.co.uk/content/worksheets/as_level_maths/as-pure-exponentials-and-logs-16179138.pdf" TargetMode="External" Id="rId723" /><Relationship Type="http://schemas.openxmlformats.org/officeDocument/2006/relationships/hyperlink" Target="https://assets.mathsgenie.co.uk/content/worksheets/as_level_maths/exponentials-and-logs-ans-d72f1b47.pdf" TargetMode="External" Id="rId724" /><Relationship Type="http://schemas.openxmlformats.org/officeDocument/2006/relationships/hyperlink" Target="https://pmt.physicsandmathstutor.com/download/Maths/A-level/Pure/Exponentials-and-Logarithms-1/Edexcel-Set-C/QP/Exponential%20Equations%20QP.pdf" TargetMode="External" Id="rId725" /><Relationship Type="http://schemas.openxmlformats.org/officeDocument/2006/relationships/hyperlink" Target="https://pmt.physicsandmathstutor.com/download/Maths/A-level/Pure/Exponentials-and-Logarithms-1/Edexcel-Set-C/MS/Exponential%20Equations%20MS.pdf" TargetMode="External" Id="rId726" /><Relationship Type="http://schemas.openxmlformats.org/officeDocument/2006/relationships/hyperlink" Target="https://pmt.physicsandmathstutor.com/download/Maths/A-level/Pure/Exponentials-and-Logarithms-1/Edexcel-Set-C/MA/Exponential%20Equations%20MA.pdf" TargetMode="External" Id="rId727" /><Relationship Type="http://schemas.openxmlformats.org/officeDocument/2006/relationships/hyperlink" Target="https://www.yesterdaysmathsexam.com/_files/ugd/1ba96f_6ff07a7e39ae42b89ec4ef14b04e9423.pdf" TargetMode="External" Id="rId728" /><Relationship Type="http://schemas.openxmlformats.org/officeDocument/2006/relationships/hyperlink" Target="https://www.yesterdaysmathsexam.com/_files/ugd/1ba96f_c4b9ccdb696e47c7875bb53e0f6ccc1c.pdf" TargetMode="External" Id="rId729" /><Relationship Type="http://schemas.openxmlformats.org/officeDocument/2006/relationships/hyperlink" Target="https://mathsgenie.co.uk/a-level/maths/edexcel/as-pure-mathematics-14-4-logarithms" TargetMode="External" Id="rId730" /><Relationship Type="http://schemas.openxmlformats.org/officeDocument/2006/relationships/hyperlink" Target="https://assets.mathsgenie.co.uk/content/worksheets/as_level_maths/as-pure-exponentials-and-logs-16179138.pdf" TargetMode="External" Id="rId731" /><Relationship Type="http://schemas.openxmlformats.org/officeDocument/2006/relationships/hyperlink" Target="https://assets.mathsgenie.co.uk/content/worksheets/as_level_maths/exponentials-and-logs-ans-d72f1b47.pdf" TargetMode="External" Id="rId732" /><Relationship Type="http://schemas.openxmlformats.org/officeDocument/2006/relationships/hyperlink" Target="https://pmt.physicsandmathstutor.com/download/Maths/A-level/Pure/Exponentials-and-Logarithms-1/Edexcel-Set-C/QP/Laws%20of%20Logarithms%20QP.pdf" TargetMode="External" Id="rId733" /><Relationship Type="http://schemas.openxmlformats.org/officeDocument/2006/relationships/hyperlink" Target="https://pmt.physicsandmathstutor.com/download/Maths/A-level/Pure/Exponentials-and-Logarithms-1/Edexcel-Set-C/MS/Laws%20of%20Logarithms%20MS.pdf" TargetMode="External" Id="rId734" /><Relationship Type="http://schemas.openxmlformats.org/officeDocument/2006/relationships/hyperlink" Target="https://pmt.physicsandmathstutor.com/download/Maths/A-level/Pure/Exponentials-and-Logarithms-1/Edexcel-Set-C/MA/Laws%20of%20Logarithms%20MA.pdf" TargetMode="External" Id="rId735" /><Relationship Type="http://schemas.openxmlformats.org/officeDocument/2006/relationships/hyperlink" Target="https://www.yesterdaysmathsexam.com/_files/ugd/1ba96f_6ff07a7e39ae42b89ec4ef14b04e9423.pdf" TargetMode="External" Id="rId736" /><Relationship Type="http://schemas.openxmlformats.org/officeDocument/2006/relationships/hyperlink" Target="https://www.yesterdaysmathsexam.com/_files/ugd/1ba96f_c4b9ccdb696e47c7875bb53e0f6ccc1c.pdf" TargetMode="External" Id="rId737" /><Relationship Type="http://schemas.openxmlformats.org/officeDocument/2006/relationships/hyperlink" Target="https://mathsgenie.co.uk/a-level/maths/edexcel/as-pure-mathematics-14-5-laws-of-logarithms" TargetMode="External" Id="rId738" /><Relationship Type="http://schemas.openxmlformats.org/officeDocument/2006/relationships/hyperlink" Target="https://assets.mathsgenie.co.uk/content/worksheets/as_level_maths/as-pure-exponentials-and-logs-16179138.pdf" TargetMode="External" Id="rId739" /><Relationship Type="http://schemas.openxmlformats.org/officeDocument/2006/relationships/hyperlink" Target="https://assets.mathsgenie.co.uk/content/worksheets/as_level_maths/exponentials-and-logs-ans-d72f1b47.pdf" TargetMode="External" Id="rId740" /><Relationship Type="http://schemas.openxmlformats.org/officeDocument/2006/relationships/hyperlink" Target="https://pmt.physicsandmathstutor.com/download/Maths/A-level/Pure/Exponentials-and-Logarithms-1/Edexcel-Set-C/QP/Laws%20of%20Logarithms%20QP.pdf" TargetMode="External" Id="rId741" /><Relationship Type="http://schemas.openxmlformats.org/officeDocument/2006/relationships/hyperlink" Target="https://pmt.physicsandmathstutor.com/download/Maths/A-level/Pure/Exponentials-and-Logarithms-1/Edexcel-Set-C/MS/Laws%20of%20Logarithms%20MS.pdf" TargetMode="External" Id="rId742" /><Relationship Type="http://schemas.openxmlformats.org/officeDocument/2006/relationships/hyperlink" Target="https://pmt.physicsandmathstutor.com/download/Maths/A-level/Pure/Exponentials-and-Logarithms-1/Edexcel-Set-C/MA/Laws%20of%20Logarithms%20MA.pdf" TargetMode="External" Id="rId743" /><Relationship Type="http://schemas.openxmlformats.org/officeDocument/2006/relationships/hyperlink" Target="https://www.yesterdaysmathsexam.com/_files/ugd/1ba96f_6ff07a7e39ae42b89ec4ef14b04e9423.pdf" TargetMode="External" Id="rId744" /><Relationship Type="http://schemas.openxmlformats.org/officeDocument/2006/relationships/hyperlink" Target="https://www.yesterdaysmathsexam.com/_files/ugd/1ba96f_c4b9ccdb696e47c7875bb53e0f6ccc1c.pdf" TargetMode="External" Id="rId745" /><Relationship Type="http://schemas.openxmlformats.org/officeDocument/2006/relationships/hyperlink" Target="https://mathsgenie.co.uk/a-level/maths/edexcel/as-pure-mathematics-14-6-solving-equations-using-logarithms" TargetMode="External" Id="rId746" /><Relationship Type="http://schemas.openxmlformats.org/officeDocument/2006/relationships/hyperlink" Target="https://assets.mathsgenie.co.uk/content/worksheets/as_level_maths/as-pure-exponentials-and-logs-16179138.pdf" TargetMode="External" Id="rId747" /><Relationship Type="http://schemas.openxmlformats.org/officeDocument/2006/relationships/hyperlink" Target="https://assets.mathsgenie.co.uk/content/worksheets/as_level_maths/exponentials-and-logs-ans-d72f1b47.pdf" TargetMode="External" Id="rId748" /><Relationship Type="http://schemas.openxmlformats.org/officeDocument/2006/relationships/hyperlink" Target="https://pmt.physicsandmathstutor.com/download/Maths/A-level/Pure/Exponentials-and-Logarithms-1/Edexcel-Set-C/QP/Laws%20of%20Logarithms%20QP.pdf" TargetMode="External" Id="rId749" /><Relationship Type="http://schemas.openxmlformats.org/officeDocument/2006/relationships/hyperlink" Target="https://pmt.physicsandmathstutor.com/download/Maths/A-level/Pure/Exponentials-and-Logarithms-1/Edexcel-Set-C/MS/Laws%20of%20Logarithms%20MS.pdf" TargetMode="External" Id="rId750" /><Relationship Type="http://schemas.openxmlformats.org/officeDocument/2006/relationships/hyperlink" Target="https://pmt.physicsandmathstutor.com/download/Maths/A-level/Pure/Exponentials-and-Logarithms-1/Edexcel-Set-C/MA/Laws%20of%20Logarithms%20MA.pdf" TargetMode="External" Id="rId751" /><Relationship Type="http://schemas.openxmlformats.org/officeDocument/2006/relationships/hyperlink" Target="https://www.yesterdaysmathsexam.com/_files/ugd/1ba96f_6ff07a7e39ae42b89ec4ef14b04e9423.pdf" TargetMode="External" Id="rId752" /><Relationship Type="http://schemas.openxmlformats.org/officeDocument/2006/relationships/hyperlink" Target="https://www.yesterdaysmathsexam.com/_files/ugd/1ba96f_c4b9ccdb696e47c7875bb53e0f6ccc1c.pdf" TargetMode="External" Id="rId753" /><Relationship Type="http://schemas.openxmlformats.org/officeDocument/2006/relationships/hyperlink" Target="https://mathsgenie.co.uk/a-level/maths/edexcel/as-pure-mathematics-14-7-working-with-natural-logarithms" TargetMode="External" Id="rId754" /><Relationship Type="http://schemas.openxmlformats.org/officeDocument/2006/relationships/hyperlink" Target="https://assets.mathsgenie.co.uk/content/worksheets/as_level_maths/as-pure-exponentials-and-logs-16179138.pdf" TargetMode="External" Id="rId755" /><Relationship Type="http://schemas.openxmlformats.org/officeDocument/2006/relationships/hyperlink" Target="https://assets.mathsgenie.co.uk/content/worksheets/as_level_maths/exponentials-and-logs-ans-d72f1b47.pdf" TargetMode="External" Id="rId756" /><Relationship Type="http://schemas.openxmlformats.org/officeDocument/2006/relationships/hyperlink" Target="https://pmt.physicsandmathstutor.com/download/Maths/A-level/Pure/Exponentials-and-Logarithms-1/Edexcel-Set-C/QP/Exponential%20Equations%20QP.pdf" TargetMode="External" Id="rId757" /><Relationship Type="http://schemas.openxmlformats.org/officeDocument/2006/relationships/hyperlink" Target="https://pmt.physicsandmathstutor.com/download/Maths/A-level/Pure/Exponentials-and-Logarithms-1/Edexcel-Set-C/MS/Exponential%20Equations%20MS.pdf" TargetMode="External" Id="rId758" /><Relationship Type="http://schemas.openxmlformats.org/officeDocument/2006/relationships/hyperlink" Target="https://pmt.physicsandmathstutor.com/download/Maths/A-level/Pure/Exponentials-and-Logarithms-1/Edexcel-Set-C/MA/Exponential%20Equations%20MA.pdf" TargetMode="External" Id="rId759" /><Relationship Type="http://schemas.openxmlformats.org/officeDocument/2006/relationships/hyperlink" Target="https://www.yesterdaysmathsexam.com/_files/ugd/1ba96f_6ff07a7e39ae42b89ec4ef14b04e9423.pdf" TargetMode="External" Id="rId760" /><Relationship Type="http://schemas.openxmlformats.org/officeDocument/2006/relationships/hyperlink" Target="https://www.yesterdaysmathsexam.com/_files/ugd/1ba96f_c4b9ccdb696e47c7875bb53e0f6ccc1c.pdf" TargetMode="External" Id="rId761" /><Relationship Type="http://schemas.openxmlformats.org/officeDocument/2006/relationships/hyperlink" Target="https://mathsgenie.co.uk/a-level/maths/edexcel/as-pure-mathematics-14-8-logarithms-and-non-linear-data" TargetMode="External" Id="rId762" /><Relationship Type="http://schemas.openxmlformats.org/officeDocument/2006/relationships/hyperlink" Target="https://assets.mathsgenie.co.uk/content/worksheets/as_level_maths/as-pure-exponentials-and-logs-16179138.pdf" TargetMode="External" Id="rId763" /><Relationship Type="http://schemas.openxmlformats.org/officeDocument/2006/relationships/hyperlink" Target="https://assets.mathsgenie.co.uk/content/worksheets/as_level_maths/exponentials-and-logs-ans-d72f1b47.pdf" TargetMode="External" Id="rId764" /><Relationship Type="http://schemas.openxmlformats.org/officeDocument/2006/relationships/hyperlink" Target="https://pmt.physicsandmathstutor.com/download/Maths/A-level/Pure/Exponentials-and-Logarithms-1/Edexcel-Set-C/QP/Laws%20of%20Logarithms%20QP.pdf" TargetMode="External" Id="rId765" /><Relationship Type="http://schemas.openxmlformats.org/officeDocument/2006/relationships/hyperlink" Target="https://pmt.physicsandmathstutor.com/download/Maths/A-level/Pure/Exponentials-and-Logarithms-1/Edexcel-Set-C/MS/Laws%20of%20Logarithms%20MS.pdf" TargetMode="External" Id="rId766" /><Relationship Type="http://schemas.openxmlformats.org/officeDocument/2006/relationships/hyperlink" Target="https://pmt.physicsandmathstutor.com/download/Maths/A-level/Pure/Exponentials-and-Logarithms-1/Edexcel-Set-C/MA/Laws%20of%20Logarithms%20MA.pdf" TargetMode="External" Id="rId767" /><Relationship Type="http://schemas.openxmlformats.org/officeDocument/2006/relationships/hyperlink" Target="https://www.yesterdaysmathsexam.com/_files/ugd/1ba96f_6ff07a7e39ae42b89ec4ef14b04e9423.pdf" TargetMode="External" Id="rId768" /><Relationship Type="http://schemas.openxmlformats.org/officeDocument/2006/relationships/hyperlink" Target="https://www.yesterdaysmathsexam.com/_files/ugd/1ba96f_c4b9ccdb696e47c7875bb53e0f6ccc1c.pdf" TargetMode="External" Id="rId769" /><Relationship Type="http://schemas.openxmlformats.org/officeDocument/2006/relationships/hyperlink" Target="https://mathsgenie.co.uk/a-level/maths/edexcel/as-pure-mathematics-14-3-exponential-modelling" TargetMode="External" Id="rId770" /><Relationship Type="http://schemas.openxmlformats.org/officeDocument/2006/relationships/hyperlink" Target="https://assets.mathsgenie.co.uk/content/worksheets/as_level_maths/as-pure-exponentials-and-logs-16179138.pdf" TargetMode="External" Id="rId771" /><Relationship Type="http://schemas.openxmlformats.org/officeDocument/2006/relationships/hyperlink" Target="https://assets.mathsgenie.co.uk/content/worksheets/as_level_maths/exponentials-and-logs-ans-d72f1b47.pdf" TargetMode="External" Id="rId772" /><Relationship Type="http://schemas.openxmlformats.org/officeDocument/2006/relationships/hyperlink" Target="https://pmt.physicsandmathstutor.com/download/Maths/A-level/Pure/Exponentials-and-Logarithms-1/Edexcel-Set-C/QP/Exponential%20Equations%20QP.pdf" TargetMode="External" Id="rId773" /><Relationship Type="http://schemas.openxmlformats.org/officeDocument/2006/relationships/hyperlink" Target="https://pmt.physicsandmathstutor.com/download/Maths/A-level/Pure/Exponentials-and-Logarithms-1/Edexcel-Set-C/MS/Exponential%20Equations%20MS.pdf" TargetMode="External" Id="rId774" /><Relationship Type="http://schemas.openxmlformats.org/officeDocument/2006/relationships/hyperlink" Target="https://pmt.physicsandmathstutor.com/download/Maths/A-level/Pure/Exponentials-and-Logarithms-1/Edexcel-Set-C/MA/Exponential%20Equations%20MA.pdf" TargetMode="External" Id="rId775" /><Relationship Type="http://schemas.openxmlformats.org/officeDocument/2006/relationships/hyperlink" Target="https://www.yesterdaysmathsexam.com/_files/ugd/1ba96f_6ff07a7e39ae42b89ec4ef14b04e9423.pdf" TargetMode="External" Id="rId776" /><Relationship Type="http://schemas.openxmlformats.org/officeDocument/2006/relationships/hyperlink" Target="https://www.yesterdaysmathsexam.com/_files/ugd/1ba96f_c4b9ccdb696e47c7875bb53e0f6ccc1c.pdf" TargetMode="External" Id="rId777" /><Relationship Type="http://schemas.openxmlformats.org/officeDocument/2006/relationships/hyperlink" Target="https://mathsgenie.co.uk/a-level/maths/edexcel/as-pure-mathematics-12-1-gradients-of-curves" TargetMode="External" Id="rId778" /><Relationship Type="http://schemas.openxmlformats.org/officeDocument/2006/relationships/hyperlink" Target="https://assets.mathsgenie.co.uk/content/worksheets/as_level_maths/as-pure-differentiation-a2014652.pdf" TargetMode="External" Id="rId779" /><Relationship Type="http://schemas.openxmlformats.org/officeDocument/2006/relationships/hyperlink" Target="https://assets.mathsgenie.co.uk/content/worksheets/as_level_maths/as-pure-differentiation-ans-ed22b85d.pdf" TargetMode="External" Id="rId780" /><Relationship Type="http://schemas.openxmlformats.org/officeDocument/2006/relationships/hyperlink" Target="https://pmt.physicsandmathstutor.com/download/Maths/A-level/Pure/Differentiation-1/Edexcel-Set-C/QP/Basic%20Differentiation%20QP.pdf" TargetMode="External" Id="rId781" /><Relationship Type="http://schemas.openxmlformats.org/officeDocument/2006/relationships/hyperlink" Target="https://pmt.physicsandmathstutor.com/download/Maths/A-level/Pure/Differentiation-1/Edexcel-Set-C/MS/Basic%20Differentiation%20MS.pdf" TargetMode="External" Id="rId782" /><Relationship Type="http://schemas.openxmlformats.org/officeDocument/2006/relationships/hyperlink" Target="https://pmt.physicsandmathstutor.com/download/Maths/A-level/Pure/Differentiation-1/Edexcel-Set-C/MA/Basic%20Differentiation%20MA.pdf" TargetMode="External" Id="rId783" /><Relationship Type="http://schemas.openxmlformats.org/officeDocument/2006/relationships/hyperlink" Target="https://www.yesterdaysmathsexam.com/_files/ugd/1ba96f_ffb72e9d0b7845f1a341a2217b83af59.pdf" TargetMode="External" Id="rId784" /><Relationship Type="http://schemas.openxmlformats.org/officeDocument/2006/relationships/hyperlink" Target="https://www.yesterdaysmathsexam.com/_files/ugd/1ba96f_b935bc166b204d05bb5714796394db5f.pdf" TargetMode="External" Id="rId785" /><Relationship Type="http://schemas.openxmlformats.org/officeDocument/2006/relationships/hyperlink" Target="https://mathsgenie.co.uk/a-level/maths/edexcel/as-pure-mathematics-12-2-differentiation-from-first-principles" TargetMode="External" Id="rId786" /><Relationship Type="http://schemas.openxmlformats.org/officeDocument/2006/relationships/hyperlink" Target="https://assets.mathsgenie.co.uk/content/worksheets/a_level_maths/as-pure-differentiation-first-principles-1d905079.pdf" TargetMode="External" Id="rId787" /><Relationship Type="http://schemas.openxmlformats.org/officeDocument/2006/relationships/hyperlink" Target="https://assets.mathsgenie.co.uk/content/worksheets/a_level_maths/as-pure-differentiation-first-principles-ans-4c10f9b7.pdf" TargetMode="External" Id="rId788" /><Relationship Type="http://schemas.openxmlformats.org/officeDocument/2006/relationships/hyperlink" Target="https://pmt.physicsandmathstutor.com/download/Maths/A-level/Pure/Differentiation-1/Edexcel-Set-C/QP/Differentiation%20from%20First%20Principles%20QP.pdf" TargetMode="External" Id="rId789" /><Relationship Type="http://schemas.openxmlformats.org/officeDocument/2006/relationships/hyperlink" Target="https://pmt.physicsandmathstutor.com/download/Maths/A-level/Pure/Differentiation-1/Edexcel-Set-C/MS/Differentiation%20from%20First%20Principles%20MS.pdf" TargetMode="External" Id="rId790" /><Relationship Type="http://schemas.openxmlformats.org/officeDocument/2006/relationships/hyperlink" Target="https://pmt.physicsandmathstutor.com/download/Maths/A-level/Pure/Differentiation-1/Edexcel-Set-C/MA/Differentiation%20from%20First%20Principles%20MA.pdf" TargetMode="External" Id="rId791" /><Relationship Type="http://schemas.openxmlformats.org/officeDocument/2006/relationships/hyperlink" Target="https://www.yesterdaysmathsexam.com/_files/ugd/1ba96f_ffb72e9d0b7845f1a341a2217b83af59.pdf" TargetMode="External" Id="rId792" /><Relationship Type="http://schemas.openxmlformats.org/officeDocument/2006/relationships/hyperlink" Target="https://www.yesterdaysmathsexam.com/_files/ugd/1ba96f_b935bc166b204d05bb5714796394db5f.pdf" TargetMode="External" Id="rId793" /><Relationship Type="http://schemas.openxmlformats.org/officeDocument/2006/relationships/hyperlink" Target="https://mathsgenie.co.uk/a-level/maths/edexcel/a-level-pure-mathematics-9-1-differentiating-sin-x-and-cos-x" TargetMode="External" Id="rId794" /><Relationship Type="http://schemas.openxmlformats.org/officeDocument/2006/relationships/hyperlink" Target="https://assets.mathsgenie.co.uk/content/worksheets/a_level_maths/year-2-differentiation-5cb3a7d8.pdf" TargetMode="External" Id="rId795" /><Relationship Type="http://schemas.openxmlformats.org/officeDocument/2006/relationships/hyperlink" Target="https://assets.mathsgenie.co.uk/content/worksheets/a_level_maths/year-2-differentiation-ans-fe9163b5.pdf" TargetMode="External" Id="rId796" /><Relationship Type="http://schemas.openxmlformats.org/officeDocument/2006/relationships/hyperlink" Target="https://pmt.physicsandmathstutor.com/download/Maths/A-level/Pure/Differentiation-1/Edexcel-Set-C/QP/Differentiation%20from%20First%20Principles%20QP.pdf" TargetMode="External" Id="rId797" /><Relationship Type="http://schemas.openxmlformats.org/officeDocument/2006/relationships/hyperlink" Target="https://pmt.physicsandmathstutor.com/download/Maths/A-level/Pure/Differentiation-1/Edexcel-Set-C/MS/Differentiation%20from%20First%20Principles%20MS.pdf" TargetMode="External" Id="rId798" /><Relationship Type="http://schemas.openxmlformats.org/officeDocument/2006/relationships/hyperlink" Target="https://pmt.physicsandmathstutor.com/download/Maths/A-level/Pure/Differentiation-1/Edexcel-Set-C/MA/Differentiation%20from%20First%20Principles%20MA.pdf" TargetMode="External" Id="rId799" /><Relationship Type="http://schemas.openxmlformats.org/officeDocument/2006/relationships/hyperlink" Target="https://www.yesterdaysmathsexam.com/_files/ugd/1ba96f_4204150e65994886a18f7897dc4e8975.pdf" TargetMode="External" Id="rId800" /><Relationship Type="http://schemas.openxmlformats.org/officeDocument/2006/relationships/hyperlink" Target="https://www.yesterdaysmathsexam.com/_files/ugd/1ba96f_15aac9787f364dd2bcb8272f1faaf96c.pdf" TargetMode="External" Id="rId801" /><Relationship Type="http://schemas.openxmlformats.org/officeDocument/2006/relationships/hyperlink" Target="https://mathsgenie.co.uk/a-level/maths/edexcel/as-pure-mathematics-12-10-sketching-gradient-functions" TargetMode="External" Id="rId802" /><Relationship Type="http://schemas.openxmlformats.org/officeDocument/2006/relationships/hyperlink" Target="https://assets.mathsgenie.co.uk/content/worksheets/as_level_maths/as-pure-differentiation-a2014652.pdf" TargetMode="External" Id="rId803" /><Relationship Type="http://schemas.openxmlformats.org/officeDocument/2006/relationships/hyperlink" Target="https://assets.mathsgenie.co.uk/content/worksheets/as_level_maths/as-pure-differentiation-ans-ed22b85d.pdf" TargetMode="External" Id="rId804" /><Relationship Type="http://schemas.openxmlformats.org/officeDocument/2006/relationships/hyperlink" Target="https://www.yesterdaysmathsexam.com/_files/ugd/1ba96f_ffb72e9d0b7845f1a341a2217b83af59.pdf" TargetMode="External" Id="rId805" /><Relationship Type="http://schemas.openxmlformats.org/officeDocument/2006/relationships/hyperlink" Target="https://www.yesterdaysmathsexam.com/_files/ugd/1ba96f_b935bc166b204d05bb5714796394db5f.pdf" TargetMode="External" Id="rId806" /><Relationship Type="http://schemas.openxmlformats.org/officeDocument/2006/relationships/hyperlink" Target="https://mathsgenie.co.uk/a-level/maths/edexcel/as-pure-mathematics-12-8-second-order-derivatives" TargetMode="External" Id="rId807" /><Relationship Type="http://schemas.openxmlformats.org/officeDocument/2006/relationships/hyperlink" Target="https://assets.mathsgenie.co.uk/content/worksheets/as_level_maths/as-pure-differentiation-a2014652.pdf" TargetMode="External" Id="rId808" /><Relationship Type="http://schemas.openxmlformats.org/officeDocument/2006/relationships/hyperlink" Target="https://assets.mathsgenie.co.uk/content/worksheets/as_level_maths/as-pure-differentiation-ans-ed22b85d.pdf" TargetMode="External" Id="rId809" /><Relationship Type="http://schemas.openxmlformats.org/officeDocument/2006/relationships/hyperlink" Target="https://pmt.physicsandmathstutor.com/download/Maths/A-level/Pure/Differentiation-1/Edexcel-Set-C/QP/Stationary%20Points%20QP.pdf" TargetMode="External" Id="rId810" /><Relationship Type="http://schemas.openxmlformats.org/officeDocument/2006/relationships/hyperlink" Target="https://pmt.physicsandmathstutor.com/download/Maths/A-level/Pure/Differentiation-1/Edexcel-Set-C/MS/Stationary%20Points%20MS.pdf" TargetMode="External" Id="rId811" /><Relationship Type="http://schemas.openxmlformats.org/officeDocument/2006/relationships/hyperlink" Target="https://pmt.physicsandmathstutor.com/download/Maths/A-level/Pure/Differentiation-1/Edexcel-Set-C/MA/Stationary%20Points%20MA.pdf" TargetMode="External" Id="rId812" /><Relationship Type="http://schemas.openxmlformats.org/officeDocument/2006/relationships/hyperlink" Target="https://www.yesterdaysmathsexam.com/_files/ugd/1ba96f_ffb72e9d0b7845f1a341a2217b83af59.pdf" TargetMode="External" Id="rId813" /><Relationship Type="http://schemas.openxmlformats.org/officeDocument/2006/relationships/hyperlink" Target="https://www.yesterdaysmathsexam.com/_files/ugd/1ba96f_b935bc166b204d05bb5714796394db5f.pdf" TargetMode="External" Id="rId814" /><Relationship Type="http://schemas.openxmlformats.org/officeDocument/2006/relationships/hyperlink" Target="https://mathsgenie.co.uk/a-level/maths/edexcel/a-level-pure-mathematics-9-9-using-second-derivatives" TargetMode="External" Id="rId815" /><Relationship Type="http://schemas.openxmlformats.org/officeDocument/2006/relationships/hyperlink" Target="https://assets.mathsgenie.co.uk/content/worksheets/a_level_maths/year-2-differentiation-5cb3a7d8.pdf" TargetMode="External" Id="rId816" /><Relationship Type="http://schemas.openxmlformats.org/officeDocument/2006/relationships/hyperlink" Target="https://assets.mathsgenie.co.uk/content/worksheets/a_level_maths/year-2-differentiation-ans-fe9163b5.pdf" TargetMode="External" Id="rId817" /><Relationship Type="http://schemas.openxmlformats.org/officeDocument/2006/relationships/hyperlink" Target="https://pmt.physicsandmathstutor.com/download/Maths/A-level/Pure/Differentiation-1/Edexcel-Set-C/QP/Stationary%20Points%20QP.pdf" TargetMode="External" Id="rId818" /><Relationship Type="http://schemas.openxmlformats.org/officeDocument/2006/relationships/hyperlink" Target="https://pmt.physicsandmathstutor.com/download/Maths/A-level/Pure/Differentiation-1/Edexcel-Set-C/MS/Stationary%20Points%20MS.pdf" TargetMode="External" Id="rId819" /><Relationship Type="http://schemas.openxmlformats.org/officeDocument/2006/relationships/hyperlink" Target="https://pmt.physicsandmathstutor.com/download/Maths/A-level/Pure/Differentiation-1/Edexcel-Set-C/MA/Stationary%20Points%20MA.pdf" TargetMode="External" Id="rId820" /><Relationship Type="http://schemas.openxmlformats.org/officeDocument/2006/relationships/hyperlink" Target="https://www.yesterdaysmathsexam.com/_files/ugd/1ba96f_4204150e65994886a18f7897dc4e8975.pdf" TargetMode="External" Id="rId821" /><Relationship Type="http://schemas.openxmlformats.org/officeDocument/2006/relationships/hyperlink" Target="https://www.yesterdaysmathsexam.com/_files/ugd/1ba96f_15aac9787f364dd2bcb8272f1faaf96c.pdf" TargetMode="External" Id="rId822" /><Relationship Type="http://schemas.openxmlformats.org/officeDocument/2006/relationships/hyperlink" Target="https://mathsgenie.co.uk/a-level/maths/edexcel/as-pure-mathematics-12-5-differentiating-functions-with-two-or-more-terms" TargetMode="External" Id="rId823" /><Relationship Type="http://schemas.openxmlformats.org/officeDocument/2006/relationships/hyperlink" Target="https://assets.mathsgenie.co.uk/content/worksheets/as_level_maths/as-pure-differentiation-a2014652.pdf" TargetMode="External" Id="rId824" /><Relationship Type="http://schemas.openxmlformats.org/officeDocument/2006/relationships/hyperlink" Target="https://assets.mathsgenie.co.uk/content/worksheets/as_level_maths/as-pure-differentiation-ans-ed22b85d.pdf" TargetMode="External" Id="rId825" /><Relationship Type="http://schemas.openxmlformats.org/officeDocument/2006/relationships/hyperlink" Target="https://pmt.physicsandmathstutor.com/download/Maths/A-level/Pure/Differentiation-1/Edexcel-Set-C/QP/Basic%20Differentiation%20QP.pdf" TargetMode="External" Id="rId826" /><Relationship Type="http://schemas.openxmlformats.org/officeDocument/2006/relationships/hyperlink" Target="https://pmt.physicsandmathstutor.com/download/Maths/A-level/Pure/Differentiation-1/Edexcel-Set-C/MS/Basic%20Differentiation%20MS.pdf" TargetMode="External" Id="rId827" /><Relationship Type="http://schemas.openxmlformats.org/officeDocument/2006/relationships/hyperlink" Target="https://pmt.physicsandmathstutor.com/download/Maths/A-level/Pure/Differentiation-1/Edexcel-Set-C/MA/Basic%20Differentiation%20MA.pdf" TargetMode="External" Id="rId828" /><Relationship Type="http://schemas.openxmlformats.org/officeDocument/2006/relationships/hyperlink" Target="https://www.yesterdaysmathsexam.com/_files/ugd/1ba96f_ffb72e9d0b7845f1a341a2217b83af59.pdf" TargetMode="External" Id="rId829" /><Relationship Type="http://schemas.openxmlformats.org/officeDocument/2006/relationships/hyperlink" Target="https://www.yesterdaysmathsexam.com/_files/ugd/1ba96f_b935bc166b204d05bb5714796394db5f.pdf" TargetMode="External" Id="rId830" /><Relationship Type="http://schemas.openxmlformats.org/officeDocument/2006/relationships/hyperlink" Target="https://mathsgenie.co.uk/a-level/maths/edexcel/a-level-pure-mathematics-9-6-differentiating-trigonometric-functions" TargetMode="External" Id="rId831" /><Relationship Type="http://schemas.openxmlformats.org/officeDocument/2006/relationships/hyperlink" Target="https://assets.mathsgenie.co.uk/content/worksheets/a_level_maths/year-2-differentiation-5cb3a7d8.pdf" TargetMode="External" Id="rId832" /><Relationship Type="http://schemas.openxmlformats.org/officeDocument/2006/relationships/hyperlink" Target="https://assets.mathsgenie.co.uk/content/worksheets/a_level_maths/year-2-differentiation-ans-fe9163b5.pdf" TargetMode="External" Id="rId833" /><Relationship Type="http://schemas.openxmlformats.org/officeDocument/2006/relationships/hyperlink" Target="https://www.yesterdaysmathsexam.com/_files/ugd/1ba96f_4204150e65994886a18f7897dc4e8975.pdf" TargetMode="External" Id="rId834" /><Relationship Type="http://schemas.openxmlformats.org/officeDocument/2006/relationships/hyperlink" Target="https://www.yesterdaysmathsexam.com/_files/ugd/1ba96f_15aac9787f364dd2bcb8272f1faaf96c.pdf" TargetMode="External" Id="rId835" /><Relationship Type="http://schemas.openxmlformats.org/officeDocument/2006/relationships/hyperlink" Target="https://mathsgenie.co.uk/a-level/maths/edexcel/a-level-pure-mathematics-9-2-differentiating-exponentials-and-logarithms" TargetMode="External" Id="rId836" /><Relationship Type="http://schemas.openxmlformats.org/officeDocument/2006/relationships/hyperlink" Target="https://assets.mathsgenie.co.uk/content/worksheets/a_level_maths/year-2-differentiation-5cb3a7d8.pdf" TargetMode="External" Id="rId837" /><Relationship Type="http://schemas.openxmlformats.org/officeDocument/2006/relationships/hyperlink" Target="https://assets.mathsgenie.co.uk/content/worksheets/a_level_maths/year-2-differentiation-ans-fe9163b5.pdf" TargetMode="External" Id="rId838" /><Relationship Type="http://schemas.openxmlformats.org/officeDocument/2006/relationships/hyperlink" Target="https://pmt.physicsandmathstutor.com/download/Maths/A-level/Pure/Differentiation-2/Edexcel-Set-C/QP/Products%20and%20Quotients%20QP.pdf" TargetMode="External" Id="rId839" /><Relationship Type="http://schemas.openxmlformats.org/officeDocument/2006/relationships/hyperlink" Target="https://pmt.physicsandmathstutor.com/download/Maths/A-level/Pure/Differentiation-2/Edexcel-Set-C/MS/Products%20and%20Quotients%20MS.pdf" TargetMode="External" Id="rId840" /><Relationship Type="http://schemas.openxmlformats.org/officeDocument/2006/relationships/hyperlink" Target="https://pmt.physicsandmathstutor.com/download/Maths/A-level/Pure/Differentiation-2/Edexcel-Set-C/MA/Products%20and%20Quotients%20MA.pdf" TargetMode="External" Id="rId841" /><Relationship Type="http://schemas.openxmlformats.org/officeDocument/2006/relationships/hyperlink" Target="https://www.yesterdaysmathsexam.com/_files/ugd/1ba96f_4204150e65994886a18f7897dc4e8975.pdf" TargetMode="External" Id="rId842" /><Relationship Type="http://schemas.openxmlformats.org/officeDocument/2006/relationships/hyperlink" Target="https://www.yesterdaysmathsexam.com/_files/ugd/1ba96f_15aac9787f364dd2bcb8272f1faaf96c.pdf" TargetMode="External" Id="rId843" /><Relationship Type="http://schemas.openxmlformats.org/officeDocument/2006/relationships/hyperlink" Target="https://mathsgenie.co.uk/a-level/maths/edexcel/as-pure-mathematics-12-6-gradients-tangents-and-normals" TargetMode="External" Id="rId844" /><Relationship Type="http://schemas.openxmlformats.org/officeDocument/2006/relationships/hyperlink" Target="https://assets.mathsgenie.co.uk/content/worksheets/as_level_maths/as-pure-differentiation-a2014652.pdf" TargetMode="External" Id="rId845" /><Relationship Type="http://schemas.openxmlformats.org/officeDocument/2006/relationships/hyperlink" Target="https://assets.mathsgenie.co.uk/content/worksheets/as_level_maths/as-pure-differentiation-ans-ed22b85d.pdf" TargetMode="External" Id="rId846" /><Relationship Type="http://schemas.openxmlformats.org/officeDocument/2006/relationships/hyperlink" Target="https://pmt.physicsandmathstutor.com/download/Maths/A-level/Pure/Differentiation-1/Edexcel-Set-C/QP/Tangents%20and%20Normals%20QP.pdf" TargetMode="External" Id="rId847" /><Relationship Type="http://schemas.openxmlformats.org/officeDocument/2006/relationships/hyperlink" Target="https://pmt.physicsandmathstutor.com/download/Maths/A-level/Pure/Differentiation-1/Edexcel-Set-C/MS/Tangents%20and%20Normals%20MS.pdf" TargetMode="External" Id="rId848" /><Relationship Type="http://schemas.openxmlformats.org/officeDocument/2006/relationships/hyperlink" Target="https://pmt.physicsandmathstutor.com/download/Maths/A-level/Pure/Differentiation-1/Edexcel-Set-C/MA/Tangents%20and%20Normals%20MA.pdf" TargetMode="External" Id="rId849" /><Relationship Type="http://schemas.openxmlformats.org/officeDocument/2006/relationships/hyperlink" Target="https://www.yesterdaysmathsexam.com/_files/ugd/1ba96f_ffb72e9d0b7845f1a341a2217b83af59.pdf" TargetMode="External" Id="rId850" /><Relationship Type="http://schemas.openxmlformats.org/officeDocument/2006/relationships/hyperlink" Target="https://www.yesterdaysmathsexam.com/_files/ugd/1ba96f_b935bc166b204d05bb5714796394db5f.pdf" TargetMode="External" Id="rId851" /><Relationship Type="http://schemas.openxmlformats.org/officeDocument/2006/relationships/hyperlink" Target="https://mathsgenie.co.uk/a-level/maths/edexcel/as-pure-mathematics-12-7-increasing-and-decreasing-functions" TargetMode="External" Id="rId852" /><Relationship Type="http://schemas.openxmlformats.org/officeDocument/2006/relationships/hyperlink" Target="https://assets.mathsgenie.co.uk/content/worksheets/as_level_maths/as-pure-differentiation-a2014652.pdf" TargetMode="External" Id="rId853" /><Relationship Type="http://schemas.openxmlformats.org/officeDocument/2006/relationships/hyperlink" Target="https://assets.mathsgenie.co.uk/content/worksheets/as_level_maths/as-pure-differentiation-ans-ed22b85d.pdf" TargetMode="External" Id="rId854" /><Relationship Type="http://schemas.openxmlformats.org/officeDocument/2006/relationships/hyperlink" Target="https://pmt.physicsandmathstutor.com/download/Maths/A-level/Pure/Differentiation-1/Edexcel-Set-C/QP/Basic%20Differentiation%20QP.pdf" TargetMode="External" Id="rId855" /><Relationship Type="http://schemas.openxmlformats.org/officeDocument/2006/relationships/hyperlink" Target="https://pmt.physicsandmathstutor.com/download/Maths/A-level/Pure/Differentiation-1/Edexcel-Set-C/MS/Basic%20Differentiation%20MS.pdf" TargetMode="External" Id="rId856" /><Relationship Type="http://schemas.openxmlformats.org/officeDocument/2006/relationships/hyperlink" Target="https://pmt.physicsandmathstutor.com/download/Maths/A-level/Pure/Differentiation-1/Edexcel-Set-C/MA/Basic%20Differentiation%20MA.pdf" TargetMode="External" Id="rId857" /><Relationship Type="http://schemas.openxmlformats.org/officeDocument/2006/relationships/hyperlink" Target="https://www.yesterdaysmathsexam.com/_files/ugd/1ba96f_ffb72e9d0b7845f1a341a2217b83af59.pdf" TargetMode="External" Id="rId858" /><Relationship Type="http://schemas.openxmlformats.org/officeDocument/2006/relationships/hyperlink" Target="https://www.yesterdaysmathsexam.com/_files/ugd/1ba96f_b935bc166b204d05bb5714796394db5f.pdf" TargetMode="External" Id="rId859" /><Relationship Type="http://schemas.openxmlformats.org/officeDocument/2006/relationships/hyperlink" Target="https://mathsgenie.co.uk/a-level/maths/edexcel/as-pure-mathematics-12-9-stationary-points" TargetMode="External" Id="rId860" /><Relationship Type="http://schemas.openxmlformats.org/officeDocument/2006/relationships/hyperlink" Target="https://assets.mathsgenie.co.uk/content/worksheets/as_level_maths/as-pure-differentiation-a2014652.pdf" TargetMode="External" Id="rId861" /><Relationship Type="http://schemas.openxmlformats.org/officeDocument/2006/relationships/hyperlink" Target="https://assets.mathsgenie.co.uk/content/worksheets/as_level_maths/as-pure-differentiation-ans-ed22b85d.pdf" TargetMode="External" Id="rId862" /><Relationship Type="http://schemas.openxmlformats.org/officeDocument/2006/relationships/hyperlink" Target="https://pmt.physicsandmathstutor.com/download/Maths/A-level/Pure/Differentiation-1/Edexcel-Set-C/QP/Stationary%20Points%20QP.pdf" TargetMode="External" Id="rId863" /><Relationship Type="http://schemas.openxmlformats.org/officeDocument/2006/relationships/hyperlink" Target="https://pmt.physicsandmathstutor.com/download/Maths/A-level/Pure/Differentiation-1/Edexcel-Set-C/MS/Stationary%20Points%20MS.pdf" TargetMode="External" Id="rId864" /><Relationship Type="http://schemas.openxmlformats.org/officeDocument/2006/relationships/hyperlink" Target="https://pmt.physicsandmathstutor.com/download/Maths/A-level/Pure/Differentiation-1/Edexcel-Set-C/MA/Stationary%20Points%20MA.pdf" TargetMode="External" Id="rId865" /><Relationship Type="http://schemas.openxmlformats.org/officeDocument/2006/relationships/hyperlink" Target="https://www.yesterdaysmathsexam.com/_files/ugd/1ba96f_ffb72e9d0b7845f1a341a2217b83af59.pdf" TargetMode="External" Id="rId866" /><Relationship Type="http://schemas.openxmlformats.org/officeDocument/2006/relationships/hyperlink" Target="https://www.yesterdaysmathsexam.com/_files/ugd/1ba96f_b935bc166b204d05bb5714796394db5f.pdf" TargetMode="External" Id="rId867" /><Relationship Type="http://schemas.openxmlformats.org/officeDocument/2006/relationships/hyperlink" Target="https://mathsgenie.co.uk/a-level/maths/edexcel/as-pure-mathematics-12-11-modelling-with-differentiation" TargetMode="External" Id="rId868" /><Relationship Type="http://schemas.openxmlformats.org/officeDocument/2006/relationships/hyperlink" Target="https://assets.mathsgenie.co.uk/content/worksheets/as_level_maths/as-pure-differentiation-a2014652.pdf" TargetMode="External" Id="rId869" /><Relationship Type="http://schemas.openxmlformats.org/officeDocument/2006/relationships/hyperlink" Target="https://assets.mathsgenie.co.uk/content/worksheets/as_level_maths/as-pure-differentiation-ans-ed22b85d.pdf" TargetMode="External" Id="rId870" /><Relationship Type="http://schemas.openxmlformats.org/officeDocument/2006/relationships/hyperlink" Target="https://pmt.physicsandmathstutor.com/download/Maths/A-level/Pure/Differentiation-1/Edexcel-Set-C/QP/Stationary%20Points%20QP.pdf" TargetMode="External" Id="rId871" /><Relationship Type="http://schemas.openxmlformats.org/officeDocument/2006/relationships/hyperlink" Target="https://pmt.physicsandmathstutor.com/download/Maths/A-level/Pure/Differentiation-1/Edexcel-Set-C/MS/Stationary%20Points%20MS.pdf" TargetMode="External" Id="rId872" /><Relationship Type="http://schemas.openxmlformats.org/officeDocument/2006/relationships/hyperlink" Target="https://pmt.physicsandmathstutor.com/download/Maths/A-level/Pure/Differentiation-1/Edexcel-Set-C/MA/Stationary%20Points%20MA.pdf" TargetMode="External" Id="rId873" /><Relationship Type="http://schemas.openxmlformats.org/officeDocument/2006/relationships/hyperlink" Target="https://www.yesterdaysmathsexam.com/_files/ugd/1ba96f_ffb72e9d0b7845f1a341a2217b83af59.pdf" TargetMode="External" Id="rId874" /><Relationship Type="http://schemas.openxmlformats.org/officeDocument/2006/relationships/hyperlink" Target="https://www.yesterdaysmathsexam.com/_files/ugd/1ba96f_b935bc166b204d05bb5714796394db5f.pdf" TargetMode="External" Id="rId875" /><Relationship Type="http://schemas.openxmlformats.org/officeDocument/2006/relationships/hyperlink" Target="https://mathsgenie.co.uk/a-level/maths/edexcel/a-level-pure-mathematics-9-3-the-chain-rule" TargetMode="External" Id="rId876" /><Relationship Type="http://schemas.openxmlformats.org/officeDocument/2006/relationships/hyperlink" Target="https://assets.mathsgenie.co.uk/content/worksheets/a_level_maths/year-2-differentiation-5cb3a7d8.pdf" TargetMode="External" Id="rId877" /><Relationship Type="http://schemas.openxmlformats.org/officeDocument/2006/relationships/hyperlink" Target="https://assets.mathsgenie.co.uk/content/worksheets/a_level_maths/year-2-differentiation-ans-fe9163b5.pdf" TargetMode="External" Id="rId878" /><Relationship Type="http://schemas.openxmlformats.org/officeDocument/2006/relationships/hyperlink" Target="https://pmt.physicsandmathstutor.com/download/Maths/A-level/Pure/Differentiation-2/Edexcel-Set-C/QP/Products%20and%20Quotients%20QP.pdf" TargetMode="External" Id="rId879" /><Relationship Type="http://schemas.openxmlformats.org/officeDocument/2006/relationships/hyperlink" Target="https://pmt.physicsandmathstutor.com/download/Maths/A-level/Pure/Differentiation-2/Edexcel-Set-C/MS/Products%20and%20Quotients%20MS.pdf" TargetMode="External" Id="rId880" /><Relationship Type="http://schemas.openxmlformats.org/officeDocument/2006/relationships/hyperlink" Target="https://pmt.physicsandmathstutor.com/download/Maths/A-level/Pure/Differentiation-2/Edexcel-Set-C/MA/Products%20and%20Quotients%20MA.pdf" TargetMode="External" Id="rId881" /><Relationship Type="http://schemas.openxmlformats.org/officeDocument/2006/relationships/hyperlink" Target="https://www.yesterdaysmathsexam.com/_files/ugd/1ba96f_4204150e65994886a18f7897dc4e8975.pdf" TargetMode="External" Id="rId882" /><Relationship Type="http://schemas.openxmlformats.org/officeDocument/2006/relationships/hyperlink" Target="https://www.yesterdaysmathsexam.com/_files/ugd/1ba96f_15aac9787f364dd2bcb8272f1faaf96c.pdf" TargetMode="External" Id="rId883" /><Relationship Type="http://schemas.openxmlformats.org/officeDocument/2006/relationships/hyperlink" Target="https://mathsgenie.co.uk/a-level/maths/edexcel/a-level-pure-mathematics-9-4-the-product-rule" TargetMode="External" Id="rId884" /><Relationship Type="http://schemas.openxmlformats.org/officeDocument/2006/relationships/hyperlink" Target="https://assets.mathsgenie.co.uk/content/worksheets/a_level_maths/year-2-differentiation-5cb3a7d8.pdf" TargetMode="External" Id="rId885" /><Relationship Type="http://schemas.openxmlformats.org/officeDocument/2006/relationships/hyperlink" Target="https://assets.mathsgenie.co.uk/content/worksheets/a_level_maths/year-2-differentiation-ans-fe9163b5.pdf" TargetMode="External" Id="rId886" /><Relationship Type="http://schemas.openxmlformats.org/officeDocument/2006/relationships/hyperlink" Target="https://pmt.physicsandmathstutor.com/download/Maths/A-level/Pure/Differentiation-2/Edexcel-Set-C/QP/Products%20and%20Quotients%20QP.pdf" TargetMode="External" Id="rId887" /><Relationship Type="http://schemas.openxmlformats.org/officeDocument/2006/relationships/hyperlink" Target="https://pmt.physicsandmathstutor.com/download/Maths/A-level/Pure/Differentiation-2/Edexcel-Set-C/MS/Products%20and%20Quotients%20MS.pdf" TargetMode="External" Id="rId888" /><Relationship Type="http://schemas.openxmlformats.org/officeDocument/2006/relationships/hyperlink" Target="https://pmt.physicsandmathstutor.com/download/Maths/A-level/Pure/Differentiation-2/Edexcel-Set-C/MA/Products%20and%20Quotients%20MA.pdf" TargetMode="External" Id="rId889" /><Relationship Type="http://schemas.openxmlformats.org/officeDocument/2006/relationships/hyperlink" Target="https://www.yesterdaysmathsexam.com/_files/ugd/1ba96f_4204150e65994886a18f7897dc4e8975.pdf" TargetMode="External" Id="rId890" /><Relationship Type="http://schemas.openxmlformats.org/officeDocument/2006/relationships/hyperlink" Target="https://www.yesterdaysmathsexam.com/_files/ugd/1ba96f_15aac9787f364dd2bcb8272f1faaf96c.pdf" TargetMode="External" Id="rId891" /><Relationship Type="http://schemas.openxmlformats.org/officeDocument/2006/relationships/hyperlink" Target="https://mathsgenie.co.uk/a-level/maths/edexcel/a-level-pure-mathematics-9-5-the-quotient-rule" TargetMode="External" Id="rId892" /><Relationship Type="http://schemas.openxmlformats.org/officeDocument/2006/relationships/hyperlink" Target="https://assets.mathsgenie.co.uk/content/worksheets/a_level_maths/year-2-differentiation-5cb3a7d8.pdf" TargetMode="External" Id="rId893" /><Relationship Type="http://schemas.openxmlformats.org/officeDocument/2006/relationships/hyperlink" Target="https://assets.mathsgenie.co.uk/content/worksheets/a_level_maths/year-2-differentiation-ans-fe9163b5.pdf" TargetMode="External" Id="rId894" /><Relationship Type="http://schemas.openxmlformats.org/officeDocument/2006/relationships/hyperlink" Target="https://pmt.physicsandmathstutor.com/download/Maths/A-level/Pure/Differentiation-2/Edexcel-Set-C/QP/Products%20and%20Quotients%20QP.pdf" TargetMode="External" Id="rId895" /><Relationship Type="http://schemas.openxmlformats.org/officeDocument/2006/relationships/hyperlink" Target="https://pmt.physicsandmathstutor.com/download/Maths/A-level/Pure/Differentiation-2/Edexcel-Set-C/MS/Products%20and%20Quotients%20MS.pdf" TargetMode="External" Id="rId896" /><Relationship Type="http://schemas.openxmlformats.org/officeDocument/2006/relationships/hyperlink" Target="https://pmt.physicsandmathstutor.com/download/Maths/A-level/Pure/Differentiation-2/Edexcel-Set-C/MA/Products%20and%20Quotients%20MA.pdf" TargetMode="External" Id="rId897" /><Relationship Type="http://schemas.openxmlformats.org/officeDocument/2006/relationships/hyperlink" Target="https://www.yesterdaysmathsexam.com/_files/ugd/1ba96f_4204150e65994886a18f7897dc4e8975.pdf" TargetMode="External" Id="rId898" /><Relationship Type="http://schemas.openxmlformats.org/officeDocument/2006/relationships/hyperlink" Target="https://www.yesterdaysmathsexam.com/_files/ugd/1ba96f_15aac9787f364dd2bcb8272f1faaf96c.pdf" TargetMode="External" Id="rId899" /><Relationship Type="http://schemas.openxmlformats.org/officeDocument/2006/relationships/hyperlink" Target="https://mathsgenie.co.uk/a-level/maths/edexcel/a-level-pure-mathematics-9-6-differentiating-trigonometric-functions" TargetMode="External" Id="rId900" /><Relationship Type="http://schemas.openxmlformats.org/officeDocument/2006/relationships/hyperlink" Target="https://assets.mathsgenie.co.uk/content/worksheets/a_level_maths/year-2-differentiation-5cb3a7d8.pdf" TargetMode="External" Id="rId901" /><Relationship Type="http://schemas.openxmlformats.org/officeDocument/2006/relationships/hyperlink" Target="https://assets.mathsgenie.co.uk/content/worksheets/a_level_maths/year-2-differentiation-ans-fe9163b5.pdf" TargetMode="External" Id="rId902" /><Relationship Type="http://schemas.openxmlformats.org/officeDocument/2006/relationships/hyperlink" Target="https://www.yesterdaysmathsexam.com/_files/ugd/1ba96f_4204150e65994886a18f7897dc4e8975.pdf" TargetMode="External" Id="rId903" /><Relationship Type="http://schemas.openxmlformats.org/officeDocument/2006/relationships/hyperlink" Target="https://www.yesterdaysmathsexam.com/_files/ugd/1ba96f_15aac9787f364dd2bcb8272f1faaf96c.pdf" TargetMode="External" Id="rId904" /><Relationship Type="http://schemas.openxmlformats.org/officeDocument/2006/relationships/hyperlink" Target="https://mathsgenie.co.uk/a-level/maths/edexcel/a-level-pure-mathematics-9-10-rates-of-change" TargetMode="External" Id="rId905" /><Relationship Type="http://schemas.openxmlformats.org/officeDocument/2006/relationships/hyperlink" Target="https://assets.mathsgenie.co.uk/content/worksheets/a_level_maths/year-2-differentiation-5cb3a7d8.pdf" TargetMode="External" Id="rId906" /><Relationship Type="http://schemas.openxmlformats.org/officeDocument/2006/relationships/hyperlink" Target="https://assets.mathsgenie.co.uk/content/worksheets/a_level_maths/year-2-differentiation-ans-fe9163b5.pdf" TargetMode="External" Id="rId907" /><Relationship Type="http://schemas.openxmlformats.org/officeDocument/2006/relationships/hyperlink" Target="https://pmt.physicsandmathstutor.com/download/Maths/A-level/Pure/Differentiation-2/Edexcel-Set-C/QP/Rates%20of%20Change%20QP.pdf" TargetMode="External" Id="rId908" /><Relationship Type="http://schemas.openxmlformats.org/officeDocument/2006/relationships/hyperlink" Target="https://pmt.physicsandmathstutor.com/download/Maths/A-level/Pure/Differentiation-2/Edexcel-Set-C/MS/Rates%20of%20Change%20MS.pdf" TargetMode="External" Id="rId909" /><Relationship Type="http://schemas.openxmlformats.org/officeDocument/2006/relationships/hyperlink" Target="https://pmt.physicsandmathstutor.com/download/Maths/A-level/Pure/Differentiation-2/Edexcel-Set-C/MA/Rates%20of%20Change%20MA.pdf" TargetMode="External" Id="rId910" /><Relationship Type="http://schemas.openxmlformats.org/officeDocument/2006/relationships/hyperlink" Target="https://www.yesterdaysmathsexam.com/_files/ugd/1ba96f_4204150e65994886a18f7897dc4e8975.pdf" TargetMode="External" Id="rId911" /><Relationship Type="http://schemas.openxmlformats.org/officeDocument/2006/relationships/hyperlink" Target="https://www.yesterdaysmathsexam.com/_files/ugd/1ba96f_15aac9787f364dd2bcb8272f1faaf96c.pdf" TargetMode="External" Id="rId912" /><Relationship Type="http://schemas.openxmlformats.org/officeDocument/2006/relationships/hyperlink" Target="https://mathsgenie.co.uk/a-level/maths/edexcel/a-level-pure-mathematics-9-7-parametric-differentiation" TargetMode="External" Id="rId913" /><Relationship Type="http://schemas.openxmlformats.org/officeDocument/2006/relationships/hyperlink" Target="https://assets.mathsgenie.co.uk/content/worksheets/a_level_maths/year-2-differentiation-5cb3a7d8.pdf" TargetMode="External" Id="rId914" /><Relationship Type="http://schemas.openxmlformats.org/officeDocument/2006/relationships/hyperlink" Target="https://assets.mathsgenie.co.uk/content/worksheets/a_level_maths/year-2-differentiation-ans-fe9163b5.pdf" TargetMode="External" Id="rId915" /><Relationship Type="http://schemas.openxmlformats.org/officeDocument/2006/relationships/hyperlink" Target="https://pmt.physicsandmathstutor.com/download/Maths/A-level/Pure/Differentiation-2/Edexcel-Set-C/QP/Parametric%20Differentiation%20QP.pdf" TargetMode="External" Id="rId916" /><Relationship Type="http://schemas.openxmlformats.org/officeDocument/2006/relationships/hyperlink" Target="https://pmt.physicsandmathstutor.com/download/Maths/A-level/Pure/Differentiation-2/Edexcel-Set-C/MS/Parametric%20Differentiation%20MS.pdf" TargetMode="External" Id="rId917" /><Relationship Type="http://schemas.openxmlformats.org/officeDocument/2006/relationships/hyperlink" Target="https://pmt.physicsandmathstutor.com/download/Maths/A-level/Pure/Differentiation-2/Edexcel-Set-C/MA/Parametric%20Differentiation%20MA.pdf" TargetMode="External" Id="rId918" /><Relationship Type="http://schemas.openxmlformats.org/officeDocument/2006/relationships/hyperlink" Target="https://www.yesterdaysmathsexam.com/_files/ugd/1ba96f_4204150e65994886a18f7897dc4e8975.pdf" TargetMode="External" Id="rId919" /><Relationship Type="http://schemas.openxmlformats.org/officeDocument/2006/relationships/hyperlink" Target="https://www.yesterdaysmathsexam.com/_files/ugd/1ba96f_15aac9787f364dd2bcb8272f1faaf96c.pdf" TargetMode="External" Id="rId920" /><Relationship Type="http://schemas.openxmlformats.org/officeDocument/2006/relationships/hyperlink" Target="https://mathsgenie.co.uk/a-level/maths/edexcel/a-level-pure-mathematics-9-8-implicit-differentiation" TargetMode="External" Id="rId921" /><Relationship Type="http://schemas.openxmlformats.org/officeDocument/2006/relationships/hyperlink" Target="https://assets.mathsgenie.co.uk/content/worksheets/a_level_maths/year-2-differentiation-5cb3a7d8.pdf" TargetMode="External" Id="rId922" /><Relationship Type="http://schemas.openxmlformats.org/officeDocument/2006/relationships/hyperlink" Target="https://assets.mathsgenie.co.uk/content/worksheets/a_level_maths/year-2-differentiation-ans-fe9163b5.pdf" TargetMode="External" Id="rId923" /><Relationship Type="http://schemas.openxmlformats.org/officeDocument/2006/relationships/hyperlink" Target="https://pmt.physicsandmathstutor.com/download/Maths/A-level/Pure/Differentiation-2/Edexcel-Set-C/QP/Implicit%20Differentiation%20QP.pdf" TargetMode="External" Id="rId924" /><Relationship Type="http://schemas.openxmlformats.org/officeDocument/2006/relationships/hyperlink" Target="https://pmt.physicsandmathstutor.com/download/Maths/A-level/Pure/Differentiation-2/Edexcel-Set-C/MS/Implicit%20Differentiation%20MS.pdf" TargetMode="External" Id="rId925" /><Relationship Type="http://schemas.openxmlformats.org/officeDocument/2006/relationships/hyperlink" Target="https://pmt.physicsandmathstutor.com/download/Maths/A-level/Pure/Differentiation-2/Edexcel-Set-C/MA/Implicit%20Differentiation%20MA.pdf" TargetMode="External" Id="rId926" /><Relationship Type="http://schemas.openxmlformats.org/officeDocument/2006/relationships/hyperlink" Target="https://www.yesterdaysmathsexam.com/_files/ugd/1ba96f_4204150e65994886a18f7897dc4e8975.pdf" TargetMode="External" Id="rId927" /><Relationship Type="http://schemas.openxmlformats.org/officeDocument/2006/relationships/hyperlink" Target="https://www.yesterdaysmathsexam.com/_files/ugd/1ba96f_15aac9787f364dd2bcb8272f1faaf96c.pdf" TargetMode="External" Id="rId928" /><Relationship Type="http://schemas.openxmlformats.org/officeDocument/2006/relationships/hyperlink" Target="https://mathsgenie.co.uk/a-level/maths/edexcel/a-level-pure-mathematics-11-11-modelling-with-differential-equations" TargetMode="External" Id="rId929" /><Relationship Type="http://schemas.openxmlformats.org/officeDocument/2006/relationships/hyperlink" Target="https://assets.mathsgenie.co.uk/content/worksheets/a_level_maths/year-2-integration-5dfd3517.pdf" TargetMode="External" Id="rId930" /><Relationship Type="http://schemas.openxmlformats.org/officeDocument/2006/relationships/hyperlink" Target="https://assets.mathsgenie.co.uk/content/worksheets/a_level_maths/year-2-integration-ans-13355b71.pdf" TargetMode="External" Id="rId931" /><Relationship Type="http://schemas.openxmlformats.org/officeDocument/2006/relationships/hyperlink" Target="https://pmt.physicsandmathstutor.com/download/Maths/A-level/Pure/Differentiation-2/Edexcel-Set-C/QP/Rates%20of%20Change%20QP.pdf" TargetMode="External" Id="rId932" /><Relationship Type="http://schemas.openxmlformats.org/officeDocument/2006/relationships/hyperlink" Target="https://pmt.physicsandmathstutor.com/download/Maths/A-level/Pure/Differentiation-2/Edexcel-Set-C/MS/Rates%20of%20Change%20MS.pdf" TargetMode="External" Id="rId933" /><Relationship Type="http://schemas.openxmlformats.org/officeDocument/2006/relationships/hyperlink" Target="https://pmt.physicsandmathstutor.com/download/Maths/A-level/Pure/Differentiation-2/Edexcel-Set-C/MA/Rates%20of%20Change%20MA.pdf" TargetMode="External" Id="rId934" /><Relationship Type="http://schemas.openxmlformats.org/officeDocument/2006/relationships/hyperlink" Target="https://www.yesterdaysmathsexam.com/_files/ugd/1ba96f_3778726d26a74080a3d371b325ddf02f.pdf" TargetMode="External" Id="rId935" /><Relationship Type="http://schemas.openxmlformats.org/officeDocument/2006/relationships/hyperlink" Target="https://www.yesterdaysmathsexam.com/_files/ugd/1ba96f_721ef4ec342744798afc38eee8ba0d3b.pdf" TargetMode="External" Id="rId936" /><Relationship Type="http://schemas.openxmlformats.org/officeDocument/2006/relationships/hyperlink" Target="https://mathsgenie.co.uk/a-level/maths/edexcel/as-pure-mathematics-13-2-indefinite-integrals" TargetMode="External" Id="rId937" /><Relationship Type="http://schemas.openxmlformats.org/officeDocument/2006/relationships/hyperlink" Target="https://assets.mathsgenie.co.uk/content/worksheets/as_level_maths/as-pure-integration-9beab4ec.pdf" TargetMode="External" Id="rId938" /><Relationship Type="http://schemas.openxmlformats.org/officeDocument/2006/relationships/hyperlink" Target="https://assets.mathsgenie.co.uk/content/worksheets/as_level_maths/integration-ans-3bf900ed.pdf" TargetMode="External" Id="rId939" /><Relationship Type="http://schemas.openxmlformats.org/officeDocument/2006/relationships/hyperlink" Target="https://pmt.physicsandmathstutor.com/download/Maths/A-level/Pure/Integration-1/Edexcel-Set-C/QP/Basic%20Integration%20QP.pdf" TargetMode="External" Id="rId940" /><Relationship Type="http://schemas.openxmlformats.org/officeDocument/2006/relationships/hyperlink" Target="https://pmt.physicsandmathstutor.com/download/Maths/A-level/Pure/Integration-1/Edexcel-Set-C/MS/Basic%20Integration%20MS.pdf" TargetMode="External" Id="rId941" /><Relationship Type="http://schemas.openxmlformats.org/officeDocument/2006/relationships/hyperlink" Target="https://pmt.physicsandmathstutor.com/download/Maths/A-level/Pure/Integration-1/Edexcel-Set-C/MA/Basic%20Integration%20MA.pdf" TargetMode="External" Id="rId942" /><Relationship Type="http://schemas.openxmlformats.org/officeDocument/2006/relationships/hyperlink" Target="https://www.yesterdaysmathsexam.com/_files/ugd/1ba96f_9f9d72e2a57840bf98a2ba7ea444bf03.pdf" TargetMode="External" Id="rId943" /><Relationship Type="http://schemas.openxmlformats.org/officeDocument/2006/relationships/hyperlink" Target="https://www.yesterdaysmathsexam.com/_files/ugd/1ba96f_01c1277301f94c9c908e2ad7bf50f8a0.pdf" TargetMode="External" Id="rId944" /><Relationship Type="http://schemas.openxmlformats.org/officeDocument/2006/relationships/hyperlink" Target="https://mathsgenie.co.uk/a-level/maths/edexcel/as-pure-mathematics-13-1-integrating-x-n" TargetMode="External" Id="rId945" /><Relationship Type="http://schemas.openxmlformats.org/officeDocument/2006/relationships/hyperlink" Target="https://assets.mathsgenie.co.uk/content/worksheets/as_level_maths/as-pure-integration-9beab4ec.pdf" TargetMode="External" Id="rId946" /><Relationship Type="http://schemas.openxmlformats.org/officeDocument/2006/relationships/hyperlink" Target="https://assets.mathsgenie.co.uk/content/worksheets/as_level_maths/integration-ans-3bf900ed.pdf" TargetMode="External" Id="rId947" /><Relationship Type="http://schemas.openxmlformats.org/officeDocument/2006/relationships/hyperlink" Target="https://pmt.physicsandmathstutor.com/download/Maths/A-level/Pure/Integration-1/Edexcel-Set-C/QP/Basic%20Integration%20QP.pdf" TargetMode="External" Id="rId948" /><Relationship Type="http://schemas.openxmlformats.org/officeDocument/2006/relationships/hyperlink" Target="https://pmt.physicsandmathstutor.com/download/Maths/A-level/Pure/Integration-1/Edexcel-Set-C/MS/Basic%20Integration%20MS.pdf" TargetMode="External" Id="rId949" /><Relationship Type="http://schemas.openxmlformats.org/officeDocument/2006/relationships/hyperlink" Target="https://pmt.physicsandmathstutor.com/download/Maths/A-level/Pure/Integration-1/Edexcel-Set-C/MA/Basic%20Integration%20MA.pdf" TargetMode="External" Id="rId950" /><Relationship Type="http://schemas.openxmlformats.org/officeDocument/2006/relationships/hyperlink" Target="https://www.yesterdaysmathsexam.com/_files/ugd/1ba96f_9f9d72e2a57840bf98a2ba7ea444bf03.pdf" TargetMode="External" Id="rId951" /><Relationship Type="http://schemas.openxmlformats.org/officeDocument/2006/relationships/hyperlink" Target="https://www.yesterdaysmathsexam.com/_files/ugd/1ba96f_01c1277301f94c9c908e2ad7bf50f8a0.pdf" TargetMode="External" Id="rId952" /><Relationship Type="http://schemas.openxmlformats.org/officeDocument/2006/relationships/hyperlink" Target="https://mathsgenie.co.uk/a-level/maths/edexcel/as-pure-mathematics-13-3-finding-functions" TargetMode="External" Id="rId953" /><Relationship Type="http://schemas.openxmlformats.org/officeDocument/2006/relationships/hyperlink" Target="https://assets.mathsgenie.co.uk/content/worksheets/as_level_maths/as-pure-integration-9beab4ec.pdf" TargetMode="External" Id="rId954" /><Relationship Type="http://schemas.openxmlformats.org/officeDocument/2006/relationships/hyperlink" Target="https://assets.mathsgenie.co.uk/content/worksheets/as_level_maths/integration-ans-3bf900ed.pdf" TargetMode="External" Id="rId955" /><Relationship Type="http://schemas.openxmlformats.org/officeDocument/2006/relationships/hyperlink" Target="https://pmt.physicsandmathstutor.com/download/Maths/A-level/Pure/Integration-1/Edexcel-Set-C/QP/Basic%20Integration%20QP.pdf" TargetMode="External" Id="rId956" /><Relationship Type="http://schemas.openxmlformats.org/officeDocument/2006/relationships/hyperlink" Target="https://pmt.physicsandmathstutor.com/download/Maths/A-level/Pure/Integration-1/Edexcel-Set-C/MS/Basic%20Integration%20MS.pdf" TargetMode="External" Id="rId957" /><Relationship Type="http://schemas.openxmlformats.org/officeDocument/2006/relationships/hyperlink" Target="https://pmt.physicsandmathstutor.com/download/Maths/A-level/Pure/Integration-1/Edexcel-Set-C/MA/Basic%20Integration%20MA.pdf" TargetMode="External" Id="rId958" /><Relationship Type="http://schemas.openxmlformats.org/officeDocument/2006/relationships/hyperlink" Target="https://www.yesterdaysmathsexam.com/_files/ugd/1ba96f_9f9d72e2a57840bf98a2ba7ea444bf03.pdf" TargetMode="External" Id="rId959" /><Relationship Type="http://schemas.openxmlformats.org/officeDocument/2006/relationships/hyperlink" Target="https://www.yesterdaysmathsexam.com/_files/ugd/1ba96f_01c1277301f94c9c908e2ad7bf50f8a0.pdf" TargetMode="External" Id="rId960" /><Relationship Type="http://schemas.openxmlformats.org/officeDocument/2006/relationships/hyperlink" Target="https://mathsgenie.co.uk/a-level/maths/edexcel/as-pure-mathematics-13-4-definite-integrals" TargetMode="External" Id="rId961" /><Relationship Type="http://schemas.openxmlformats.org/officeDocument/2006/relationships/hyperlink" Target="https://assets.mathsgenie.co.uk/content/worksheets/as_level_maths/as-pure-integration-9beab4ec.pdf" TargetMode="External" Id="rId962" /><Relationship Type="http://schemas.openxmlformats.org/officeDocument/2006/relationships/hyperlink" Target="https://assets.mathsgenie.co.uk/content/worksheets/as_level_maths/integration-ans-3bf900ed.pdf" TargetMode="External" Id="rId963" /><Relationship Type="http://schemas.openxmlformats.org/officeDocument/2006/relationships/hyperlink" Target="https://pmt.physicsandmathstutor.com/download/Maths/A-level/Pure/Integration-1/Edexcel-Set-C/QP/Definite%20Integration%20QP.pdf" TargetMode="External" Id="rId964" /><Relationship Type="http://schemas.openxmlformats.org/officeDocument/2006/relationships/hyperlink" Target="https://pmt.physicsandmathstutor.com/download/Maths/A-level/Pure/Integration-1/Edexcel-Set-C/MS/Definite%20Integration%20MS.pdf" TargetMode="External" Id="rId965" /><Relationship Type="http://schemas.openxmlformats.org/officeDocument/2006/relationships/hyperlink" Target="https://pmt.physicsandmathstutor.com/download/Maths/A-level/Pure/Integration-1/Edexcel-Set-C/MA/Definite%20Integration%20MA.pdf" TargetMode="External" Id="rId966" /><Relationship Type="http://schemas.openxmlformats.org/officeDocument/2006/relationships/hyperlink" Target="https://www.yesterdaysmathsexam.com/_files/ugd/1ba96f_9f9d72e2a57840bf98a2ba7ea444bf03.pdf" TargetMode="External" Id="rId967" /><Relationship Type="http://schemas.openxmlformats.org/officeDocument/2006/relationships/hyperlink" Target="https://www.yesterdaysmathsexam.com/_files/ugd/1ba96f_01c1277301f94c9c908e2ad7bf50f8a0.pdf" TargetMode="External" Id="rId968" /><Relationship Type="http://schemas.openxmlformats.org/officeDocument/2006/relationships/hyperlink" Target="https://mathsgenie.co.uk/a-level/maths/edexcel/as-pure-mathematics-13-5-areas-under-curves" TargetMode="External" Id="rId969" /><Relationship Type="http://schemas.openxmlformats.org/officeDocument/2006/relationships/hyperlink" Target="https://assets.mathsgenie.co.uk/content/worksheets/as_level_maths/as-pure-integration-9beab4ec.pdf" TargetMode="External" Id="rId970" /><Relationship Type="http://schemas.openxmlformats.org/officeDocument/2006/relationships/hyperlink" Target="https://assets.mathsgenie.co.uk/content/worksheets/as_level_maths/integration-ans-3bf900ed.pdf" TargetMode="External" Id="rId971" /><Relationship Type="http://schemas.openxmlformats.org/officeDocument/2006/relationships/hyperlink" Target="https://pmt.physicsandmathstutor.com/download/Maths/A-level/Pure/Integration-1/Edexcel-Set-C/QP/Finding%20Area%20using%20Integration%20QP.pdf" TargetMode="External" Id="rId972" /><Relationship Type="http://schemas.openxmlformats.org/officeDocument/2006/relationships/hyperlink" Target="https://pmt.physicsandmathstutor.com/download/Maths/A-level/Pure/Integration-1/Edexcel-Set-C/MS/Finding%20Area%20using%20Integration%20MS.pdf" TargetMode="External" Id="rId973" /><Relationship Type="http://schemas.openxmlformats.org/officeDocument/2006/relationships/hyperlink" Target="https://pmt.physicsandmathstutor.com/download/Maths/A-level/Pure/Integration-1/Edexcel-Set-C/MA/Finding%20Area%20using%20Integration%20MA.pdf" TargetMode="External" Id="rId974" /><Relationship Type="http://schemas.openxmlformats.org/officeDocument/2006/relationships/hyperlink" Target="https://www.yesterdaysmathsexam.com/_files/ugd/1ba96f_9f9d72e2a57840bf98a2ba7ea444bf03.pdf" TargetMode="External" Id="rId975" /><Relationship Type="http://schemas.openxmlformats.org/officeDocument/2006/relationships/hyperlink" Target="https://www.yesterdaysmathsexam.com/_files/ugd/1ba96f_01c1277301f94c9c908e2ad7bf50f8a0.pdf" TargetMode="External" Id="rId976" /><Relationship Type="http://schemas.openxmlformats.org/officeDocument/2006/relationships/hyperlink" Target="https://mathsgenie.co.uk/a-level/maths/edexcel/as-pure-mathematics-13-7-areas-between-curves-and-lines" TargetMode="External" Id="rId977" /><Relationship Type="http://schemas.openxmlformats.org/officeDocument/2006/relationships/hyperlink" Target="https://assets.mathsgenie.co.uk/content/worksheets/as_level_maths/as-pure-integration-9beab4ec.pdf" TargetMode="External" Id="rId978" /><Relationship Type="http://schemas.openxmlformats.org/officeDocument/2006/relationships/hyperlink" Target="https://assets.mathsgenie.co.uk/content/worksheets/as_level_maths/integration-ans-3bf900ed.pdf" TargetMode="External" Id="rId979" /><Relationship Type="http://schemas.openxmlformats.org/officeDocument/2006/relationships/hyperlink" Target="https://pmt.physicsandmathstutor.com/download/Maths/A-level/Pure/Integration-1/Edexcel-Set-C/QP/Finding%20Area%20using%20Integration%20QP.pdf" TargetMode="External" Id="rId980" /><Relationship Type="http://schemas.openxmlformats.org/officeDocument/2006/relationships/hyperlink" Target="https://pmt.physicsandmathstutor.com/download/Maths/A-level/Pure/Integration-1/Edexcel-Set-C/MS/Finding%20Area%20using%20Integration%20MS.pdf" TargetMode="External" Id="rId981" /><Relationship Type="http://schemas.openxmlformats.org/officeDocument/2006/relationships/hyperlink" Target="https://pmt.physicsandmathstutor.com/download/Maths/A-level/Pure/Integration-1/Edexcel-Set-C/MA/Finding%20Area%20using%20Integration%20MA.pdf" TargetMode="External" Id="rId982" /><Relationship Type="http://schemas.openxmlformats.org/officeDocument/2006/relationships/hyperlink" Target="https://www.yesterdaysmathsexam.com/_files/ugd/1ba96f_9f9d72e2a57840bf98a2ba7ea444bf03.pdf" TargetMode="External" Id="rId983" /><Relationship Type="http://schemas.openxmlformats.org/officeDocument/2006/relationships/hyperlink" Target="https://www.yesterdaysmathsexam.com/_files/ugd/1ba96f_01c1277301f94c9c908e2ad7bf50f8a0.pdf" TargetMode="External" Id="rId984" /><Relationship Type="http://schemas.openxmlformats.org/officeDocument/2006/relationships/hyperlink" Target="https://mathsgenie.co.uk/a-level/maths/edexcel/a-level-pure-mathematics-11-1-integrating-standard-functions" TargetMode="External" Id="rId985" /><Relationship Type="http://schemas.openxmlformats.org/officeDocument/2006/relationships/hyperlink" Target="https://assets.mathsgenie.co.uk/content/worksheets/a_level_maths/year-2-integration-5dfd3517.pdf" TargetMode="External" Id="rId986" /><Relationship Type="http://schemas.openxmlformats.org/officeDocument/2006/relationships/hyperlink" Target="https://assets.mathsgenie.co.uk/content/worksheets/a_level_maths/year-2-integration-ans-13355b71.pdf" TargetMode="External" Id="rId987" /><Relationship Type="http://schemas.openxmlformats.org/officeDocument/2006/relationships/hyperlink" Target="https://www.yesterdaysmathsexam.com/_files/ugd/1ba96f_3778726d26a74080a3d371b325ddf02f.pdf" TargetMode="External" Id="rId988" /><Relationship Type="http://schemas.openxmlformats.org/officeDocument/2006/relationships/hyperlink" Target="https://www.yesterdaysmathsexam.com/_files/ugd/1ba96f_721ef4ec342744798afc38eee8ba0d3b.pdf" TargetMode="External" Id="rId989" /><Relationship Type="http://schemas.openxmlformats.org/officeDocument/2006/relationships/hyperlink" Target="https://mathsgenie.co.uk/a-level/maths/edexcel/a-level-pure-mathematics-11-2-integrating-f-ax-b" TargetMode="External" Id="rId990" /><Relationship Type="http://schemas.openxmlformats.org/officeDocument/2006/relationships/hyperlink" Target="https://assets.mathsgenie.co.uk/content/worksheets/a_level_maths/year-2-integration-5dfd3517.pdf" TargetMode="External" Id="rId991" /><Relationship Type="http://schemas.openxmlformats.org/officeDocument/2006/relationships/hyperlink" Target="https://assets.mathsgenie.co.uk/content/worksheets/a_level_maths/year-2-integration-ans-13355b71.pdf" TargetMode="External" Id="rId992" /><Relationship Type="http://schemas.openxmlformats.org/officeDocument/2006/relationships/hyperlink" Target="https://pmt.physicsandmathstutor.com/download/Maths/A-level/Pure/Integration-2/Edexcel-Set-C/QP/Definite%20Integration%20QP.pdf" TargetMode="External" Id="rId993" /><Relationship Type="http://schemas.openxmlformats.org/officeDocument/2006/relationships/hyperlink" Target="https://pmt.physicsandmathstutor.com/download/Maths/A-level/Pure/Integration-2/Edexcel-Set-C/MS/Definite%20Integration%20MS.pdf" TargetMode="External" Id="rId994" /><Relationship Type="http://schemas.openxmlformats.org/officeDocument/2006/relationships/hyperlink" Target="https://pmt.physicsandmathstutor.com/download/Maths/A-level/Pure/Integration-2/Edexcel-Set-C/MA/Definite%20Integration%20MA.pdf" TargetMode="External" Id="rId995" /><Relationship Type="http://schemas.openxmlformats.org/officeDocument/2006/relationships/hyperlink" Target="https://www.yesterdaysmathsexam.com/_files/ugd/1ba96f_3778726d26a74080a3d371b325ddf02f.pdf" TargetMode="External" Id="rId996" /><Relationship Type="http://schemas.openxmlformats.org/officeDocument/2006/relationships/hyperlink" Target="https://www.yesterdaysmathsexam.com/_files/ugd/1ba96f_721ef4ec342744798afc38eee8ba0d3b.pdf" TargetMode="External" Id="rId997" /><Relationship Type="http://schemas.openxmlformats.org/officeDocument/2006/relationships/hyperlink" Target="https://mathsgenie.co.uk/a-level/maths/edexcel/a-level-pure-mathematics-11-3-using-trigonometric-identities" TargetMode="External" Id="rId998" /><Relationship Type="http://schemas.openxmlformats.org/officeDocument/2006/relationships/hyperlink" Target="https://assets.mathsgenie.co.uk/content/worksheets/a_level_maths/year-2-integration-5dfd3517.pdf" TargetMode="External" Id="rId999" /><Relationship Type="http://schemas.openxmlformats.org/officeDocument/2006/relationships/hyperlink" Target="https://assets.mathsgenie.co.uk/content/worksheets/a_level_maths/year-2-integration-ans-13355b71.pdf" TargetMode="External" Id="rId1000" /><Relationship Type="http://schemas.openxmlformats.org/officeDocument/2006/relationships/hyperlink" Target="https://pmt.physicsandmathstutor.com/download/Maths/A-level/Pure/Integration-2/Edexcel-Set-C/QP/Parametric%20Integration%20QP.pdf" TargetMode="External" Id="rId1001" /><Relationship Type="http://schemas.openxmlformats.org/officeDocument/2006/relationships/hyperlink" Target="https://pmt.physicsandmathstutor.com/download/Maths/A-level/Pure/Integration-2/Edexcel-Set-C/MS/Parametric%20Integration%20MS.pdf" TargetMode="External" Id="rId1002" /><Relationship Type="http://schemas.openxmlformats.org/officeDocument/2006/relationships/hyperlink" Target="https://pmt.physicsandmathstutor.com/download/Maths/A-level/Pure/Integration-2/Edexcel-Set-C/MA/Parametric%20Integration%20MA.pdf" TargetMode="External" Id="rId1003" /><Relationship Type="http://schemas.openxmlformats.org/officeDocument/2006/relationships/hyperlink" Target="https://www.yesterdaysmathsexam.com/_files/ugd/1ba96f_3778726d26a74080a3d371b325ddf02f.pdf" TargetMode="External" Id="rId1004" /><Relationship Type="http://schemas.openxmlformats.org/officeDocument/2006/relationships/hyperlink" Target="https://www.yesterdaysmathsexam.com/_files/ugd/1ba96f_721ef4ec342744798afc38eee8ba0d3b.pdf" TargetMode="External" Id="rId1005" /><Relationship Type="http://schemas.openxmlformats.org/officeDocument/2006/relationships/hyperlink" Target="https://mathsgenie.co.uk/a-level/maths/edexcel/a-level-pure-mathematics-11-4-reverse-chain-rule" TargetMode="External" Id="rId1006" /><Relationship Type="http://schemas.openxmlformats.org/officeDocument/2006/relationships/hyperlink" Target="https://assets.mathsgenie.co.uk/content/worksheets/a_level_maths/year-2-integration-5dfd3517.pdf" TargetMode="External" Id="rId1007" /><Relationship Type="http://schemas.openxmlformats.org/officeDocument/2006/relationships/hyperlink" Target="https://assets.mathsgenie.co.uk/content/worksheets/a_level_maths/year-2-integration-ans-13355b71.pdf" TargetMode="External" Id="rId1008" /><Relationship Type="http://schemas.openxmlformats.org/officeDocument/2006/relationships/hyperlink" Target="https://www.yesterdaysmathsexam.com/_files/ugd/1ba96f_3778726d26a74080a3d371b325ddf02f.pdf" TargetMode="External" Id="rId1009" /><Relationship Type="http://schemas.openxmlformats.org/officeDocument/2006/relationships/hyperlink" Target="https://www.yesterdaysmathsexam.com/_files/ugd/1ba96f_721ef4ec342744798afc38eee8ba0d3b.pdf" TargetMode="External" Id="rId1010" /><Relationship Type="http://schemas.openxmlformats.org/officeDocument/2006/relationships/hyperlink" Target="https://mathsgenie.co.uk/a-level/maths/edexcel/a-level-pure-mathematics-11-5-integration-by-substitution" TargetMode="External" Id="rId1011" /><Relationship Type="http://schemas.openxmlformats.org/officeDocument/2006/relationships/hyperlink" Target="https://assets.mathsgenie.co.uk/content/worksheets/a_level_maths/year-2-integration-5dfd3517.pdf" TargetMode="External" Id="rId1012" /><Relationship Type="http://schemas.openxmlformats.org/officeDocument/2006/relationships/hyperlink" Target="https://assets.mathsgenie.co.uk/content/worksheets/a_level_maths/year-2-integration-ans-13355b71.pdf" TargetMode="External" Id="rId1013" /><Relationship Type="http://schemas.openxmlformats.org/officeDocument/2006/relationships/hyperlink" Target="https://pmt.physicsandmathstutor.com/download/Maths/A-level/Pure/Integration-2/Edexcel-Set-C/QP/Integration%20by%20Substitution%20QP.pdf" TargetMode="External" Id="rId1014" /><Relationship Type="http://schemas.openxmlformats.org/officeDocument/2006/relationships/hyperlink" Target="https://pmt.physicsandmathstutor.com/download/Maths/A-level/Pure/Integration-2/Edexcel-Set-C/MS/Integration%20by%20Substitution%20MS.pdf" TargetMode="External" Id="rId1015" /><Relationship Type="http://schemas.openxmlformats.org/officeDocument/2006/relationships/hyperlink" Target="https://pmt.physicsandmathstutor.com/download/Maths/A-level/Pure/Integration-2/Edexcel-Set-C/MA/Integration%20by%20Substitution%20MA.pdf" TargetMode="External" Id="rId1016" /><Relationship Type="http://schemas.openxmlformats.org/officeDocument/2006/relationships/hyperlink" Target="https://www.yesterdaysmathsexam.com/_files/ugd/1ba96f_3778726d26a74080a3d371b325ddf02f.pdf" TargetMode="External" Id="rId1017" /><Relationship Type="http://schemas.openxmlformats.org/officeDocument/2006/relationships/hyperlink" Target="https://www.yesterdaysmathsexam.com/_files/ugd/1ba96f_721ef4ec342744798afc38eee8ba0d3b.pdf" TargetMode="External" Id="rId1018" /><Relationship Type="http://schemas.openxmlformats.org/officeDocument/2006/relationships/hyperlink" Target="https://mathsgenie.co.uk/a-level/maths/edexcel/a-level-pure-mathematics-11-6-integration-by-parts" TargetMode="External" Id="rId1019" /><Relationship Type="http://schemas.openxmlformats.org/officeDocument/2006/relationships/hyperlink" Target="https://assets.mathsgenie.co.uk/content/worksheets/a_level_maths/year-2-integration-5dfd3517.pdf" TargetMode="External" Id="rId1020" /><Relationship Type="http://schemas.openxmlformats.org/officeDocument/2006/relationships/hyperlink" Target="https://assets.mathsgenie.co.uk/content/worksheets/a_level_maths/year-2-integration-ans-13355b71.pdf" TargetMode="External" Id="rId1021" /><Relationship Type="http://schemas.openxmlformats.org/officeDocument/2006/relationships/hyperlink" Target="https://pmt.physicsandmathstutor.com/download/Maths/A-level/Pure/Integration-2/Edexcel-Set-C/QP/Integration%20by%20Parts%20QP.pdf" TargetMode="External" Id="rId1022" /><Relationship Type="http://schemas.openxmlformats.org/officeDocument/2006/relationships/hyperlink" Target="https://pmt.physicsandmathstutor.com/download/Maths/A-level/Pure/Integration-2/Edexcel-Set-C/MS/Integration%20by%20Parts%20MS.pdf" TargetMode="External" Id="rId1023" /><Relationship Type="http://schemas.openxmlformats.org/officeDocument/2006/relationships/hyperlink" Target="https://pmt.physicsandmathstutor.com/download/Maths/A-level/Pure/Integration-2/Edexcel-Set-C/MA/Integration%20by%20Parts%20MA.pdf" TargetMode="External" Id="rId1024" /><Relationship Type="http://schemas.openxmlformats.org/officeDocument/2006/relationships/hyperlink" Target="https://www.yesterdaysmathsexam.com/_files/ugd/1ba96f_3778726d26a74080a3d371b325ddf02f.pdf" TargetMode="External" Id="rId1025" /><Relationship Type="http://schemas.openxmlformats.org/officeDocument/2006/relationships/hyperlink" Target="https://www.yesterdaysmathsexam.com/_files/ugd/1ba96f_721ef4ec342744798afc38eee8ba0d3b.pdf" TargetMode="External" Id="rId1026" /><Relationship Type="http://schemas.openxmlformats.org/officeDocument/2006/relationships/hyperlink" Target="https://mathsgenie.co.uk/a-level/maths/edexcel/a-level-pure-mathematics-11-7-partial-fractions" TargetMode="External" Id="rId1027" /><Relationship Type="http://schemas.openxmlformats.org/officeDocument/2006/relationships/hyperlink" Target="https://assets.mathsgenie.co.uk/content/worksheets/a_level_maths/year-2-integration-5dfd3517.pdf" TargetMode="External" Id="rId1028" /><Relationship Type="http://schemas.openxmlformats.org/officeDocument/2006/relationships/hyperlink" Target="https://assets.mathsgenie.co.uk/content/worksheets/a_level_maths/year-2-integration-ans-13355b71.pdf" TargetMode="External" Id="rId1029" /><Relationship Type="http://schemas.openxmlformats.org/officeDocument/2006/relationships/hyperlink" Target="https://pmt.physicsandmathstutor.com/download/Maths/A-level/Pure/Integration-2/Edexcel-Set-C/QP/Definite%20Integration%20QP.pdf" TargetMode="External" Id="rId1030" /><Relationship Type="http://schemas.openxmlformats.org/officeDocument/2006/relationships/hyperlink" Target="https://pmt.physicsandmathstutor.com/download/Maths/A-level/Pure/Integration-2/Edexcel-Set-C/MS/Definite%20Integration%20MS.pdf" TargetMode="External" Id="rId1031" /><Relationship Type="http://schemas.openxmlformats.org/officeDocument/2006/relationships/hyperlink" Target="https://pmt.physicsandmathstutor.com/download/Maths/A-level/Pure/Integration-2/Edexcel-Set-C/MA/Definite%20Integration%20MA.pdf" TargetMode="External" Id="rId1032" /><Relationship Type="http://schemas.openxmlformats.org/officeDocument/2006/relationships/hyperlink" Target="https://www.yesterdaysmathsexam.com/_files/ugd/1ba96f_3778726d26a74080a3d371b325ddf02f.pdf" TargetMode="External" Id="rId1033" /><Relationship Type="http://schemas.openxmlformats.org/officeDocument/2006/relationships/hyperlink" Target="https://www.yesterdaysmathsexam.com/_files/ugd/1ba96f_721ef4ec342744798afc38eee8ba0d3b.pdf" TargetMode="External" Id="rId1034" /><Relationship Type="http://schemas.openxmlformats.org/officeDocument/2006/relationships/hyperlink" Target="https://mathsgenie.co.uk/a-level/maths/edexcel/a-level-pure-mathematics-11-8-finding-areas" TargetMode="External" Id="rId1035" /><Relationship Type="http://schemas.openxmlformats.org/officeDocument/2006/relationships/hyperlink" Target="https://assets.mathsgenie.co.uk/content/worksheets/a_level_maths/year-2-integration-5dfd3517.pdf" TargetMode="External" Id="rId1036" /><Relationship Type="http://schemas.openxmlformats.org/officeDocument/2006/relationships/hyperlink" Target="https://assets.mathsgenie.co.uk/content/worksheets/a_level_maths/year-2-integration-ans-13355b71.pdf" TargetMode="External" Id="rId1037" /><Relationship Type="http://schemas.openxmlformats.org/officeDocument/2006/relationships/hyperlink" Target="https://pmt.physicsandmathstutor.com/download/Maths/A-level/Pure/Integration-2/Edexcel-Set-C/QP/Definite%20Integration%20QP.pdf" TargetMode="External" Id="rId1038" /><Relationship Type="http://schemas.openxmlformats.org/officeDocument/2006/relationships/hyperlink" Target="https://pmt.physicsandmathstutor.com/download/Maths/A-level/Pure/Integration-2/Edexcel-Set-C/MS/Definite%20Integration%20MS.pdf" TargetMode="External" Id="rId1039" /><Relationship Type="http://schemas.openxmlformats.org/officeDocument/2006/relationships/hyperlink" Target="https://pmt.physicsandmathstutor.com/download/Maths/A-level/Pure/Integration-2/Edexcel-Set-C/MA/Definite%20Integration%20MA.pdf" TargetMode="External" Id="rId1040" /><Relationship Type="http://schemas.openxmlformats.org/officeDocument/2006/relationships/hyperlink" Target="https://www.yesterdaysmathsexam.com/_files/ugd/1ba96f_3778726d26a74080a3d371b325ddf02f.pdf" TargetMode="External" Id="rId1041" /><Relationship Type="http://schemas.openxmlformats.org/officeDocument/2006/relationships/hyperlink" Target="https://www.yesterdaysmathsexam.com/_files/ugd/1ba96f_721ef4ec342744798afc38eee8ba0d3b.pdf" TargetMode="External" Id="rId1042" /><Relationship Type="http://schemas.openxmlformats.org/officeDocument/2006/relationships/hyperlink" Target="https://mathsgenie.co.uk/a-level/maths/edexcel/a-level-pure-mathematics-11-8-finding-areas" TargetMode="External" Id="rId1043" /><Relationship Type="http://schemas.openxmlformats.org/officeDocument/2006/relationships/hyperlink" Target="https://assets.mathsgenie.co.uk/content/worksheets/a_level_maths/year-2-integration-5dfd3517.pdf" TargetMode="External" Id="rId1044" /><Relationship Type="http://schemas.openxmlformats.org/officeDocument/2006/relationships/hyperlink" Target="https://assets.mathsgenie.co.uk/content/worksheets/a_level_maths/year-2-integration-ans-13355b71.pdf" TargetMode="External" Id="rId1045" /><Relationship Type="http://schemas.openxmlformats.org/officeDocument/2006/relationships/hyperlink" Target="https://pmt.physicsandmathstutor.com/download/Maths/A-level/Pure/Integration-2/Edexcel-Set-C/QP/Definite%20Integration%20QP.pdf" TargetMode="External" Id="rId1046" /><Relationship Type="http://schemas.openxmlformats.org/officeDocument/2006/relationships/hyperlink" Target="https://pmt.physicsandmathstutor.com/download/Maths/A-level/Pure/Integration-2/Edexcel-Set-C/MS/Definite%20Integration%20MS.pdf" TargetMode="External" Id="rId1047" /><Relationship Type="http://schemas.openxmlformats.org/officeDocument/2006/relationships/hyperlink" Target="https://pmt.physicsandmathstutor.com/download/Maths/A-level/Pure/Integration-2/Edexcel-Set-C/MA/Definite%20Integration%20MA.pdf" TargetMode="External" Id="rId1048" /><Relationship Type="http://schemas.openxmlformats.org/officeDocument/2006/relationships/hyperlink" Target="https://www.yesterdaysmathsexam.com/_files/ugd/1ba96f_3778726d26a74080a3d371b325ddf02f.pdf" TargetMode="External" Id="rId1049" /><Relationship Type="http://schemas.openxmlformats.org/officeDocument/2006/relationships/hyperlink" Target="https://www.yesterdaysmathsexam.com/_files/ugd/1ba96f_721ef4ec342744798afc38eee8ba0d3b.pdf" TargetMode="External" Id="rId1050" /><Relationship Type="http://schemas.openxmlformats.org/officeDocument/2006/relationships/hyperlink" Target="https://mathsgenie.co.uk/a-level/maths/edexcel/a-level-pure-mathematics-11-8-finding-areas" TargetMode="External" Id="rId1051" /><Relationship Type="http://schemas.openxmlformats.org/officeDocument/2006/relationships/hyperlink" Target="https://assets.mathsgenie.co.uk/content/worksheets/a_level_maths/year-2-integration-5dfd3517.pdf" TargetMode="External" Id="rId1052" /><Relationship Type="http://schemas.openxmlformats.org/officeDocument/2006/relationships/hyperlink" Target="https://assets.mathsgenie.co.uk/content/worksheets/a_level_maths/year-2-integration-ans-13355b71.pdf" TargetMode="External" Id="rId1053" /><Relationship Type="http://schemas.openxmlformats.org/officeDocument/2006/relationships/hyperlink" Target="https://pmt.physicsandmathstutor.com/download/Maths/A-level/Pure/Integration-2/Edexcel-Set-C/QP/Parametric%20Integration%20QP.pdf" TargetMode="External" Id="rId1054" /><Relationship Type="http://schemas.openxmlformats.org/officeDocument/2006/relationships/hyperlink" Target="https://pmt.physicsandmathstutor.com/download/Maths/A-level/Pure/Integration-2/Edexcel-Set-C/MS/Parametric%20Integration%20MS.pdf" TargetMode="External" Id="rId1055" /><Relationship Type="http://schemas.openxmlformats.org/officeDocument/2006/relationships/hyperlink" Target="https://pmt.physicsandmathstutor.com/download/Maths/A-level/Pure/Integration-2/Edexcel-Set-C/MA/Parametric%20Integration%20MA.pdf" TargetMode="External" Id="rId1056" /><Relationship Type="http://schemas.openxmlformats.org/officeDocument/2006/relationships/hyperlink" Target="https://www.yesterdaysmathsexam.com/_files/ugd/1ba96f_3778726d26a74080a3d371b325ddf02f.pdf" TargetMode="External" Id="rId1057" /><Relationship Type="http://schemas.openxmlformats.org/officeDocument/2006/relationships/hyperlink" Target="https://www.yesterdaysmathsexam.com/_files/ugd/1ba96f_721ef4ec342744798afc38eee8ba0d3b.pdf" TargetMode="External" Id="rId1058" /><Relationship Type="http://schemas.openxmlformats.org/officeDocument/2006/relationships/hyperlink" Target="https://mathsgenie.co.uk/a-level/maths/edexcel/a-level-pure-mathematics-11-10-solving-differential-equations" TargetMode="External" Id="rId1059" /><Relationship Type="http://schemas.openxmlformats.org/officeDocument/2006/relationships/hyperlink" Target="https://assets.mathsgenie.co.uk/content/worksheets/a_level_maths/year-2-integration-5dfd3517.pdf" TargetMode="External" Id="rId1060" /><Relationship Type="http://schemas.openxmlformats.org/officeDocument/2006/relationships/hyperlink" Target="https://assets.mathsgenie.co.uk/content/worksheets/a_level_maths/year-2-integration-ans-13355b71.pdf" TargetMode="External" Id="rId1061" /><Relationship Type="http://schemas.openxmlformats.org/officeDocument/2006/relationships/hyperlink" Target="https://pmt.physicsandmathstutor.com/download/Maths/A-level/Pure/Integration-2/Edexcel-Set-C/QP/Solving%20Differential%20Equations%20QP.pdf" TargetMode="External" Id="rId1062" /><Relationship Type="http://schemas.openxmlformats.org/officeDocument/2006/relationships/hyperlink" Target="https://pmt.physicsandmathstutor.com/download/Maths/A-level/Pure/Integration-2/Edexcel-Set-C/MS/Solving%20Differential%20Equations%20MS.pdf" TargetMode="External" Id="rId1063" /><Relationship Type="http://schemas.openxmlformats.org/officeDocument/2006/relationships/hyperlink" Target="https://pmt.physicsandmathstutor.com/download/Maths/A-level/Pure/Integration-2/Edexcel-Set-C/MA/Solving%20Differential%20Equations%20MA.pdf" TargetMode="External" Id="rId1064" /><Relationship Type="http://schemas.openxmlformats.org/officeDocument/2006/relationships/hyperlink" Target="https://www.yesterdaysmathsexam.com/_files/ugd/1ba96f_3778726d26a74080a3d371b325ddf02f.pdf" TargetMode="External" Id="rId1065" /><Relationship Type="http://schemas.openxmlformats.org/officeDocument/2006/relationships/hyperlink" Target="https://www.yesterdaysmathsexam.com/_files/ugd/1ba96f_721ef4ec342744798afc38eee8ba0d3b.pdf" TargetMode="External" Id="rId1066" /><Relationship Type="http://schemas.openxmlformats.org/officeDocument/2006/relationships/hyperlink" Target="https://mathsgenie.co.uk/a-level/maths/edexcel/a-level-pure-mathematics-11-11-modelling-with-differential-equations" TargetMode="External" Id="rId1067" /><Relationship Type="http://schemas.openxmlformats.org/officeDocument/2006/relationships/hyperlink" Target="https://assets.mathsgenie.co.uk/content/worksheets/a_level_maths/year-2-integration-5dfd3517.pdf" TargetMode="External" Id="rId1068" /><Relationship Type="http://schemas.openxmlformats.org/officeDocument/2006/relationships/hyperlink" Target="https://assets.mathsgenie.co.uk/content/worksheets/a_level_maths/year-2-integration-ans-13355b71.pdf" TargetMode="External" Id="rId1069" /><Relationship Type="http://schemas.openxmlformats.org/officeDocument/2006/relationships/hyperlink" Target="https://pmt.physicsandmathstutor.com/download/Maths/A-level/Pure/Integration-2/Edexcel-Set-C/QP/Solving%20Differential%20Equations%20QP.pdf" TargetMode="External" Id="rId1070" /><Relationship Type="http://schemas.openxmlformats.org/officeDocument/2006/relationships/hyperlink" Target="https://pmt.physicsandmathstutor.com/download/Maths/A-level/Pure/Integration-2/Edexcel-Set-C/MS/Solving%20Differential%20Equations%20MS.pdf" TargetMode="External" Id="rId1071" /><Relationship Type="http://schemas.openxmlformats.org/officeDocument/2006/relationships/hyperlink" Target="https://pmt.physicsandmathstutor.com/download/Maths/A-level/Pure/Integration-2/Edexcel-Set-C/MA/Solving%20Differential%20Equations%20MA.pdf" TargetMode="External" Id="rId1072" /><Relationship Type="http://schemas.openxmlformats.org/officeDocument/2006/relationships/hyperlink" Target="https://www.yesterdaysmathsexam.com/_files/ugd/1ba96f_3778726d26a74080a3d371b325ddf02f.pdf" TargetMode="External" Id="rId1073" /><Relationship Type="http://schemas.openxmlformats.org/officeDocument/2006/relationships/hyperlink" Target="https://www.yesterdaysmathsexam.com/_files/ugd/1ba96f_721ef4ec342744798afc38eee8ba0d3b.pdf" TargetMode="External" Id="rId1074" /><Relationship Type="http://schemas.openxmlformats.org/officeDocument/2006/relationships/hyperlink" Target="https://mathsgenie.co.uk/a-level/maths/edexcel/a-level-pure-mathematics-10-1-locating-roots" TargetMode="External" Id="rId1075" /><Relationship Type="http://schemas.openxmlformats.org/officeDocument/2006/relationships/hyperlink" Target="https://assets.mathsgenie.co.uk/content/worksheets/a_level_maths/numerical-methods-0f2c788a.pdf" TargetMode="External" Id="rId1076" /><Relationship Type="http://schemas.openxmlformats.org/officeDocument/2006/relationships/hyperlink" Target="https://assets.mathsgenie.co.uk/content/worksheets/a_level_maths/numerical-methods-ans-795c2317.pdf" TargetMode="External" Id="rId1077" /><Relationship Type="http://schemas.openxmlformats.org/officeDocument/2006/relationships/hyperlink" Target="https://pmt.physicsandmathstutor.com/download/Maths/A-level/Pure/Numerical-Methods-2/Edexcel-Set-C/QP/Location%20of%20Roots%20QP.pdf" TargetMode="External" Id="rId1078" /><Relationship Type="http://schemas.openxmlformats.org/officeDocument/2006/relationships/hyperlink" Target="https://pmt.physicsandmathstutor.com/download/Maths/A-level/Pure/Numerical-Methods-2/Edexcel-Set-C/MS/Location%20of%20Roots%20MS.pdf" TargetMode="External" Id="rId1079" /><Relationship Type="http://schemas.openxmlformats.org/officeDocument/2006/relationships/hyperlink" Target="https://pmt.physicsandmathstutor.com/download/Maths/A-level/Pure/Numerical-Methods-2/Edexcel-Set-C/MA/Location%20of%20Roots%20MA.pdf" TargetMode="External" Id="rId1080" /><Relationship Type="http://schemas.openxmlformats.org/officeDocument/2006/relationships/hyperlink" Target="https://www.yesterdaysmathsexam.com/_files/ugd/1ba96f_39265d7fdc7e4a2cb82e20ebb2547b48.pdf" TargetMode="External" Id="rId1081" /><Relationship Type="http://schemas.openxmlformats.org/officeDocument/2006/relationships/hyperlink" Target="https://www.yesterdaysmathsexam.com/_files/ugd/1ba96f_246f6fc138e54b5ea0ee8f4d861d3084.pdf" TargetMode="External" Id="rId1082" /><Relationship Type="http://schemas.openxmlformats.org/officeDocument/2006/relationships/hyperlink" Target="https://mathsgenie.co.uk/a-level/maths/edexcel/a-level-pure-mathematics-10-2-iteration" TargetMode="External" Id="rId1083" /><Relationship Type="http://schemas.openxmlformats.org/officeDocument/2006/relationships/hyperlink" Target="https://assets.mathsgenie.co.uk/content/worksheets/a_level_maths/numerical-methods-0f2c788a.pdf" TargetMode="External" Id="rId1084" /><Relationship Type="http://schemas.openxmlformats.org/officeDocument/2006/relationships/hyperlink" Target="https://assets.mathsgenie.co.uk/content/worksheets/a_level_maths/numerical-methods-ans-795c2317.pdf" TargetMode="External" Id="rId1085" /><Relationship Type="http://schemas.openxmlformats.org/officeDocument/2006/relationships/hyperlink" Target="https://pmt.physicsandmathstutor.com/download/Maths/A-level/Pure/Numerical-Methods-2/Edexcel-Set-C/QP/Iterative%20Equations%20QP.pdf" TargetMode="External" Id="rId1086" /><Relationship Type="http://schemas.openxmlformats.org/officeDocument/2006/relationships/hyperlink" Target="https://pmt.physicsandmathstutor.com/download/Maths/A-level/Pure/Numerical-Methods-2/Edexcel-Set-C/MS/Iterative%20Equations%20MS.pdf" TargetMode="External" Id="rId1087" /><Relationship Type="http://schemas.openxmlformats.org/officeDocument/2006/relationships/hyperlink" Target="https://pmt.physicsandmathstutor.com/download/Maths/A-level/Pure/Numerical-Methods-2/Edexcel-Set-C/MA/Iterative%20Equations%20MA.pdf" TargetMode="External" Id="rId1088" /><Relationship Type="http://schemas.openxmlformats.org/officeDocument/2006/relationships/hyperlink" Target="https://www.yesterdaysmathsexam.com/_files/ugd/1ba96f_39265d7fdc7e4a2cb82e20ebb2547b48.pdf" TargetMode="External" Id="rId1089" /><Relationship Type="http://schemas.openxmlformats.org/officeDocument/2006/relationships/hyperlink" Target="https://www.yesterdaysmathsexam.com/_files/ugd/1ba96f_246f6fc138e54b5ea0ee8f4d861d3084.pdf" TargetMode="External" Id="rId1090" /><Relationship Type="http://schemas.openxmlformats.org/officeDocument/2006/relationships/hyperlink" Target="https://mathsgenie.co.uk/a-level/maths/edexcel/a-level-pure-mathematics-10-3-the-newton-raphson-method" TargetMode="External" Id="rId1091" /><Relationship Type="http://schemas.openxmlformats.org/officeDocument/2006/relationships/hyperlink" Target="https://assets.mathsgenie.co.uk/content/worksheets/a_level_maths/numerical-methods-0f2c788a.pdf" TargetMode="External" Id="rId1092" /><Relationship Type="http://schemas.openxmlformats.org/officeDocument/2006/relationships/hyperlink" Target="https://assets.mathsgenie.co.uk/content/worksheets/a_level_maths/numerical-methods-ans-795c2317.pdf" TargetMode="External" Id="rId1093" /><Relationship Type="http://schemas.openxmlformats.org/officeDocument/2006/relationships/hyperlink" Target="https://pmt.physicsandmathstutor.com/download/Maths/A-level/Pure/Numerical-Methods-2/Edexcel-Set-C/QP/Newton%20Raphson%20QP.pdf" TargetMode="External" Id="rId1094" /><Relationship Type="http://schemas.openxmlformats.org/officeDocument/2006/relationships/hyperlink" Target="https://pmt.physicsandmathstutor.com/download/Maths/A-level/Pure/Numerical-Methods-2/Edexcel-Set-C/MS/Newton%20Raphson%20MS.pdf" TargetMode="External" Id="rId1095" /><Relationship Type="http://schemas.openxmlformats.org/officeDocument/2006/relationships/hyperlink" Target="https://pmt.physicsandmathstutor.com/download/Maths/A-level/Pure/Numerical-Methods-2/Edexcel-Set-C/MA/Newton%20Raphson%20MA.pdf" TargetMode="External" Id="rId1096" /><Relationship Type="http://schemas.openxmlformats.org/officeDocument/2006/relationships/hyperlink" Target="https://www.yesterdaysmathsexam.com/_files/ugd/1ba96f_39265d7fdc7e4a2cb82e20ebb2547b48.pdf" TargetMode="External" Id="rId1097" /><Relationship Type="http://schemas.openxmlformats.org/officeDocument/2006/relationships/hyperlink" Target="https://www.yesterdaysmathsexam.com/_files/ugd/1ba96f_246f6fc138e54b5ea0ee8f4d861d3084.pdf" TargetMode="External" Id="rId1098" /><Relationship Type="http://schemas.openxmlformats.org/officeDocument/2006/relationships/hyperlink" Target="https://mathsgenie.co.uk/a-level/maths/edexcel/a-level-pure-mathematics-11-9-the-trapezium-rule" TargetMode="External" Id="rId1099" /><Relationship Type="http://schemas.openxmlformats.org/officeDocument/2006/relationships/hyperlink" Target="https://assets.mathsgenie.co.uk/content/worksheets/a_level_maths/year-2-integration-5dfd3517.pdf" TargetMode="External" Id="rId1100" /><Relationship Type="http://schemas.openxmlformats.org/officeDocument/2006/relationships/hyperlink" Target="https://assets.mathsgenie.co.uk/content/worksheets/a_level_maths/year-2-integration-ans-13355b71.pdf" TargetMode="External" Id="rId1101" /><Relationship Type="http://schemas.openxmlformats.org/officeDocument/2006/relationships/hyperlink" Target="https://pmt.physicsandmathstutor.com/download/Maths/A-level/Pure/Integration-2/Edexcel-Set-C/QP/Trapezium%20Rule%20QP.pdf" TargetMode="External" Id="rId1102" /><Relationship Type="http://schemas.openxmlformats.org/officeDocument/2006/relationships/hyperlink" Target="https://pmt.physicsandmathstutor.com/download/Maths/A-level/Pure/Integration-2/Edexcel-Set-C/MS/Trapezium%20Rule%20MS.pdf" TargetMode="External" Id="rId1103" /><Relationship Type="http://schemas.openxmlformats.org/officeDocument/2006/relationships/hyperlink" Target="https://pmt.physicsandmathstutor.com/download/Maths/A-level/Pure/Integration-2/Edexcel-Set-C/MA/Trapezium%20Rule%20MA.pdf" TargetMode="External" Id="rId1104" /><Relationship Type="http://schemas.openxmlformats.org/officeDocument/2006/relationships/hyperlink" Target="https://www.yesterdaysmathsexam.com/_files/ugd/1ba96f_3778726d26a74080a3d371b325ddf02f.pdf" TargetMode="External" Id="rId1105" /><Relationship Type="http://schemas.openxmlformats.org/officeDocument/2006/relationships/hyperlink" Target="https://www.yesterdaysmathsexam.com/_files/ugd/1ba96f_721ef4ec342744798afc38eee8ba0d3b.pdf" TargetMode="External" Id="rId1106" /><Relationship Type="http://schemas.openxmlformats.org/officeDocument/2006/relationships/hyperlink" Target="https://mathsgenie.co.uk/a-level/maths/edexcel/a-level-pure-mathematics-10-4-applications-to-modelling" TargetMode="External" Id="rId1107" /><Relationship Type="http://schemas.openxmlformats.org/officeDocument/2006/relationships/hyperlink" Target="https://assets.mathsgenie.co.uk/content/worksheets/a_level_maths/numerical-methods-0f2c788a.pdf" TargetMode="External" Id="rId1108" /><Relationship Type="http://schemas.openxmlformats.org/officeDocument/2006/relationships/hyperlink" Target="https://assets.mathsgenie.co.uk/content/worksheets/a_level_maths/numerical-methods-ans-795c2317.pdf" TargetMode="External" Id="rId1109" /><Relationship Type="http://schemas.openxmlformats.org/officeDocument/2006/relationships/hyperlink" Target="https://pmt.physicsandmathstutor.com/download/Maths/A-level/Pure/Numerical-Methods-2/Edexcel-Set-C/QP/Iterative%20Equations%20QP.pdf" TargetMode="External" Id="rId1110" /><Relationship Type="http://schemas.openxmlformats.org/officeDocument/2006/relationships/hyperlink" Target="https://pmt.physicsandmathstutor.com/download/Maths/A-level/Pure/Numerical-Methods-2/Edexcel-Set-C/MS/Iterative%20Equations%20MS.pdf" TargetMode="External" Id="rId1111" /><Relationship Type="http://schemas.openxmlformats.org/officeDocument/2006/relationships/hyperlink" Target="https://pmt.physicsandmathstutor.com/download/Maths/A-level/Pure/Numerical-Methods-2/Edexcel-Set-C/MA/Iterative%20Equations%20MA.pdf" TargetMode="External" Id="rId1112" /><Relationship Type="http://schemas.openxmlformats.org/officeDocument/2006/relationships/hyperlink" Target="https://www.yesterdaysmathsexam.com/_files/ugd/1ba96f_39265d7fdc7e4a2cb82e20ebb2547b48.pdf" TargetMode="External" Id="rId1113" /><Relationship Type="http://schemas.openxmlformats.org/officeDocument/2006/relationships/hyperlink" Target="https://www.yesterdaysmathsexam.com/_files/ugd/1ba96f_246f6fc138e54b5ea0ee8f4d861d3084.pdf" TargetMode="External" Id="rId1114" /><Relationship Type="http://schemas.openxmlformats.org/officeDocument/2006/relationships/hyperlink" Target="https://mathsgenie.co.uk/a-level/maths/edexcel/as-pure-mathematics-11-2-representing-vectors" TargetMode="External" Id="rId1115" /><Relationship Type="http://schemas.openxmlformats.org/officeDocument/2006/relationships/hyperlink" Target="https://assets.mathsgenie.co.uk/content/worksheets/as_level_maths/as-pure-vectors-89a0206f.pdf" TargetMode="External" Id="rId1116" /><Relationship Type="http://schemas.openxmlformats.org/officeDocument/2006/relationships/hyperlink" Target="https://assets.mathsgenie.co.uk/content/worksheets/as_level_maths/as-pure-vectors-ans-1461a0bf.pdf" TargetMode="External" Id="rId1117" /><Relationship Type="http://schemas.openxmlformats.org/officeDocument/2006/relationships/hyperlink" Target="https://pmt.physicsandmathstutor.com/download/Maths/A-level/Pure/Vectors-1/Edexcel-Set-C/QP/Vectors%20QP.pdf" TargetMode="External" Id="rId1118" /><Relationship Type="http://schemas.openxmlformats.org/officeDocument/2006/relationships/hyperlink" Target="https://pmt.physicsandmathstutor.com/download/Maths/A-level/Pure/Vectors-1/Edexcel-Set-C/MS/Vectors%20MS.pdf" TargetMode="External" Id="rId1119" /><Relationship Type="http://schemas.openxmlformats.org/officeDocument/2006/relationships/hyperlink" Target="https://pmt.physicsandmathstutor.com/download/Maths/A-level/Pure/Vectors-1/Edexcel-Set-C/MA/Vectors%20MA.pdf" TargetMode="External" Id="rId1120" /><Relationship Type="http://schemas.openxmlformats.org/officeDocument/2006/relationships/hyperlink" Target="https://www.yesterdaysmathsexam.com/_files/ugd/1ba96f_f7438ab96b614afdb09879de1c330acd.pdf" TargetMode="External" Id="rId1121" /><Relationship Type="http://schemas.openxmlformats.org/officeDocument/2006/relationships/hyperlink" Target="https://www.yesterdaysmathsexam.com/_files/ugd/1ba96f_3d6d5d43c835497484d6aa06a4c913bb.pdf" TargetMode="External" Id="rId1122" /><Relationship Type="http://schemas.openxmlformats.org/officeDocument/2006/relationships/hyperlink" Target="https://mathsgenie.co.uk/a-level/maths/edexcel/as-pure-mathematics-11-1-vectors" TargetMode="External" Id="rId1123" /><Relationship Type="http://schemas.openxmlformats.org/officeDocument/2006/relationships/hyperlink" Target="https://assets.mathsgenie.co.uk/content/worksheets/as_level_maths/as-pure-vectors-89a0206f.pdf" TargetMode="External" Id="rId1124" /><Relationship Type="http://schemas.openxmlformats.org/officeDocument/2006/relationships/hyperlink" Target="https://assets.mathsgenie.co.uk/content/worksheets/as_level_maths/as-pure-vectors-ans-1461a0bf.pdf" TargetMode="External" Id="rId1125" /><Relationship Type="http://schemas.openxmlformats.org/officeDocument/2006/relationships/hyperlink" Target="https://pmt.physicsandmathstutor.com/download/Maths/A-level/Pure/Vectors-1/Edexcel-Set-C/QP/Vectors%20QP.pdf" TargetMode="External" Id="rId1126" /><Relationship Type="http://schemas.openxmlformats.org/officeDocument/2006/relationships/hyperlink" Target="https://pmt.physicsandmathstutor.com/download/Maths/A-level/Pure/Vectors-1/Edexcel-Set-C/MS/Vectors%20MS.pdf" TargetMode="External" Id="rId1127" /><Relationship Type="http://schemas.openxmlformats.org/officeDocument/2006/relationships/hyperlink" Target="https://pmt.physicsandmathstutor.com/download/Maths/A-level/Pure/Vectors-1/Edexcel-Set-C/MA/Vectors%20MA.pdf" TargetMode="External" Id="rId1128" /><Relationship Type="http://schemas.openxmlformats.org/officeDocument/2006/relationships/hyperlink" Target="https://www.yesterdaysmathsexam.com/_files/ugd/1ba96f_f7438ab96b614afdb09879de1c330acd.pdf" TargetMode="External" Id="rId1129" /><Relationship Type="http://schemas.openxmlformats.org/officeDocument/2006/relationships/hyperlink" Target="https://www.yesterdaysmathsexam.com/_files/ugd/1ba96f_3d6d5d43c835497484d6aa06a4c913bb.pdf" TargetMode="External" Id="rId1130" /><Relationship Type="http://schemas.openxmlformats.org/officeDocument/2006/relationships/hyperlink" Target="https://mathsgenie.co.uk/a-level/maths/edexcel/as-pure-mathematics-11-3-magnitude-and-direction" TargetMode="External" Id="rId1131" /><Relationship Type="http://schemas.openxmlformats.org/officeDocument/2006/relationships/hyperlink" Target="https://assets.mathsgenie.co.uk/content/worksheets/as_level_maths/as-pure-vectors-89a0206f.pdf" TargetMode="External" Id="rId1132" /><Relationship Type="http://schemas.openxmlformats.org/officeDocument/2006/relationships/hyperlink" Target="https://assets.mathsgenie.co.uk/content/worksheets/as_level_maths/as-pure-vectors-ans-1461a0bf.pdf" TargetMode="External" Id="rId1133" /><Relationship Type="http://schemas.openxmlformats.org/officeDocument/2006/relationships/hyperlink" Target="https://pmt.physicsandmathstutor.com/download/Maths/A-level/Pure/Vectors-1/Edexcel-Set-C/QP/Vectors%20QP.pdf" TargetMode="External" Id="rId1134" /><Relationship Type="http://schemas.openxmlformats.org/officeDocument/2006/relationships/hyperlink" Target="https://pmt.physicsandmathstutor.com/download/Maths/A-level/Pure/Vectors-1/Edexcel-Set-C/MS/Vectors%20MS.pdf" TargetMode="External" Id="rId1135" /><Relationship Type="http://schemas.openxmlformats.org/officeDocument/2006/relationships/hyperlink" Target="https://pmt.physicsandmathstutor.com/download/Maths/A-level/Pure/Vectors-1/Edexcel-Set-C/MA/Vectors%20MA.pdf" TargetMode="External" Id="rId1136" /><Relationship Type="http://schemas.openxmlformats.org/officeDocument/2006/relationships/hyperlink" Target="https://www.yesterdaysmathsexam.com/_files/ugd/1ba96f_f7438ab96b614afdb09879de1c330acd.pdf" TargetMode="External" Id="rId1137" /><Relationship Type="http://schemas.openxmlformats.org/officeDocument/2006/relationships/hyperlink" Target="https://www.yesterdaysmathsexam.com/_files/ugd/1ba96f_3d6d5d43c835497484d6aa06a4c913bb.pdf" TargetMode="External" Id="rId1138" /><Relationship Type="http://schemas.openxmlformats.org/officeDocument/2006/relationships/hyperlink" Target="https://mathsgenie.co.uk/a-level/maths/edexcel/as-pure-mathematics-11-4-position-vectors" TargetMode="External" Id="rId1139" /><Relationship Type="http://schemas.openxmlformats.org/officeDocument/2006/relationships/hyperlink" Target="https://assets.mathsgenie.co.uk/content/worksheets/as_level_maths/as-pure-vectors-89a0206f.pdf" TargetMode="External" Id="rId1140" /><Relationship Type="http://schemas.openxmlformats.org/officeDocument/2006/relationships/hyperlink" Target="https://assets.mathsgenie.co.uk/content/worksheets/as_level_maths/as-pure-vectors-ans-1461a0bf.pdf" TargetMode="External" Id="rId1141" /><Relationship Type="http://schemas.openxmlformats.org/officeDocument/2006/relationships/hyperlink" Target="https://pmt.physicsandmathstutor.com/download/Maths/A-level/Pure/Vectors-1/Edexcel-Set-C/QP/Vectors%20QP.pdf" TargetMode="External" Id="rId1142" /><Relationship Type="http://schemas.openxmlformats.org/officeDocument/2006/relationships/hyperlink" Target="https://pmt.physicsandmathstutor.com/download/Maths/A-level/Pure/Vectors-1/Edexcel-Set-C/MS/Vectors%20MS.pdf" TargetMode="External" Id="rId1143" /><Relationship Type="http://schemas.openxmlformats.org/officeDocument/2006/relationships/hyperlink" Target="https://pmt.physicsandmathstutor.com/download/Maths/A-level/Pure/Vectors-1/Edexcel-Set-C/MA/Vectors%20MA.pdf" TargetMode="External" Id="rId1144" /><Relationship Type="http://schemas.openxmlformats.org/officeDocument/2006/relationships/hyperlink" Target="https://www.yesterdaysmathsexam.com/_files/ugd/1ba96f_f7438ab96b614afdb09879de1c330acd.pdf" TargetMode="External" Id="rId1145" /><Relationship Type="http://schemas.openxmlformats.org/officeDocument/2006/relationships/hyperlink" Target="https://www.yesterdaysmathsexam.com/_files/ugd/1ba96f_3d6d5d43c835497484d6aa06a4c913bb.pdf" TargetMode="External" Id="rId1146" /><Relationship Type="http://schemas.openxmlformats.org/officeDocument/2006/relationships/hyperlink" Target="https://mathsgenie.co.uk/a-level/maths/edexcel/as-pure-mathematics-11-5-solving-geometric-problems" TargetMode="External" Id="rId1147" /><Relationship Type="http://schemas.openxmlformats.org/officeDocument/2006/relationships/hyperlink" Target="https://assets.mathsgenie.co.uk/content/worksheets/as_level_maths/as-pure-vectors-89a0206f.pdf" TargetMode="External" Id="rId1148" /><Relationship Type="http://schemas.openxmlformats.org/officeDocument/2006/relationships/hyperlink" Target="https://assets.mathsgenie.co.uk/content/worksheets/as_level_maths/as-pure-vectors-ans-1461a0bf.pdf" TargetMode="External" Id="rId1149" /><Relationship Type="http://schemas.openxmlformats.org/officeDocument/2006/relationships/hyperlink" Target="https://pmt.physicsandmathstutor.com/download/Maths/A-level/Pure/Vectors-1/Edexcel-Set-C/QP/Vectors%20QP.pdf" TargetMode="External" Id="rId1150" /><Relationship Type="http://schemas.openxmlformats.org/officeDocument/2006/relationships/hyperlink" Target="https://pmt.physicsandmathstutor.com/download/Maths/A-level/Pure/Vectors-1/Edexcel-Set-C/MS/Vectors%20MS.pdf" TargetMode="External" Id="rId1151" /><Relationship Type="http://schemas.openxmlformats.org/officeDocument/2006/relationships/hyperlink" Target="https://pmt.physicsandmathstutor.com/download/Maths/A-level/Pure/Vectors-1/Edexcel-Set-C/MA/Vectors%20MA.pdf" TargetMode="External" Id="rId1152" /><Relationship Type="http://schemas.openxmlformats.org/officeDocument/2006/relationships/hyperlink" Target="https://www.yesterdaysmathsexam.com/_files/ugd/1ba96f_f7438ab96b614afdb09879de1c330acd.pdf" TargetMode="External" Id="rId1153" /><Relationship Type="http://schemas.openxmlformats.org/officeDocument/2006/relationships/hyperlink" Target="https://www.yesterdaysmathsexam.com/_files/ugd/1ba96f_3d6d5d43c835497484d6aa06a4c913bb.pdf" TargetMode="External" Id="rId1154" /><Relationship Type="http://schemas.openxmlformats.org/officeDocument/2006/relationships/hyperlink" Target="https://mathsgenie.co.uk/a-level/maths/edexcel/as-pure-mathematics-11-6-modelling-with-vectors" TargetMode="External" Id="rId1155" /><Relationship Type="http://schemas.openxmlformats.org/officeDocument/2006/relationships/hyperlink" Target="https://assets.mathsgenie.co.uk/content/worksheets/as_level_maths/as-pure-vectors-89a0206f.pdf" TargetMode="External" Id="rId1156" /><Relationship Type="http://schemas.openxmlformats.org/officeDocument/2006/relationships/hyperlink" Target="https://assets.mathsgenie.co.uk/content/worksheets/as_level_maths/as-pure-vectors-ans-1461a0bf.pdf" TargetMode="External" Id="rId1157" /><Relationship Type="http://schemas.openxmlformats.org/officeDocument/2006/relationships/hyperlink" Target="https://pmt.physicsandmathstutor.com/download/Maths/A-level/Pure/Vectors-1/Edexcel-Set-C/QP/Vectors%20QP.pdf" TargetMode="External" Id="rId1158" /><Relationship Type="http://schemas.openxmlformats.org/officeDocument/2006/relationships/hyperlink" Target="https://pmt.physicsandmathstutor.com/download/Maths/A-level/Pure/Vectors-1/Edexcel-Set-C/MS/Vectors%20MS.pdf" TargetMode="External" Id="rId1159" /><Relationship Type="http://schemas.openxmlformats.org/officeDocument/2006/relationships/hyperlink" Target="https://pmt.physicsandmathstutor.com/download/Maths/A-level/Pure/Vectors-1/Edexcel-Set-C/MA/Vectors%20MA.pdf" TargetMode="External" Id="rId1160" /><Relationship Type="http://schemas.openxmlformats.org/officeDocument/2006/relationships/hyperlink" Target="https://www.yesterdaysmathsexam.com/_files/ugd/1ba96f_f7438ab96b614afdb09879de1c330acd.pdf" TargetMode="External" Id="rId1161" /><Relationship Type="http://schemas.openxmlformats.org/officeDocument/2006/relationships/hyperlink" Target="https://www.yesterdaysmathsexam.com/_files/ugd/1ba96f_3d6d5d43c835497484d6aa06a4c913bb.pdf" TargetMode="External" Id="rId1162" /><Relationship Type="http://schemas.openxmlformats.org/officeDocument/2006/relationships/hyperlink" Target="https://mathsgenie.co.uk/a-level/maths/edexcel/a-level-pure-mathematics-12-2-vectors-in-3d" TargetMode="External" Id="rId1163" /><Relationship Type="http://schemas.openxmlformats.org/officeDocument/2006/relationships/hyperlink" Target="https://assets.mathsgenie.co.uk/content/worksheets/a_level_maths/3d-vectors-159ab14f.pdf" TargetMode="External" Id="rId1164" /><Relationship Type="http://schemas.openxmlformats.org/officeDocument/2006/relationships/hyperlink" Target="https://assets.mathsgenie.co.uk/content/worksheets/a_level_maths/3d-vectors-ans-1b4dfe6b.pdf" TargetMode="External" Id="rId1165" /><Relationship Type="http://schemas.openxmlformats.org/officeDocument/2006/relationships/hyperlink" Target="https://pmt.physicsandmathstutor.com/download/Maths/A-level/Pure/Vectors-2/Edexcel-Set-C/QP/Vectors%20QP.pdf" TargetMode="External" Id="rId1166" /><Relationship Type="http://schemas.openxmlformats.org/officeDocument/2006/relationships/hyperlink" Target="https://pmt.physicsandmathstutor.com/download/Maths/A-level/Pure/Vectors-2/Edexcel-Set-C/MS/Vectors%20MS.pdf" TargetMode="External" Id="rId1167" /><Relationship Type="http://schemas.openxmlformats.org/officeDocument/2006/relationships/hyperlink" Target="https://pmt.physicsandmathstutor.com/download/Maths/A-level/Pure/Vectors-2/Edexcel-Set-C/MA/Vectors%20MA.pdf" TargetMode="External" Id="rId1168" /><Relationship Type="http://schemas.openxmlformats.org/officeDocument/2006/relationships/hyperlink" Target="https://www.yesterdaysmathsexam.com/_files/ugd/1ba96f_d8db080ca04f438598b2ff46c5401518.pdf" TargetMode="External" Id="rId1169" /><Relationship Type="http://schemas.openxmlformats.org/officeDocument/2006/relationships/hyperlink" Target="https://www.yesterdaysmathsexam.com/_files/ugd/1ba96f_ed01c186ad834beba163b5d976445ff7.pdf" TargetMode="External" Id="rId1170" /><Relationship Type="http://schemas.openxmlformats.org/officeDocument/2006/relationships/hyperlink" Target="https://mathsgenie.co.uk/a-level/maths/edexcel/a-level-pure-mathematics-12-3-solving-geometric-problems" TargetMode="External" Id="rId1171" /><Relationship Type="http://schemas.openxmlformats.org/officeDocument/2006/relationships/hyperlink" Target="https://assets.mathsgenie.co.uk/content/worksheets/a_level_maths/3d-vectors-159ab14f.pdf" TargetMode="External" Id="rId1172" /><Relationship Type="http://schemas.openxmlformats.org/officeDocument/2006/relationships/hyperlink" Target="https://assets.mathsgenie.co.uk/content/worksheets/a_level_maths/3d-vectors-ans-1b4dfe6b.pdf" TargetMode="External" Id="rId1173" /><Relationship Type="http://schemas.openxmlformats.org/officeDocument/2006/relationships/hyperlink" Target="https://pmt.physicsandmathstutor.com/download/Maths/A-level/Pure/Vectors-2/Edexcel-Set-C/QP/Vectors%20QP.pdf" TargetMode="External" Id="rId1174" /><Relationship Type="http://schemas.openxmlformats.org/officeDocument/2006/relationships/hyperlink" Target="https://pmt.physicsandmathstutor.com/download/Maths/A-level/Pure/Vectors-2/Edexcel-Set-C/MS/Vectors%20MS.pdf" TargetMode="External" Id="rId1175" /><Relationship Type="http://schemas.openxmlformats.org/officeDocument/2006/relationships/hyperlink" Target="https://pmt.physicsandmathstutor.com/download/Maths/A-level/Pure/Vectors-2/Edexcel-Set-C/MA/Vectors%20MA.pdf" TargetMode="External" Id="rId1176" /><Relationship Type="http://schemas.openxmlformats.org/officeDocument/2006/relationships/hyperlink" Target="https://www.yesterdaysmathsexam.com/_files/ugd/1ba96f_d8db080ca04f438598b2ff46c5401518.pdf" TargetMode="External" Id="rId1177" /><Relationship Type="http://schemas.openxmlformats.org/officeDocument/2006/relationships/hyperlink" Target="https://www.yesterdaysmathsexam.com/_files/ugd/1ba96f_ed01c186ad834beba163b5d976445ff7.pdf" TargetMode="External" Id="rId1178" /><Relationship Type="http://schemas.openxmlformats.org/officeDocument/2006/relationships/hyperlink" Target="https://mathsgenie.co.uk/a-level/maths/edexcel/a-level-pure-mathematics-12-4-application-to-mechanics" TargetMode="External" Id="rId1179" /><Relationship Type="http://schemas.openxmlformats.org/officeDocument/2006/relationships/hyperlink" Target="https://assets.mathsgenie.co.uk/content/worksheets/a_level_maths/3d-vectors-159ab14f.pdf" TargetMode="External" Id="rId1180" /><Relationship Type="http://schemas.openxmlformats.org/officeDocument/2006/relationships/hyperlink" Target="https://assets.mathsgenie.co.uk/content/worksheets/a_level_maths/3d-vectors-ans-1b4dfe6b.pdf" TargetMode="External" Id="rId1181" /><Relationship Type="http://schemas.openxmlformats.org/officeDocument/2006/relationships/hyperlink" Target="https://www.yesterdaysmathsexam.com/_files/ugd/1ba96f_d8db080ca04f438598b2ff46c5401518.pdf" TargetMode="External" Id="rId1182" /><Relationship Type="http://schemas.openxmlformats.org/officeDocument/2006/relationships/hyperlink" Target="https://www.yesterdaysmathsexam.com/_files/ugd/1ba96f_ed01c186ad834beba163b5d976445ff7.pdf" TargetMode="External" Id="rId118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yesterdaysmathsexam.com/_files/ugd/1ba96f_fa2129a09ecb4379a002f552e895091f.pdf" TargetMode="External" Id="rId1" /><Relationship Type="http://schemas.openxmlformats.org/officeDocument/2006/relationships/hyperlink" Target="https://www.yesterdaysmathsexam.com/_files/ugd/1ba96f_0aa87b014cec40aabcda0003f6f868c6.pdf" TargetMode="External" Id="rId2" /><Relationship Type="http://schemas.openxmlformats.org/officeDocument/2006/relationships/hyperlink" Target="https://www.yesterdaysmathsexam.com/_files/ugd/1ba96f_e22773086352449e8757f2f4f6601256.pdf" TargetMode="External" Id="rId3" /><Relationship Type="http://schemas.openxmlformats.org/officeDocument/2006/relationships/hyperlink" Target="https://www.yesterdaysmathsexam.com/_files/ugd/1ba96f_5d26dee8e05a4d68aeb30e40b3a3c9c1.pdf" TargetMode="External" Id="rId4" /><Relationship Type="http://schemas.openxmlformats.org/officeDocument/2006/relationships/hyperlink" Target="https://www.yesterdaysmathsexam.com/_files/ugd/1ba96f_0c034f6ab83040e294803ce31407d2a9.pdf" TargetMode="External" Id="rId5" /><Relationship Type="http://schemas.openxmlformats.org/officeDocument/2006/relationships/hyperlink" Target="https://www.yesterdaysmathsexam.com/_files/ugd/1ba96f_58c2b569086c4f6faecee67913c86a4d.pdf" TargetMode="External" Id="rId6" /><Relationship Type="http://schemas.openxmlformats.org/officeDocument/2006/relationships/hyperlink" Target="https://www.yesterdaysmathsexam.com/_files/ugd/1ba96f_137fddacd6a741eea1c38a996d8b2e17.pdf" TargetMode="External" Id="rId7" /><Relationship Type="http://schemas.openxmlformats.org/officeDocument/2006/relationships/hyperlink" Target="https://www.yesterdaysmathsexam.com/_files/ugd/1ba96f_28606260e6214f7998dbba87694ffce4.pdf" TargetMode="External" Id="rId8" /><Relationship Type="http://schemas.openxmlformats.org/officeDocument/2006/relationships/hyperlink" Target="https://www.yesterdaysmathsexam.com/_files/ugd/1ba96f_91854f91ca9c48c9b4a14ae5451ccf7c.pdf" TargetMode="External" Id="rId9" /><Relationship Type="http://schemas.openxmlformats.org/officeDocument/2006/relationships/hyperlink" Target="https://www.yesterdaysmathsexam.com/_files/ugd/1ba96f_91d88e11265c464f93c3640439b79bdd.pdf" TargetMode="External" Id="rId10" /><Relationship Type="http://schemas.openxmlformats.org/officeDocument/2006/relationships/hyperlink" Target="https://www.yesterdaysmathsexam.com/_files/ugd/1ba96f_ae7d646be5fb43adb23666d6e5a4bb68.pdf" TargetMode="External" Id="rId11" /><Relationship Type="http://schemas.openxmlformats.org/officeDocument/2006/relationships/hyperlink" Target="https://www.yesterdaysmathsexam.com/_files/ugd/1ba96f_35c823c6efcc4f4398d172fc162f3a9b.pdf" TargetMode="External" Id="rId12" /><Relationship Type="http://schemas.openxmlformats.org/officeDocument/2006/relationships/hyperlink" Target="https://www.yesterdaysmathsexam.com/_files/ugd/1ba96f_c8544a0f89ba4828b541a6ab457e337a.pdf" TargetMode="External" Id="rId13" /><Relationship Type="http://schemas.openxmlformats.org/officeDocument/2006/relationships/hyperlink" Target="https://www.yesterdaysmathsexam.com/_files/ugd/1ba96f_5b057af81a504c6ab4848b1752a0ebae.pdf" TargetMode="External" Id="rId14" /><Relationship Type="http://schemas.openxmlformats.org/officeDocument/2006/relationships/hyperlink" Target="https://www.yesterdaysmathsexam.com/_files/ugd/1ba96f_5870fbb9c6ae429abe50bd076b5da130.pdf" TargetMode="External" Id="rId15" /><Relationship Type="http://schemas.openxmlformats.org/officeDocument/2006/relationships/hyperlink" Target="https://www.yesterdaysmathsexam.com/_files/ugd/1ba96f_c1a210161a45417495e5ca00d2b219ce.pdf" TargetMode="External" Id="rId16" /><Relationship Type="http://schemas.openxmlformats.org/officeDocument/2006/relationships/hyperlink" Target="https://www.yesterdaysmathsexam.com/_files/ugd/1ba96f_2c311df40fa8428eb48c8c67a6585999.pdf" TargetMode="External" Id="rId17" /><Relationship Type="http://schemas.openxmlformats.org/officeDocument/2006/relationships/hyperlink" Target="https://www.yesterdaysmathsexam.com/_files/ugd/1ba96f_67d05bced5e54e638c5a51e9d32efa6c.pdf" TargetMode="External" Id="rId18" /><Relationship Type="http://schemas.openxmlformats.org/officeDocument/2006/relationships/hyperlink" Target="https://www.yesterdaysmathsexam.com/_files/ugd/1ba96f_f7438ab96b614afdb09879de1c330acd.pdf" TargetMode="External" Id="rId19" /><Relationship Type="http://schemas.openxmlformats.org/officeDocument/2006/relationships/hyperlink" Target="https://www.yesterdaysmathsexam.com/_files/ugd/1ba96f_3d6d5d43c835497484d6aa06a4c913bb.pdf" TargetMode="External" Id="rId20" /><Relationship Type="http://schemas.openxmlformats.org/officeDocument/2006/relationships/hyperlink" Target="https://www.yesterdaysmathsexam.com/_files/ugd/1ba96f_ffb72e9d0b7845f1a341a2217b83af59.pdf" TargetMode="External" Id="rId21" /><Relationship Type="http://schemas.openxmlformats.org/officeDocument/2006/relationships/hyperlink" Target="https://www.yesterdaysmathsexam.com/_files/ugd/1ba96f_b935bc166b204d05bb5714796394db5f.pdf" TargetMode="External" Id="rId22" /><Relationship Type="http://schemas.openxmlformats.org/officeDocument/2006/relationships/hyperlink" Target="https://www.yesterdaysmathsexam.com/_files/ugd/1ba96f_9f9d72e2a57840bf98a2ba7ea444bf03.pdf" TargetMode="External" Id="rId23" /><Relationship Type="http://schemas.openxmlformats.org/officeDocument/2006/relationships/hyperlink" Target="https://www.yesterdaysmathsexam.com/_files/ugd/1ba96f_01c1277301f94c9c908e2ad7bf50f8a0.pdf" TargetMode="External" Id="rId24" /><Relationship Type="http://schemas.openxmlformats.org/officeDocument/2006/relationships/hyperlink" Target="https://www.yesterdaysmathsexam.com/_files/ugd/1ba96f_6ff07a7e39ae42b89ec4ef14b04e9423.pdf" TargetMode="External" Id="rId25" /><Relationship Type="http://schemas.openxmlformats.org/officeDocument/2006/relationships/hyperlink" Target="https://www.yesterdaysmathsexam.com/_files/ugd/1ba96f_c4b9ccdb696e47c7875bb53e0f6ccc1c.pdf" TargetMode="External" Id="rId26" /><Relationship Type="http://schemas.openxmlformats.org/officeDocument/2006/relationships/hyperlink" Target="https://www.yesterdaysmathsexam.com/_files/ugd/1ba96f_88aaa09bb4484011916313ee5242f4a0.pdf" TargetMode="External" Id="rId27" /><Relationship Type="http://schemas.openxmlformats.org/officeDocument/2006/relationships/hyperlink" Target="https://www.yesterdaysmathsexam.com/_files/ugd/1ba96f_700f3c6395b64fb2afb220b5c2da6267.pdf" TargetMode="External" Id="rId28" /><Relationship Type="http://schemas.openxmlformats.org/officeDocument/2006/relationships/hyperlink" Target="https://www.yesterdaysmathsexam.com/_files/ugd/1ba96f_202f299f34b448afb234a795116475aa.pdf" TargetMode="External" Id="rId29" /><Relationship Type="http://schemas.openxmlformats.org/officeDocument/2006/relationships/hyperlink" Target="https://www.yesterdaysmathsexam.com/_files/ugd/1ba96f_34dfb5236a424b94be30b9f91a3a8571.pdf" TargetMode="External" Id="rId30" /><Relationship Type="http://schemas.openxmlformats.org/officeDocument/2006/relationships/hyperlink" Target="https://www.yesterdaysmathsexam.com/_files/ugd/1ba96f_aabff9387fa64b2bb34c007c086f1967.pdf" TargetMode="External" Id="rId31" /><Relationship Type="http://schemas.openxmlformats.org/officeDocument/2006/relationships/hyperlink" Target="https://www.yesterdaysmathsexam.com/_files/ugd/1ba96f_32378d56df784deaabe0fa8114e895ca.pdf" TargetMode="External" Id="rId32" /><Relationship Type="http://schemas.openxmlformats.org/officeDocument/2006/relationships/hyperlink" Target="https://www.yesterdaysmathsexam.com/_files/ugd/1ba96f_a9f3634701054587ae7be34b00180611.pdf" TargetMode="External" Id="rId33" /><Relationship Type="http://schemas.openxmlformats.org/officeDocument/2006/relationships/hyperlink" Target="https://www.yesterdaysmathsexam.com/_files/ugd/1ba96f_81d9c2a1da7e40f5a21e201f93946696.pdf" TargetMode="External" Id="rId34" /><Relationship Type="http://schemas.openxmlformats.org/officeDocument/2006/relationships/hyperlink" Target="https://www.yesterdaysmathsexam.com/_files/ugd/1ba96f_c8483dcf58004b1788d3fc2e0b878c56.pdf" TargetMode="External" Id="rId35" /><Relationship Type="http://schemas.openxmlformats.org/officeDocument/2006/relationships/hyperlink" Target="https://www.yesterdaysmathsexam.com/_files/ugd/1ba96f_fac388da48db4f569812a159a4adbb82.pdf" TargetMode="External" Id="rId36" /><Relationship Type="http://schemas.openxmlformats.org/officeDocument/2006/relationships/hyperlink" Target="https://www.yesterdaysmathsexam.com/_files/ugd/1ba96f_b281254b2034434f8cca0ded8588ed7f.pdf" TargetMode="External" Id="rId37" /><Relationship Type="http://schemas.openxmlformats.org/officeDocument/2006/relationships/hyperlink" Target="https://www.yesterdaysmathsexam.com/_files/ugd/1ba96f_6bbd83b88c124be599744fc7f0dd0416.pdf" TargetMode="External" Id="rId38" /><Relationship Type="http://schemas.openxmlformats.org/officeDocument/2006/relationships/hyperlink" Target="https://www.yesterdaysmathsexam.com/_files/ugd/1ba96f_48b8d9b94c8b4430af8cd8dfa59dac51.pdf" TargetMode="External" Id="rId39" /><Relationship Type="http://schemas.openxmlformats.org/officeDocument/2006/relationships/hyperlink" Target="https://www.yesterdaysmathsexam.com/_files/ugd/1ba96f_9fd76f9ea7cf46eb8074280c46213e06.pdf" TargetMode="External" Id="rId40" /><Relationship Type="http://schemas.openxmlformats.org/officeDocument/2006/relationships/hyperlink" Target="https://www.yesterdaysmathsexam.com/_files/ugd/1ba96f_80a3205f20de4fe989d20572dfcb6f06.pdf" TargetMode="External" Id="rId41" /><Relationship Type="http://schemas.openxmlformats.org/officeDocument/2006/relationships/hyperlink" Target="https://www.yesterdaysmathsexam.com/_files/ugd/1ba96f_813e46e578db4eb2879882398c80e3c4.pdf" TargetMode="External" Id="rId42" /><Relationship Type="http://schemas.openxmlformats.org/officeDocument/2006/relationships/hyperlink" Target="https://www.yesterdaysmathsexam.com/_files/ugd/1ba96f_cb4a9bc0fd524170be7067e2770f5a77.pdf" TargetMode="External" Id="rId43" /><Relationship Type="http://schemas.openxmlformats.org/officeDocument/2006/relationships/hyperlink" Target="https://www.yesterdaysmathsexam.com/_files/ugd/1ba96f_06c6eb8bbc49417cb617ed1a17b0ec31.pdf" TargetMode="External" Id="rId44" /><Relationship Type="http://schemas.openxmlformats.org/officeDocument/2006/relationships/hyperlink" Target="https://www.yesterdaysmathsexam.com/_files/ugd/1ba96f_4a46a9fa0c07461b97ddf62f897d5464.pdf" TargetMode="External" Id="rId45" /><Relationship Type="http://schemas.openxmlformats.org/officeDocument/2006/relationships/hyperlink" Target="https://www.yesterdaysmathsexam.com/_files/ugd/1ba96f_73cb3a284cb4426e98f4d6371973d180.pdf" TargetMode="External" Id="rId46" /><Relationship Type="http://schemas.openxmlformats.org/officeDocument/2006/relationships/hyperlink" Target="https://www.yesterdaysmathsexam.com/_files/ugd/1ba96f_814e620dfe4648c684796a46e5dac697.pdf" TargetMode="External" Id="rId47" /><Relationship Type="http://schemas.openxmlformats.org/officeDocument/2006/relationships/hyperlink" Target="https://www.yesterdaysmathsexam.com/_files/ugd/1ba96f_4204150e65994886a18f7897dc4e8975.pdf" TargetMode="External" Id="rId48" /><Relationship Type="http://schemas.openxmlformats.org/officeDocument/2006/relationships/hyperlink" Target="https://www.yesterdaysmathsexam.com/_files/ugd/1ba96f_15aac9787f364dd2bcb8272f1faaf96c.pdf" TargetMode="External" Id="rId49" /><Relationship Type="http://schemas.openxmlformats.org/officeDocument/2006/relationships/hyperlink" Target="https://www.yesterdaysmathsexam.com/_files/ugd/1ba96f_52583e3d2e264e018ee395d9ae3f992e.pdf" TargetMode="External" Id="rId50" /><Relationship Type="http://schemas.openxmlformats.org/officeDocument/2006/relationships/hyperlink" Target="https://www.yesterdaysmathsexam.com/_files/ugd/1ba96f_7c748a76bde946f58a74d25ddf9a185a.pdf" TargetMode="External" Id="rId51" /><Relationship Type="http://schemas.openxmlformats.org/officeDocument/2006/relationships/hyperlink" Target="https://www.yesterdaysmathsexam.com/_files/ugd/1ba96f_7d54ed6700224b36b9c7a8664f6b4bcc.pdf" TargetMode="External" Id="rId52" /><Relationship Type="http://schemas.openxmlformats.org/officeDocument/2006/relationships/hyperlink" Target="https://www.yesterdaysmathsexam.com/_files/ugd/1ba96f_2ed7e13af425482b8c310ce85a457447.pdf" TargetMode="External" Id="rId53" /><Relationship Type="http://schemas.openxmlformats.org/officeDocument/2006/relationships/hyperlink" Target="https://www.yesterdaysmathsexam.com/_files/ugd/1ba96f_39265d7fdc7e4a2cb82e20ebb2547b48.pdf" TargetMode="External" Id="rId54" /><Relationship Type="http://schemas.openxmlformats.org/officeDocument/2006/relationships/hyperlink" Target="https://www.yesterdaysmathsexam.com/_files/ugd/1ba96f_246f6fc138e54b5ea0ee8f4d861d3084.pdf" TargetMode="External" Id="rId55" /><Relationship Type="http://schemas.openxmlformats.org/officeDocument/2006/relationships/hyperlink" Target="https://www.yesterdaysmathsexam.com/_files/ugd/1ba96f_3778726d26a74080a3d371b325ddf02f.pdf" TargetMode="External" Id="rId56" /><Relationship Type="http://schemas.openxmlformats.org/officeDocument/2006/relationships/hyperlink" Target="https://www.yesterdaysmathsexam.com/_files/ugd/1ba96f_721ef4ec342744798afc38eee8ba0d3b.pdf" TargetMode="External" Id="rId57" /><Relationship Type="http://schemas.openxmlformats.org/officeDocument/2006/relationships/hyperlink" Target="https://www.yesterdaysmathsexam.com/_files/ugd/1ba96f_77ba3b7f67e842ea93e4d7381116a3ce.pdf" TargetMode="External" Id="rId58" /><Relationship Type="http://schemas.openxmlformats.org/officeDocument/2006/relationships/hyperlink" Target="https://www.yesterdaysmathsexam.com/_files/ugd/1ba96f_aa7d703a24f2497f8102a0e30806c55f.pdf" TargetMode="External" Id="rId59" /><Relationship Type="http://schemas.openxmlformats.org/officeDocument/2006/relationships/hyperlink" Target="https://www.yesterdaysmathsexam.com/_files/ugd/1ba96f_3c940af8cffa4cad940bbd3375c6337d.pdf" TargetMode="External" Id="rId60" /><Relationship Type="http://schemas.openxmlformats.org/officeDocument/2006/relationships/hyperlink" Target="https://www.yesterdaysmathsexam.com/_files/ugd/1ba96f_ae20a0be0c6043a18aff99d79c09ba98.pdf" TargetMode="External" Id="rId61" /><Relationship Type="http://schemas.openxmlformats.org/officeDocument/2006/relationships/hyperlink" Target="https://www.yesterdaysmathsexam.com/_files/ugd/1ba96f_6f7f4058adcf4c598f6176505e3ee32a.pdf" TargetMode="External" Id="rId62" /><Relationship Type="http://schemas.openxmlformats.org/officeDocument/2006/relationships/hyperlink" Target="https://www.yesterdaysmathsexam.com/_files/ugd/1ba96f_f2d17d94e5c64a5991b28cffde4d004e.pdf" TargetMode="External" Id="rId63" /><Relationship Type="http://schemas.openxmlformats.org/officeDocument/2006/relationships/hyperlink" Target="https://www.yesterdaysmathsexam.com/_files/ugd/1ba96f_d8db080ca04f438598b2ff46c5401518.pdf" TargetMode="External" Id="rId64" /><Relationship Type="http://schemas.openxmlformats.org/officeDocument/2006/relationships/hyperlink" Target="https://www.yesterdaysmathsexam.com/_files/ugd/1ba96f_ed01c186ad834beba163b5d976445ff7.pdf" TargetMode="External" Id="rId65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2937"/>
    <outlinePr summaryBelow="1" summaryRight="1"/>
    <pageSetUpPr fitToPage="1"/>
  </sheetPr>
  <dimension ref="A1:C30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2" customWidth="1" min="3" max="3"/>
    <col width="4" customWidth="1" min="4" max="4"/>
    <col width="4" customWidth="1" min="5" max="5"/>
  </cols>
  <sheetData>
    <row r="1" ht="38" customHeight="1">
      <c r="B1" s="1" t="inlineStr">
        <is>
          <t>Edexcel A Level Maths: Pure maths</t>
        </is>
      </c>
    </row>
    <row r="2">
      <c r="B2" s="2" t="inlineStr">
        <is>
          <t>A quick check of how confident you feel on every topic, so revision goes where it's needed most.</t>
        </is>
      </c>
    </row>
    <row r="4">
      <c r="B4" s="3" t="inlineStr">
        <is>
          <t>How it works</t>
        </is>
      </c>
    </row>
    <row r="5" ht="36" customHeight="1">
      <c r="A5" s="4" t="n">
        <v>1</v>
      </c>
      <c r="B5" s="5" t="inlineStr">
        <is>
          <t>Open the Pure tab</t>
        </is>
      </c>
      <c r="C5" s="6" t="inlineStr">
        <is>
          <t>Each topic has a yellow Rating box. Click it and pick R, A or G. That's the only thing to fill in (Notes are optional).</t>
        </is>
      </c>
    </row>
    <row r="6" ht="6" customHeight="1"/>
    <row r="7" ht="36" customHeight="1">
      <c r="A7" s="4" t="n">
        <v>2</v>
      </c>
      <c r="B7" s="5" t="inlineStr">
        <is>
          <t>Be honest, not kind</t>
        </is>
      </c>
      <c r="C7" s="6" t="inlineStr">
        <is>
          <t>If you're torn between two colours, pick the lower one. A Green topic gets almost no time, so only use it when you're sure.</t>
        </is>
      </c>
    </row>
    <row r="8" ht="6" customHeight="1"/>
    <row r="9" ht="36" customHeight="1">
      <c r="A9" s="4" t="n">
        <v>3</v>
      </c>
      <c r="B9" s="5" t="inlineStr">
        <is>
          <t>Take your time</t>
        </is>
      </c>
      <c r="C9" s="6" t="inlineStr">
        <is>
          <t>158 topics, most take a glance. About 30 minutes.</t>
        </is>
      </c>
    </row>
    <row r="10" ht="6" customHeight="1"/>
    <row r="12">
      <c r="B12" s="3" t="inlineStr">
        <is>
          <t>What the colours mean</t>
        </is>
      </c>
    </row>
    <row r="13" ht="26" customHeight="1">
      <c r="B13" s="7" t="inlineStr">
        <is>
          <t>R  ·  Red</t>
        </is>
      </c>
      <c r="C13" s="8" t="inlineStr">
        <is>
          <t>I can't do this yet, or I'd probably get it wrong.</t>
        </is>
      </c>
    </row>
    <row r="14" ht="26" customHeight="1">
      <c r="B14" s="9" t="inlineStr">
        <is>
          <t>A  ·  Amber</t>
        </is>
      </c>
      <c r="C14" s="8" t="inlineStr">
        <is>
          <t>I can do some of it, or I'm slow and make mistakes.</t>
        </is>
      </c>
    </row>
    <row r="15" ht="26" customHeight="1">
      <c r="B15" s="10" t="inlineStr">
        <is>
          <t>G  ·  Green</t>
        </is>
      </c>
      <c r="C15" s="8" t="inlineStr">
        <is>
          <t>I can do this confidently in exam conditions.</t>
        </is>
      </c>
    </row>
    <row r="17">
      <c r="B17" s="3" t="inlineStr">
        <is>
          <t>The tabs</t>
        </is>
      </c>
    </row>
    <row r="18" ht="24" customHeight="1">
      <c r="B18" s="11" t="inlineStr">
        <is>
          <t>Pure</t>
        </is>
      </c>
      <c r="C18" s="8" t="inlineStr">
        <is>
          <t>158 topics for Paper 1 and Paper 2.</t>
        </is>
      </c>
    </row>
    <row r="19" ht="24" customHeight="1">
      <c r="B19" s="12" t="inlineStr">
        <is>
          <t>Chapter tests</t>
        </is>
      </c>
      <c r="C19" s="8" t="inlineStr">
        <is>
          <t>Real exam questions for each textbook chapter. Mark them Done as you go.</t>
        </is>
      </c>
    </row>
    <row r="20" ht="24" customHeight="1">
      <c r="B20" s="13" t="inlineStr">
        <is>
          <t>Progress</t>
        </is>
      </c>
      <c r="C20" s="8" t="inlineStr">
        <is>
          <t>Fills itself in: your Red / Amber / Green totals and a practice plan.</t>
        </is>
      </c>
    </row>
    <row r="22">
      <c r="B22" s="3" t="inlineStr">
        <is>
          <t>Want to check a topic first?</t>
        </is>
      </c>
    </row>
    <row r="23" ht="20" customHeight="1">
      <c r="B23" s="14" t="inlineStr">
        <is>
          <t>▶ Watch</t>
        </is>
      </c>
      <c r="C23" s="15" t="inlineStr">
        <is>
          <t>A short Maths Genie video lesson on the topic.</t>
        </is>
      </c>
    </row>
    <row r="24" ht="30" customHeight="1">
      <c r="B24" s="14" t="inlineStr">
        <is>
          <t>Maths Genie</t>
        </is>
      </c>
      <c r="C24" s="15" t="inlineStr">
        <is>
          <t>Exam-style questions for the chapter, with worked answers. 'Topic set' = questions on just that topic.</t>
        </is>
      </c>
    </row>
    <row r="25" ht="20" customHeight="1">
      <c r="B25" s="14" t="inlineStr">
        <is>
          <t>PMT worksheet</t>
        </is>
      </c>
      <c r="C25" s="15" t="inlineStr">
        <is>
          <t>Physics &amp; Maths Tutor questions, the mark scheme and model answers.</t>
        </is>
      </c>
    </row>
    <row r="26" ht="30" customHeight="1">
      <c r="B26" s="14" t="inlineStr">
        <is>
          <t>Textbook</t>
        </is>
      </c>
      <c r="C26" s="15" t="inlineStr">
        <is>
          <t>Where it is in the Pearson textbooks (Pure 1 and 2, Applied 1 and 2), with a chapter test of real exam questions.</t>
        </is>
      </c>
    </row>
    <row r="27" ht="30" customHeight="1">
      <c r="B27" s="14" t="inlineStr">
        <is>
          <t>Ref and Year</t>
        </is>
      </c>
      <c r="C27" s="15" t="inlineStr">
        <is>
          <t>The official specification reference (e.g. P7.4). Y1 = AS / first-year content, Y2 = second year.</t>
        </is>
      </c>
    </row>
    <row r="29">
      <c r="B29" s="3" t="inlineStr">
        <is>
          <t>The exams</t>
        </is>
      </c>
    </row>
    <row r="30" ht="48" customHeight="1">
      <c r="C30" s="16" t="inlineStr">
        <is>
          <t>Three 2-hour papers, 100 marks each, each worth a third: Paper 1 and Paper 2 are Pure; Paper 3 is Statistics (Section A) and Mechanics (Section B). Year 1 content is examined too, and Pure can come up on Paper 3.</t>
        </is>
      </c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3B5BDB"/>
    <outlinePr summaryBelow="0"/>
    <pageSetUpPr fitToPage="1"/>
  </sheetPr>
  <dimension ref="A1:P184"/>
  <sheetViews>
    <sheetView showGridLines="0" zoomScale="11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4" customWidth="1" min="2" max="2"/>
    <col width="6" customWidth="1" min="3" max="3"/>
    <col width="9" customWidth="1" min="4" max="4"/>
    <col width="30" customWidth="1" min="5" max="5"/>
    <col width="10" customWidth="1" min="6" max="6"/>
    <col width="11" customWidth="1" min="7" max="7"/>
    <col width="10" customWidth="1" min="8" max="8"/>
    <col width="30" customWidth="1" min="9" max="9"/>
    <col width="10" customWidth="1" min="10" max="10"/>
    <col width="11" customWidth="1" min="11" max="11"/>
    <col width="9" customWidth="1" min="12" max="12"/>
    <col width="13" customWidth="1" min="13" max="13"/>
    <col width="11" customWidth="1" min="14" max="14"/>
    <col width="11" customWidth="1" min="15" max="15"/>
    <col hidden="1" width="13" customWidth="1" min="16" max="16"/>
  </cols>
  <sheetData>
    <row r="1" ht="34" customHeight="1">
      <c r="A1" s="17" t="inlineStr">
        <is>
          <t>Pure maths</t>
        </is>
      </c>
    </row>
    <row r="2">
      <c r="A2" s="18" t="inlineStr">
        <is>
          <t>Paper 1 and Paper 2  ·  158 topics  ·  pick R, A or G in the yellow Rating column for each one</t>
        </is>
      </c>
    </row>
    <row r="3">
      <c r="A3" s="19">
        <f>"Rated so far: "&amp;(COUNTIF($D$7:$D$184,"R")+COUNTIF($D$7:$D$184,"A")+COUNTIF($D$7:$D$184,"G"))&amp;" of 158     Red "&amp;COUNTIF($D$7:$D$184,"R")&amp;"   ·   Amber "&amp;COUNTIF($D$7:$D$184,"A")&amp;"   ·   Green "&amp;COUNTIF($D$7:$D$184,"G")</f>
        <v/>
      </c>
    </row>
    <row r="4" ht="8" customHeight="1"/>
    <row r="5">
      <c r="A5" s="20" t="inlineStr">
        <is>
          <t>Your check</t>
        </is>
      </c>
      <c r="B5" s="21" t="n"/>
      <c r="C5" s="21" t="n"/>
      <c r="D5" s="21" t="n"/>
      <c r="E5" s="21" t="n"/>
      <c r="F5" s="22" t="inlineStr">
        <is>
          <t>Maths Genie</t>
        </is>
      </c>
      <c r="G5" s="21" t="n"/>
      <c r="H5" s="21" t="n"/>
      <c r="I5" s="22" t="inlineStr">
        <is>
          <t>PMT worksheet</t>
        </is>
      </c>
      <c r="J5" s="21" t="n"/>
      <c r="K5" s="21" t="n"/>
      <c r="L5" s="21" t="n"/>
      <c r="M5" s="22" t="inlineStr">
        <is>
          <t>Textbook chapter test</t>
        </is>
      </c>
      <c r="N5" s="21" t="n"/>
      <c r="O5" s="21" t="n"/>
    </row>
    <row r="6" ht="22" customHeight="1">
      <c r="A6" s="23" t="inlineStr">
        <is>
          <t>Ref</t>
        </is>
      </c>
      <c r="B6" s="24" t="inlineStr">
        <is>
          <t>Topic</t>
        </is>
      </c>
      <c r="C6" s="23" t="inlineStr">
        <is>
          <t>Year</t>
        </is>
      </c>
      <c r="D6" s="23" t="inlineStr">
        <is>
          <t>Rating</t>
        </is>
      </c>
      <c r="E6" s="24" t="inlineStr">
        <is>
          <t>Notes</t>
        </is>
      </c>
      <c r="F6" s="23" t="inlineStr">
        <is>
          <t>Video</t>
        </is>
      </c>
      <c r="G6" s="23" t="inlineStr">
        <is>
          <t>Questions</t>
        </is>
      </c>
      <c r="H6" s="23" t="inlineStr">
        <is>
          <t>Answers</t>
        </is>
      </c>
      <c r="I6" s="24" t="inlineStr">
        <is>
          <t>Worksheet</t>
        </is>
      </c>
      <c r="J6" s="23" t="inlineStr">
        <is>
          <t>Questions</t>
        </is>
      </c>
      <c r="K6" s="23" t="inlineStr">
        <is>
          <t>Mark scheme</t>
        </is>
      </c>
      <c r="L6" s="23" t="inlineStr">
        <is>
          <t>Answers</t>
        </is>
      </c>
      <c r="M6" s="23" t="inlineStr">
        <is>
          <t>Textbook</t>
        </is>
      </c>
      <c r="N6" s="23" t="inlineStr">
        <is>
          <t>Questions</t>
        </is>
      </c>
      <c r="O6" s="23" t="inlineStr">
        <is>
          <t>Mark scheme</t>
        </is>
      </c>
    </row>
    <row r="7" ht="10" customHeight="1"/>
    <row r="8" ht="26" customHeight="1">
      <c r="A8" s="25" t="inlineStr">
        <is>
          <t>1</t>
        </is>
      </c>
      <c r="B8" s="26" t="inlineStr">
        <is>
          <t>Proof</t>
        </is>
      </c>
      <c r="C8" s="27" t="n"/>
      <c r="D8" s="27" t="n"/>
      <c r="E8" s="28" t="inlineStr">
        <is>
          <t>3 topics  ·  Year 1: 2  ·  Year 2: 1</t>
        </is>
      </c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</row>
    <row r="9" outlineLevel="1" ht="20" customHeight="1">
      <c r="A9" s="29" t="inlineStr">
        <is>
          <t>P1.1</t>
        </is>
      </c>
      <c r="B9" s="30" t="inlineStr">
        <is>
          <t>Proof by deduction and proof by exhaustion</t>
        </is>
      </c>
      <c r="C9" s="31" t="n">
        <v>1</v>
      </c>
      <c r="D9" s="32" t="n"/>
      <c r="E9" s="33" t="n"/>
      <c r="F9" s="34" t="inlineStr">
        <is>
          <t>▶ Watch</t>
        </is>
      </c>
      <c r="G9" s="34" t="inlineStr">
        <is>
          <t>Questions</t>
        </is>
      </c>
      <c r="H9" s="34" t="inlineStr">
        <is>
          <t>Answers</t>
        </is>
      </c>
      <c r="I9" s="33" t="inlineStr">
        <is>
          <t>Proof</t>
        </is>
      </c>
      <c r="J9" s="34" t="inlineStr">
        <is>
          <t>Questions</t>
        </is>
      </c>
      <c r="K9" s="34" t="inlineStr">
        <is>
          <t>Marks</t>
        </is>
      </c>
      <c r="L9" s="34" t="inlineStr">
        <is>
          <t>Answers</t>
        </is>
      </c>
      <c r="M9" s="29" t="inlineStr">
        <is>
          <t>Pure 1 Ch7</t>
        </is>
      </c>
      <c r="N9" s="34" t="inlineStr">
        <is>
          <t>Set 1 of 2</t>
        </is>
      </c>
      <c r="O9" s="34" t="inlineStr">
        <is>
          <t>Marks</t>
        </is>
      </c>
      <c r="P9" t="inlineStr">
        <is>
          <t>P1</t>
        </is>
      </c>
    </row>
    <row r="10" outlineLevel="1" ht="20" customHeight="1">
      <c r="A10" s="29" t="inlineStr">
        <is>
          <t>P1.1</t>
        </is>
      </c>
      <c r="B10" s="30" t="inlineStr">
        <is>
          <t>Disproof by counter-example</t>
        </is>
      </c>
      <c r="C10" s="31" t="n">
        <v>1</v>
      </c>
      <c r="D10" s="32" t="n"/>
      <c r="E10" s="33" t="n"/>
      <c r="F10" s="34" t="inlineStr">
        <is>
          <t>▶ Watch</t>
        </is>
      </c>
      <c r="G10" s="34" t="inlineStr">
        <is>
          <t>Questions</t>
        </is>
      </c>
      <c r="H10" s="34" t="inlineStr">
        <is>
          <t>Answers</t>
        </is>
      </c>
      <c r="I10" s="33" t="inlineStr">
        <is>
          <t>Proof</t>
        </is>
      </c>
      <c r="J10" s="34" t="inlineStr">
        <is>
          <t>Questions</t>
        </is>
      </c>
      <c r="K10" s="34" t="inlineStr">
        <is>
          <t>Marks</t>
        </is>
      </c>
      <c r="L10" s="34" t="inlineStr">
        <is>
          <t>Answers</t>
        </is>
      </c>
      <c r="M10" s="29" t="inlineStr">
        <is>
          <t>Pure 1 Ch7</t>
        </is>
      </c>
      <c r="N10" s="34" t="inlineStr">
        <is>
          <t>Set 1 of 2</t>
        </is>
      </c>
      <c r="O10" s="34" t="inlineStr">
        <is>
          <t>Marks</t>
        </is>
      </c>
      <c r="P10" t="inlineStr">
        <is>
          <t>P1</t>
        </is>
      </c>
    </row>
    <row r="11" outlineLevel="1" ht="32" customHeight="1">
      <c r="A11" s="29" t="inlineStr">
        <is>
          <t>P1.1</t>
        </is>
      </c>
      <c r="B11" s="30" t="inlineStr">
        <is>
          <t>Proof by contradiction (incl. √2 irrational, infinitely many primes)</t>
        </is>
      </c>
      <c r="C11" s="35" t="n">
        <v>2</v>
      </c>
      <c r="D11" s="32" t="n"/>
      <c r="E11" s="33" t="n"/>
      <c r="F11" s="34" t="inlineStr">
        <is>
          <t>▶ Watch</t>
        </is>
      </c>
      <c r="G11" s="34" t="inlineStr">
        <is>
          <t>Questions</t>
        </is>
      </c>
      <c r="H11" s="34" t="inlineStr">
        <is>
          <t>Answers</t>
        </is>
      </c>
      <c r="I11" s="33" t="inlineStr">
        <is>
          <t>Proof</t>
        </is>
      </c>
      <c r="J11" s="34" t="inlineStr">
        <is>
          <t>Questions</t>
        </is>
      </c>
      <c r="K11" s="34" t="inlineStr">
        <is>
          <t>Marks</t>
        </is>
      </c>
      <c r="L11" s="34" t="inlineStr">
        <is>
          <t>Answers</t>
        </is>
      </c>
      <c r="M11" s="29" t="inlineStr">
        <is>
          <t>Pure 2 Ch1</t>
        </is>
      </c>
      <c r="N11" s="34" t="inlineStr">
        <is>
          <t>Questions</t>
        </is>
      </c>
      <c r="O11" s="34" t="inlineStr">
        <is>
          <t>Marks</t>
        </is>
      </c>
      <c r="P11" t="inlineStr">
        <is>
          <t>P1</t>
        </is>
      </c>
    </row>
    <row r="12" ht="10" customHeight="1"/>
    <row r="13" ht="26" customHeight="1">
      <c r="A13" s="25" t="inlineStr">
        <is>
          <t>2</t>
        </is>
      </c>
      <c r="B13" s="26" t="inlineStr">
        <is>
          <t>Algebra and functions</t>
        </is>
      </c>
      <c r="C13" s="27" t="n"/>
      <c r="D13" s="27" t="n"/>
      <c r="E13" s="28" t="inlineStr">
        <is>
          <t>38 topics  ·  Year 1: 25  ·  Year 2: 13</t>
        </is>
      </c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</row>
    <row r="14" outlineLevel="1" ht="20" customHeight="1">
      <c r="A14" s="29" t="inlineStr">
        <is>
          <t>P2.1</t>
        </is>
      </c>
      <c r="B14" s="30" t="inlineStr">
        <is>
          <t>Laws of indices</t>
        </is>
      </c>
      <c r="C14" s="31" t="n">
        <v>1</v>
      </c>
      <c r="D14" s="32" t="n"/>
      <c r="E14" s="33" t="n"/>
      <c r="F14" s="34" t="inlineStr">
        <is>
          <t>▶ Watch</t>
        </is>
      </c>
      <c r="G14" s="34" t="inlineStr">
        <is>
          <t>Questions</t>
        </is>
      </c>
      <c r="H14" s="34" t="inlineStr">
        <is>
          <t>Answers</t>
        </is>
      </c>
      <c r="I14" s="36" t="inlineStr">
        <is>
          <t>none for this topic</t>
        </is>
      </c>
      <c r="J14" s="37" t="n"/>
      <c r="K14" s="37" t="n"/>
      <c r="L14" s="37" t="n"/>
      <c r="M14" s="29" t="inlineStr">
        <is>
          <t>Pure 1 Ch1</t>
        </is>
      </c>
      <c r="N14" s="34" t="inlineStr">
        <is>
          <t>Questions</t>
        </is>
      </c>
      <c r="O14" s="34" t="inlineStr">
        <is>
          <t>Marks</t>
        </is>
      </c>
      <c r="P14" t="inlineStr">
        <is>
          <t>P2</t>
        </is>
      </c>
    </row>
    <row r="15" outlineLevel="1" ht="20" customHeight="1">
      <c r="A15" s="29" t="inlineStr">
        <is>
          <t>P2.1</t>
        </is>
      </c>
      <c r="B15" s="30" t="inlineStr">
        <is>
          <t>Negative and fractional indices</t>
        </is>
      </c>
      <c r="C15" s="31" t="n">
        <v>1</v>
      </c>
      <c r="D15" s="32" t="n"/>
      <c r="E15" s="33" t="n"/>
      <c r="F15" s="34" t="inlineStr">
        <is>
          <t>▶ Watch</t>
        </is>
      </c>
      <c r="G15" s="34" t="inlineStr">
        <is>
          <t>Questions</t>
        </is>
      </c>
      <c r="H15" s="34" t="inlineStr">
        <is>
          <t>Answers</t>
        </is>
      </c>
      <c r="I15" s="33" t="inlineStr">
        <is>
          <t>Exponential Equations</t>
        </is>
      </c>
      <c r="J15" s="34" t="inlineStr">
        <is>
          <t>Questions</t>
        </is>
      </c>
      <c r="K15" s="34" t="inlineStr">
        <is>
          <t>Marks</t>
        </is>
      </c>
      <c r="L15" s="34" t="inlineStr">
        <is>
          <t>Answers</t>
        </is>
      </c>
      <c r="M15" s="29" t="inlineStr">
        <is>
          <t>Pure 1 Ch1</t>
        </is>
      </c>
      <c r="N15" s="34" t="inlineStr">
        <is>
          <t>Questions</t>
        </is>
      </c>
      <c r="O15" s="34" t="inlineStr">
        <is>
          <t>Marks</t>
        </is>
      </c>
      <c r="P15" t="inlineStr">
        <is>
          <t>P2</t>
        </is>
      </c>
    </row>
    <row r="16" outlineLevel="1" ht="20" customHeight="1">
      <c r="A16" s="29" t="inlineStr">
        <is>
          <t>P2.2</t>
        </is>
      </c>
      <c r="B16" s="30" t="inlineStr">
        <is>
          <t>Surds and rationalising the denominator</t>
        </is>
      </c>
      <c r="C16" s="31" t="n">
        <v>1</v>
      </c>
      <c r="D16" s="32" t="n"/>
      <c r="E16" s="33" t="n"/>
      <c r="F16" s="34" t="inlineStr">
        <is>
          <t>▶ Watch</t>
        </is>
      </c>
      <c r="G16" s="34" t="inlineStr">
        <is>
          <t>Questions</t>
        </is>
      </c>
      <c r="H16" s="34" t="inlineStr">
        <is>
          <t>Answers</t>
        </is>
      </c>
      <c r="I16" s="36" t="inlineStr">
        <is>
          <t>none for this topic</t>
        </is>
      </c>
      <c r="J16" s="37" t="n"/>
      <c r="K16" s="37" t="n"/>
      <c r="L16" s="37" t="n"/>
      <c r="M16" s="29" t="inlineStr">
        <is>
          <t>Pure 1 Ch1</t>
        </is>
      </c>
      <c r="N16" s="34" t="inlineStr">
        <is>
          <t>Questions</t>
        </is>
      </c>
      <c r="O16" s="34" t="inlineStr">
        <is>
          <t>Marks</t>
        </is>
      </c>
      <c r="P16" t="inlineStr">
        <is>
          <t>P2</t>
        </is>
      </c>
    </row>
    <row r="17" outlineLevel="1" ht="20" customHeight="1">
      <c r="A17" s="29" t="inlineStr">
        <is>
          <t>P2.3</t>
        </is>
      </c>
      <c r="B17" s="30" t="inlineStr">
        <is>
          <t>Solving quadratics (factorising, formula, calculator)</t>
        </is>
      </c>
      <c r="C17" s="31" t="n">
        <v>1</v>
      </c>
      <c r="D17" s="32" t="n"/>
      <c r="E17" s="33" t="n"/>
      <c r="F17" s="34" t="inlineStr">
        <is>
          <t>▶ Watch</t>
        </is>
      </c>
      <c r="G17" s="34" t="inlineStr">
        <is>
          <t>Questions</t>
        </is>
      </c>
      <c r="H17" s="34" t="inlineStr">
        <is>
          <t>Answers</t>
        </is>
      </c>
      <c r="I17" s="33" t="inlineStr">
        <is>
          <t>Quadratics</t>
        </is>
      </c>
      <c r="J17" s="34" t="inlineStr">
        <is>
          <t>Questions</t>
        </is>
      </c>
      <c r="K17" s="34" t="inlineStr">
        <is>
          <t>Marks</t>
        </is>
      </c>
      <c r="L17" s="34" t="inlineStr">
        <is>
          <t>Answers</t>
        </is>
      </c>
      <c r="M17" s="29" t="inlineStr">
        <is>
          <t>Pure 1 Ch2</t>
        </is>
      </c>
      <c r="N17" s="34" t="inlineStr">
        <is>
          <t>Questions</t>
        </is>
      </c>
      <c r="O17" s="34" t="inlineStr">
        <is>
          <t>Marks</t>
        </is>
      </c>
      <c r="P17" t="inlineStr">
        <is>
          <t>P2</t>
        </is>
      </c>
    </row>
    <row r="18" outlineLevel="1" ht="20" customHeight="1">
      <c r="A18" s="29" t="inlineStr">
        <is>
          <t>P2.3</t>
        </is>
      </c>
      <c r="B18" s="30" t="inlineStr">
        <is>
          <t>Completing the square</t>
        </is>
      </c>
      <c r="C18" s="31" t="n">
        <v>1</v>
      </c>
      <c r="D18" s="32" t="n"/>
      <c r="E18" s="33" t="n"/>
      <c r="F18" s="34" t="inlineStr">
        <is>
          <t>▶ Watch</t>
        </is>
      </c>
      <c r="G18" s="34" t="inlineStr">
        <is>
          <t>Topic set</t>
        </is>
      </c>
      <c r="H18" s="34" t="inlineStr">
        <is>
          <t>Answers</t>
        </is>
      </c>
      <c r="I18" s="33" t="inlineStr">
        <is>
          <t>Quadratics</t>
        </is>
      </c>
      <c r="J18" s="34" t="inlineStr">
        <is>
          <t>Questions</t>
        </is>
      </c>
      <c r="K18" s="34" t="inlineStr">
        <is>
          <t>Marks</t>
        </is>
      </c>
      <c r="L18" s="34" t="inlineStr">
        <is>
          <t>Answers</t>
        </is>
      </c>
      <c r="M18" s="29" t="inlineStr">
        <is>
          <t>Pure 1 Ch2</t>
        </is>
      </c>
      <c r="N18" s="34" t="inlineStr">
        <is>
          <t>Questions</t>
        </is>
      </c>
      <c r="O18" s="34" t="inlineStr">
        <is>
          <t>Marks</t>
        </is>
      </c>
      <c r="P18" t="inlineStr">
        <is>
          <t>P2</t>
        </is>
      </c>
    </row>
    <row r="19" outlineLevel="1" ht="20" customHeight="1">
      <c r="A19" s="29" t="inlineStr">
        <is>
          <t>P2.3</t>
        </is>
      </c>
      <c r="B19" s="30" t="inlineStr">
        <is>
          <t>Sketching quadratic graphs and quadratic functions</t>
        </is>
      </c>
      <c r="C19" s="31" t="n">
        <v>1</v>
      </c>
      <c r="D19" s="32" t="n"/>
      <c r="E19" s="33" t="n"/>
      <c r="F19" s="34" t="inlineStr">
        <is>
          <t>▶ Watch</t>
        </is>
      </c>
      <c r="G19" s="34" t="inlineStr">
        <is>
          <t>Questions</t>
        </is>
      </c>
      <c r="H19" s="34" t="inlineStr">
        <is>
          <t>Answers</t>
        </is>
      </c>
      <c r="I19" s="33" t="inlineStr">
        <is>
          <t>Quadratics</t>
        </is>
      </c>
      <c r="J19" s="34" t="inlineStr">
        <is>
          <t>Questions</t>
        </is>
      </c>
      <c r="K19" s="34" t="inlineStr">
        <is>
          <t>Marks</t>
        </is>
      </c>
      <c r="L19" s="34" t="inlineStr">
        <is>
          <t>Answers</t>
        </is>
      </c>
      <c r="M19" s="29" t="inlineStr">
        <is>
          <t>Pure 1 Ch2</t>
        </is>
      </c>
      <c r="N19" s="34" t="inlineStr">
        <is>
          <t>Questions</t>
        </is>
      </c>
      <c r="O19" s="34" t="inlineStr">
        <is>
          <t>Marks</t>
        </is>
      </c>
      <c r="P19" t="inlineStr">
        <is>
          <t>P2</t>
        </is>
      </c>
    </row>
    <row r="20" outlineLevel="1" ht="20" customHeight="1">
      <c r="A20" s="29" t="inlineStr">
        <is>
          <t>P2.3</t>
        </is>
      </c>
      <c r="B20" s="30" t="inlineStr">
        <is>
          <t>The discriminant (real, repeated and no roots)</t>
        </is>
      </c>
      <c r="C20" s="31" t="n">
        <v>1</v>
      </c>
      <c r="D20" s="32" t="n"/>
      <c r="E20" s="33" t="n"/>
      <c r="F20" s="34" t="inlineStr">
        <is>
          <t>▶ Watch</t>
        </is>
      </c>
      <c r="G20" s="34" t="inlineStr">
        <is>
          <t>Topic set</t>
        </is>
      </c>
      <c r="H20" s="34" t="inlineStr">
        <is>
          <t>Answers</t>
        </is>
      </c>
      <c r="I20" s="33" t="inlineStr">
        <is>
          <t>Quadratics</t>
        </is>
      </c>
      <c r="J20" s="34" t="inlineStr">
        <is>
          <t>Questions</t>
        </is>
      </c>
      <c r="K20" s="34" t="inlineStr">
        <is>
          <t>Marks</t>
        </is>
      </c>
      <c r="L20" s="34" t="inlineStr">
        <is>
          <t>Answers</t>
        </is>
      </c>
      <c r="M20" s="29" t="inlineStr">
        <is>
          <t>Pure 1 Ch2</t>
        </is>
      </c>
      <c r="N20" s="34" t="inlineStr">
        <is>
          <t>Questions</t>
        </is>
      </c>
      <c r="O20" s="34" t="inlineStr">
        <is>
          <t>Marks</t>
        </is>
      </c>
      <c r="P20" t="inlineStr">
        <is>
          <t>P2</t>
        </is>
      </c>
    </row>
    <row r="21" outlineLevel="1" ht="20" customHeight="1">
      <c r="A21" s="29" t="inlineStr">
        <is>
          <t>P2.3</t>
        </is>
      </c>
      <c r="B21" s="30" t="inlineStr">
        <is>
          <t>Hidden quadratics (quadratics in a function of x)</t>
        </is>
      </c>
      <c r="C21" s="31" t="n">
        <v>1</v>
      </c>
      <c r="D21" s="32" t="n"/>
      <c r="E21" s="33" t="n"/>
      <c r="F21" s="34" t="inlineStr">
        <is>
          <t>▶ Watch</t>
        </is>
      </c>
      <c r="G21" s="34" t="inlineStr">
        <is>
          <t>Questions</t>
        </is>
      </c>
      <c r="H21" s="34" t="inlineStr">
        <is>
          <t>Answers</t>
        </is>
      </c>
      <c r="I21" s="33" t="inlineStr">
        <is>
          <t>Quadratics</t>
        </is>
      </c>
      <c r="J21" s="34" t="inlineStr">
        <is>
          <t>Questions</t>
        </is>
      </c>
      <c r="K21" s="34" t="inlineStr">
        <is>
          <t>Marks</t>
        </is>
      </c>
      <c r="L21" s="34" t="inlineStr">
        <is>
          <t>Answers</t>
        </is>
      </c>
      <c r="M21" s="29" t="inlineStr">
        <is>
          <t>Pure 1 Ch2</t>
        </is>
      </c>
      <c r="N21" s="34" t="inlineStr">
        <is>
          <t>Questions</t>
        </is>
      </c>
      <c r="O21" s="34" t="inlineStr">
        <is>
          <t>Marks</t>
        </is>
      </c>
      <c r="P21" t="inlineStr">
        <is>
          <t>P2</t>
        </is>
      </c>
    </row>
    <row r="22" outlineLevel="1" ht="20" customHeight="1">
      <c r="A22" s="29" t="inlineStr">
        <is>
          <t>P2.4</t>
        </is>
      </c>
      <c r="B22" s="30" t="inlineStr">
        <is>
          <t>Linear simultaneous equations</t>
        </is>
      </c>
      <c r="C22" s="31" t="n">
        <v>1</v>
      </c>
      <c r="D22" s="32" t="n"/>
      <c r="E22" s="33" t="n"/>
      <c r="F22" s="34" t="inlineStr">
        <is>
          <t>▶ Watch</t>
        </is>
      </c>
      <c r="G22" s="34" t="inlineStr">
        <is>
          <t>Questions</t>
        </is>
      </c>
      <c r="H22" s="34" t="inlineStr">
        <is>
          <t>Answers</t>
        </is>
      </c>
      <c r="I22" s="33" t="inlineStr">
        <is>
          <t>Straight Lines</t>
        </is>
      </c>
      <c r="J22" s="34" t="inlineStr">
        <is>
          <t>Questions</t>
        </is>
      </c>
      <c r="K22" s="34" t="inlineStr">
        <is>
          <t>Marks</t>
        </is>
      </c>
      <c r="L22" s="34" t="inlineStr">
        <is>
          <t>Answers</t>
        </is>
      </c>
      <c r="M22" s="29" t="inlineStr">
        <is>
          <t>Pure 1 Ch3</t>
        </is>
      </c>
      <c r="N22" s="34" t="inlineStr">
        <is>
          <t>Questions</t>
        </is>
      </c>
      <c r="O22" s="34" t="inlineStr">
        <is>
          <t>Marks</t>
        </is>
      </c>
      <c r="P22" t="inlineStr">
        <is>
          <t>P2</t>
        </is>
      </c>
    </row>
    <row r="23" outlineLevel="1" ht="20" customHeight="1">
      <c r="A23" s="29" t="inlineStr">
        <is>
          <t>P2.4</t>
        </is>
      </c>
      <c r="B23" s="30" t="inlineStr">
        <is>
          <t>Simultaneous equations: one linear, one quadratic</t>
        </is>
      </c>
      <c r="C23" s="31" t="n">
        <v>1</v>
      </c>
      <c r="D23" s="32" t="n"/>
      <c r="E23" s="33" t="n"/>
      <c r="F23" s="34" t="inlineStr">
        <is>
          <t>▶ Watch</t>
        </is>
      </c>
      <c r="G23" s="34" t="inlineStr">
        <is>
          <t>Questions</t>
        </is>
      </c>
      <c r="H23" s="34" t="inlineStr">
        <is>
          <t>Answers</t>
        </is>
      </c>
      <c r="I23" s="33" t="inlineStr">
        <is>
          <t>Circles</t>
        </is>
      </c>
      <c r="J23" s="34" t="inlineStr">
        <is>
          <t>Questions</t>
        </is>
      </c>
      <c r="K23" s="34" t="inlineStr">
        <is>
          <t>Marks</t>
        </is>
      </c>
      <c r="L23" s="34" t="inlineStr">
        <is>
          <t>Answers</t>
        </is>
      </c>
      <c r="M23" s="29" t="inlineStr">
        <is>
          <t>Pure 1 Ch3</t>
        </is>
      </c>
      <c r="N23" s="34" t="inlineStr">
        <is>
          <t>Questions</t>
        </is>
      </c>
      <c r="O23" s="34" t="inlineStr">
        <is>
          <t>Marks</t>
        </is>
      </c>
      <c r="P23" t="inlineStr">
        <is>
          <t>P2</t>
        </is>
      </c>
    </row>
    <row r="24" outlineLevel="1" ht="20" customHeight="1">
      <c r="A24" s="29" t="inlineStr">
        <is>
          <t>P2.5</t>
        </is>
      </c>
      <c r="B24" s="30" t="inlineStr">
        <is>
          <t>Linear inequalities</t>
        </is>
      </c>
      <c r="C24" s="31" t="n">
        <v>1</v>
      </c>
      <c r="D24" s="32" t="n"/>
      <c r="E24" s="33" t="n"/>
      <c r="F24" s="34" t="inlineStr">
        <is>
          <t>▶ Watch</t>
        </is>
      </c>
      <c r="G24" s="34" t="inlineStr">
        <is>
          <t>Questions</t>
        </is>
      </c>
      <c r="H24" s="34" t="inlineStr">
        <is>
          <t>Answers</t>
        </is>
      </c>
      <c r="I24" s="36" t="inlineStr">
        <is>
          <t>none for this topic</t>
        </is>
      </c>
      <c r="J24" s="37" t="n"/>
      <c r="K24" s="37" t="n"/>
      <c r="L24" s="37" t="n"/>
      <c r="M24" s="29" t="inlineStr">
        <is>
          <t>Pure 1 Ch3</t>
        </is>
      </c>
      <c r="N24" s="34" t="inlineStr">
        <is>
          <t>Questions</t>
        </is>
      </c>
      <c r="O24" s="34" t="inlineStr">
        <is>
          <t>Marks</t>
        </is>
      </c>
      <c r="P24" t="inlineStr">
        <is>
          <t>P2</t>
        </is>
      </c>
    </row>
    <row r="25" outlineLevel="1" ht="20" customHeight="1">
      <c r="A25" s="29" t="inlineStr">
        <is>
          <t>P2.5</t>
        </is>
      </c>
      <c r="B25" s="30" t="inlineStr">
        <is>
          <t>Quadratic inequalities (incl. set notation answers)</t>
        </is>
      </c>
      <c r="C25" s="31" t="n">
        <v>1</v>
      </c>
      <c r="D25" s="32" t="n"/>
      <c r="E25" s="33" t="n"/>
      <c r="F25" s="34" t="inlineStr">
        <is>
          <t>▶ Watch</t>
        </is>
      </c>
      <c r="G25" s="34" t="inlineStr">
        <is>
          <t>Topic set</t>
        </is>
      </c>
      <c r="H25" s="34" t="inlineStr">
        <is>
          <t>Answers</t>
        </is>
      </c>
      <c r="I25" s="33" t="inlineStr">
        <is>
          <t>Inequalities</t>
        </is>
      </c>
      <c r="J25" s="34" t="inlineStr">
        <is>
          <t>Questions</t>
        </is>
      </c>
      <c r="K25" s="34" t="inlineStr">
        <is>
          <t>Marks</t>
        </is>
      </c>
      <c r="L25" s="34" t="inlineStr">
        <is>
          <t>Answers</t>
        </is>
      </c>
      <c r="M25" s="29" t="inlineStr">
        <is>
          <t>Pure 1 Ch3</t>
        </is>
      </c>
      <c r="N25" s="34" t="inlineStr">
        <is>
          <t>Questions</t>
        </is>
      </c>
      <c r="O25" s="34" t="inlineStr">
        <is>
          <t>Marks</t>
        </is>
      </c>
      <c r="P25" t="inlineStr">
        <is>
          <t>P2</t>
        </is>
      </c>
    </row>
    <row r="26" outlineLevel="1" ht="20" customHeight="1">
      <c r="A26" s="29" t="inlineStr">
        <is>
          <t>P2.5</t>
        </is>
      </c>
      <c r="B26" s="30" t="inlineStr">
        <is>
          <t>Inequalities on graphs (shading regions)</t>
        </is>
      </c>
      <c r="C26" s="31" t="n">
        <v>1</v>
      </c>
      <c r="D26" s="32" t="n"/>
      <c r="E26" s="33" t="n"/>
      <c r="F26" s="34" t="inlineStr">
        <is>
          <t>▶ Watch</t>
        </is>
      </c>
      <c r="G26" s="34" t="inlineStr">
        <is>
          <t>Questions</t>
        </is>
      </c>
      <c r="H26" s="34" t="inlineStr">
        <is>
          <t>Answers</t>
        </is>
      </c>
      <c r="I26" s="33" t="inlineStr">
        <is>
          <t>Inequalities</t>
        </is>
      </c>
      <c r="J26" s="34" t="inlineStr">
        <is>
          <t>Questions</t>
        </is>
      </c>
      <c r="K26" s="34" t="inlineStr">
        <is>
          <t>Marks</t>
        </is>
      </c>
      <c r="L26" s="34" t="inlineStr">
        <is>
          <t>Answers</t>
        </is>
      </c>
      <c r="M26" s="29" t="inlineStr">
        <is>
          <t>Pure 1 Ch3</t>
        </is>
      </c>
      <c r="N26" s="34" t="inlineStr">
        <is>
          <t>Questions</t>
        </is>
      </c>
      <c r="O26" s="34" t="inlineStr">
        <is>
          <t>Marks</t>
        </is>
      </c>
      <c r="P26" t="inlineStr">
        <is>
          <t>P2</t>
        </is>
      </c>
    </row>
    <row r="27" outlineLevel="1" ht="20" customHeight="1">
      <c r="A27" s="29" t="inlineStr">
        <is>
          <t>P2.6</t>
        </is>
      </c>
      <c r="B27" s="30" t="inlineStr">
        <is>
          <t>Expanding brackets and collecting like terms</t>
        </is>
      </c>
      <c r="C27" s="31" t="n">
        <v>1</v>
      </c>
      <c r="D27" s="32" t="n"/>
      <c r="E27" s="33" t="n"/>
      <c r="F27" s="34" t="inlineStr">
        <is>
          <t>▶ Watch</t>
        </is>
      </c>
      <c r="G27" s="34" t="inlineStr">
        <is>
          <t>Questions</t>
        </is>
      </c>
      <c r="H27" s="34" t="inlineStr">
        <is>
          <t>Answers</t>
        </is>
      </c>
      <c r="I27" s="36" t="inlineStr">
        <is>
          <t>none for this topic</t>
        </is>
      </c>
      <c r="J27" s="37" t="n"/>
      <c r="K27" s="37" t="n"/>
      <c r="L27" s="37" t="n"/>
      <c r="M27" s="29" t="inlineStr">
        <is>
          <t>Pure 1 Ch1</t>
        </is>
      </c>
      <c r="N27" s="34" t="inlineStr">
        <is>
          <t>Questions</t>
        </is>
      </c>
      <c r="O27" s="34" t="inlineStr">
        <is>
          <t>Marks</t>
        </is>
      </c>
      <c r="P27" t="inlineStr">
        <is>
          <t>P2</t>
        </is>
      </c>
    </row>
    <row r="28" outlineLevel="1" ht="20" customHeight="1">
      <c r="A28" s="29" t="inlineStr">
        <is>
          <t>P2.6</t>
        </is>
      </c>
      <c r="B28" s="30" t="inlineStr">
        <is>
          <t>Factorising (incl. cubics)</t>
        </is>
      </c>
      <c r="C28" s="31" t="n">
        <v>1</v>
      </c>
      <c r="D28" s="32" t="n"/>
      <c r="E28" s="33" t="n"/>
      <c r="F28" s="34" t="inlineStr">
        <is>
          <t>▶ Watch</t>
        </is>
      </c>
      <c r="G28" s="34" t="inlineStr">
        <is>
          <t>Questions</t>
        </is>
      </c>
      <c r="H28" s="34" t="inlineStr">
        <is>
          <t>Answers</t>
        </is>
      </c>
      <c r="I28" s="33" t="inlineStr">
        <is>
          <t>Factor Theorem</t>
        </is>
      </c>
      <c r="J28" s="34" t="inlineStr">
        <is>
          <t>Questions</t>
        </is>
      </c>
      <c r="K28" s="34" t="inlineStr">
        <is>
          <t>Marks</t>
        </is>
      </c>
      <c r="L28" s="34" t="inlineStr">
        <is>
          <t>Answers</t>
        </is>
      </c>
      <c r="M28" s="29" t="inlineStr">
        <is>
          <t>Pure 1 Ch1</t>
        </is>
      </c>
      <c r="N28" s="34" t="inlineStr">
        <is>
          <t>Questions</t>
        </is>
      </c>
      <c r="O28" s="34" t="inlineStr">
        <is>
          <t>Marks</t>
        </is>
      </c>
      <c r="P28" t="inlineStr">
        <is>
          <t>P2</t>
        </is>
      </c>
    </row>
    <row r="29" outlineLevel="1" ht="32" customHeight="1">
      <c r="A29" s="29" t="inlineStr">
        <is>
          <t>P2.6</t>
        </is>
      </c>
      <c r="B29" s="30" t="inlineStr">
        <is>
          <t>Simplifying algebraic fractions (factorising and cancelling)</t>
        </is>
      </c>
      <c r="C29" s="35" t="n">
        <v>2</v>
      </c>
      <c r="D29" s="32" t="n"/>
      <c r="E29" s="33" t="n"/>
      <c r="F29" s="34" t="inlineStr">
        <is>
          <t>▶ Watch</t>
        </is>
      </c>
      <c r="G29" s="34" t="inlineStr">
        <is>
          <t>Questions</t>
        </is>
      </c>
      <c r="H29" s="34" t="inlineStr">
        <is>
          <t>Answers</t>
        </is>
      </c>
      <c r="I29" s="36" t="inlineStr">
        <is>
          <t>none for this topic</t>
        </is>
      </c>
      <c r="J29" s="37" t="n"/>
      <c r="K29" s="37" t="n"/>
      <c r="L29" s="37" t="n"/>
      <c r="M29" s="29" t="inlineStr">
        <is>
          <t>Pure 1 Ch7</t>
        </is>
      </c>
      <c r="N29" s="34" t="inlineStr">
        <is>
          <t>Set 1 of 2</t>
        </is>
      </c>
      <c r="O29" s="34" t="inlineStr">
        <is>
          <t>Marks</t>
        </is>
      </c>
      <c r="P29" t="inlineStr">
        <is>
          <t>P2</t>
        </is>
      </c>
    </row>
    <row r="30" outlineLevel="1" ht="20" customHeight="1">
      <c r="A30" s="29" t="inlineStr">
        <is>
          <t>P2.6</t>
        </is>
      </c>
      <c r="B30" s="30" t="inlineStr">
        <is>
          <t>Algebraic division</t>
        </is>
      </c>
      <c r="C30" s="31" t="n">
        <v>1</v>
      </c>
      <c r="D30" s="32" t="n"/>
      <c r="E30" s="33" t="n"/>
      <c r="F30" s="34" t="inlineStr">
        <is>
          <t>▶ Watch</t>
        </is>
      </c>
      <c r="G30" s="34" t="inlineStr">
        <is>
          <t>Questions</t>
        </is>
      </c>
      <c r="H30" s="34" t="inlineStr">
        <is>
          <t>Answers</t>
        </is>
      </c>
      <c r="I30" s="33" t="inlineStr">
        <is>
          <t>Factor Theorem</t>
        </is>
      </c>
      <c r="J30" s="34" t="inlineStr">
        <is>
          <t>Questions</t>
        </is>
      </c>
      <c r="K30" s="34" t="inlineStr">
        <is>
          <t>Marks</t>
        </is>
      </c>
      <c r="L30" s="34" t="inlineStr">
        <is>
          <t>Answers</t>
        </is>
      </c>
      <c r="M30" s="29" t="inlineStr">
        <is>
          <t>Pure 1 Ch7</t>
        </is>
      </c>
      <c r="N30" s="34" t="inlineStr">
        <is>
          <t>Set 1 of 2</t>
        </is>
      </c>
      <c r="O30" s="34" t="inlineStr">
        <is>
          <t>Marks</t>
        </is>
      </c>
      <c r="P30" t="inlineStr">
        <is>
          <t>P2</t>
        </is>
      </c>
    </row>
    <row r="31" outlineLevel="1" ht="20" customHeight="1">
      <c r="A31" s="29" t="inlineStr">
        <is>
          <t>P2.6</t>
        </is>
      </c>
      <c r="B31" s="30" t="inlineStr">
        <is>
          <t>The factor theorem</t>
        </is>
      </c>
      <c r="C31" s="31" t="n">
        <v>1</v>
      </c>
      <c r="D31" s="32" t="n"/>
      <c r="E31" s="33" t="n"/>
      <c r="F31" s="34" t="inlineStr">
        <is>
          <t>▶ Watch</t>
        </is>
      </c>
      <c r="G31" s="34" t="inlineStr">
        <is>
          <t>Topic set</t>
        </is>
      </c>
      <c r="H31" s="34" t="inlineStr">
        <is>
          <t>Answers</t>
        </is>
      </c>
      <c r="I31" s="33" t="inlineStr">
        <is>
          <t>Factor Theorem</t>
        </is>
      </c>
      <c r="J31" s="34" t="inlineStr">
        <is>
          <t>Questions</t>
        </is>
      </c>
      <c r="K31" s="34" t="inlineStr">
        <is>
          <t>Marks</t>
        </is>
      </c>
      <c r="L31" s="34" t="inlineStr">
        <is>
          <t>Answers</t>
        </is>
      </c>
      <c r="M31" s="29" t="inlineStr">
        <is>
          <t>Pure 1 Ch7</t>
        </is>
      </c>
      <c r="N31" s="34" t="inlineStr">
        <is>
          <t>Set 1 of 2</t>
        </is>
      </c>
      <c r="O31" s="34" t="inlineStr">
        <is>
          <t>Marks</t>
        </is>
      </c>
      <c r="P31" t="inlineStr">
        <is>
          <t>P2</t>
        </is>
      </c>
    </row>
    <row r="32" outlineLevel="1" ht="32" customHeight="1">
      <c r="A32" s="29" t="inlineStr">
        <is>
          <t>P2.6</t>
        </is>
      </c>
      <c r="B32" s="30" t="inlineStr">
        <is>
          <t>Adding, subtracting, multiplying and dividing algebraic fractions</t>
        </is>
      </c>
      <c r="C32" s="35" t="n">
        <v>2</v>
      </c>
      <c r="D32" s="32" t="n"/>
      <c r="E32" s="33" t="n"/>
      <c r="F32" s="34" t="inlineStr">
        <is>
          <t>▶ Watch</t>
        </is>
      </c>
      <c r="G32" s="34" t="inlineStr">
        <is>
          <t>Questions</t>
        </is>
      </c>
      <c r="H32" s="34" t="inlineStr">
        <is>
          <t>Answers</t>
        </is>
      </c>
      <c r="I32" s="36" t="inlineStr">
        <is>
          <t>none for this topic</t>
        </is>
      </c>
      <c r="J32" s="37" t="n"/>
      <c r="K32" s="37" t="n"/>
      <c r="L32" s="37" t="n"/>
      <c r="M32" s="29" t="inlineStr">
        <is>
          <t>Pure 2 Ch1</t>
        </is>
      </c>
      <c r="N32" s="34" t="inlineStr">
        <is>
          <t>Questions</t>
        </is>
      </c>
      <c r="O32" s="34" t="inlineStr">
        <is>
          <t>Marks</t>
        </is>
      </c>
      <c r="P32" t="inlineStr">
        <is>
          <t>P2</t>
        </is>
      </c>
    </row>
    <row r="33" outlineLevel="1" ht="32" customHeight="1">
      <c r="A33" s="29" t="inlineStr">
        <is>
          <t>P2.6</t>
        </is>
      </c>
      <c r="B33" s="30" t="inlineStr">
        <is>
          <t>Algebraic division of improper fractions</t>
        </is>
      </c>
      <c r="C33" s="35" t="n">
        <v>2</v>
      </c>
      <c r="D33" s="32" t="n"/>
      <c r="E33" s="33" t="n"/>
      <c r="F33" s="34" t="inlineStr">
        <is>
          <t>▶ Watch</t>
        </is>
      </c>
      <c r="G33" s="34" t="inlineStr">
        <is>
          <t>Questions</t>
        </is>
      </c>
      <c r="H33" s="34" t="inlineStr">
        <is>
          <t>Answers</t>
        </is>
      </c>
      <c r="I33" s="33" t="inlineStr">
        <is>
          <t>Composite &amp; Inverse Functions (Yr 2)</t>
        </is>
      </c>
      <c r="J33" s="34" t="inlineStr">
        <is>
          <t>Questions</t>
        </is>
      </c>
      <c r="K33" s="34" t="inlineStr">
        <is>
          <t>Marks</t>
        </is>
      </c>
      <c r="L33" s="34" t="inlineStr">
        <is>
          <t>Answers</t>
        </is>
      </c>
      <c r="M33" s="29" t="inlineStr">
        <is>
          <t>Pure 2 Ch1</t>
        </is>
      </c>
      <c r="N33" s="34" t="inlineStr">
        <is>
          <t>Questions</t>
        </is>
      </c>
      <c r="O33" s="34" t="inlineStr">
        <is>
          <t>Marks</t>
        </is>
      </c>
      <c r="P33" t="inlineStr">
        <is>
          <t>P2</t>
        </is>
      </c>
    </row>
    <row r="34" outlineLevel="1" ht="20" customHeight="1">
      <c r="A34" s="29" t="inlineStr">
        <is>
          <t>P2.7</t>
        </is>
      </c>
      <c r="B34" s="30" t="inlineStr">
        <is>
          <t>Sketching cubic graphs</t>
        </is>
      </c>
      <c r="C34" s="31" t="n">
        <v>1</v>
      </c>
      <c r="D34" s="32" t="n"/>
      <c r="E34" s="33" t="n"/>
      <c r="F34" s="34" t="inlineStr">
        <is>
          <t>▶ Watch</t>
        </is>
      </c>
      <c r="G34" s="34" t="inlineStr">
        <is>
          <t>Questions</t>
        </is>
      </c>
      <c r="H34" s="34" t="inlineStr">
        <is>
          <t>Answers</t>
        </is>
      </c>
      <c r="I34" s="33" t="inlineStr">
        <is>
          <t>Transformations &amp; Graphs</t>
        </is>
      </c>
      <c r="J34" s="34" t="inlineStr">
        <is>
          <t>Questions</t>
        </is>
      </c>
      <c r="K34" s="34" t="inlineStr">
        <is>
          <t>Marks</t>
        </is>
      </c>
      <c r="L34" s="34" t="inlineStr">
        <is>
          <t>Answers</t>
        </is>
      </c>
      <c r="M34" s="29" t="inlineStr">
        <is>
          <t>Pure 1 Ch4</t>
        </is>
      </c>
      <c r="N34" s="34" t="inlineStr">
        <is>
          <t>Set 1 of 2</t>
        </is>
      </c>
      <c r="O34" s="34" t="inlineStr">
        <is>
          <t>Marks</t>
        </is>
      </c>
      <c r="P34" t="inlineStr">
        <is>
          <t>P2</t>
        </is>
      </c>
    </row>
    <row r="35" outlineLevel="1" ht="20" customHeight="1">
      <c r="A35" s="29" t="inlineStr">
        <is>
          <t>P2.7</t>
        </is>
      </c>
      <c r="B35" s="30" t="inlineStr">
        <is>
          <t>Sketching quartic graphs</t>
        </is>
      </c>
      <c r="C35" s="31" t="n">
        <v>1</v>
      </c>
      <c r="D35" s="32" t="n"/>
      <c r="E35" s="33" t="n"/>
      <c r="F35" s="34" t="inlineStr">
        <is>
          <t>▶ Watch</t>
        </is>
      </c>
      <c r="G35" s="34" t="inlineStr">
        <is>
          <t>Questions</t>
        </is>
      </c>
      <c r="H35" s="34" t="inlineStr">
        <is>
          <t>Answers</t>
        </is>
      </c>
      <c r="I35" s="36" t="inlineStr">
        <is>
          <t>none for this topic</t>
        </is>
      </c>
      <c r="J35" s="37" t="n"/>
      <c r="K35" s="37" t="n"/>
      <c r="L35" s="37" t="n"/>
      <c r="M35" s="29" t="inlineStr">
        <is>
          <t>Pure 1 Ch4</t>
        </is>
      </c>
      <c r="N35" s="34" t="inlineStr">
        <is>
          <t>Set 1 of 2</t>
        </is>
      </c>
      <c r="O35" s="34" t="inlineStr">
        <is>
          <t>Marks</t>
        </is>
      </c>
      <c r="P35" t="inlineStr">
        <is>
          <t>P2</t>
        </is>
      </c>
    </row>
    <row r="36" outlineLevel="1" ht="20" customHeight="1">
      <c r="A36" s="29" t="inlineStr">
        <is>
          <t>P2.7</t>
        </is>
      </c>
      <c r="B36" s="30" t="inlineStr">
        <is>
          <t>Reciprocal graphs y = a/x and y = a/x² (asymptotes)</t>
        </is>
      </c>
      <c r="C36" s="31" t="n">
        <v>1</v>
      </c>
      <c r="D36" s="32" t="n"/>
      <c r="E36" s="33" t="n"/>
      <c r="F36" s="34" t="inlineStr">
        <is>
          <t>▶ Watch</t>
        </is>
      </c>
      <c r="G36" s="34" t="inlineStr">
        <is>
          <t>Questions</t>
        </is>
      </c>
      <c r="H36" s="34" t="inlineStr">
        <is>
          <t>Answers</t>
        </is>
      </c>
      <c r="I36" s="33" t="inlineStr">
        <is>
          <t>Transformations &amp; Graphs</t>
        </is>
      </c>
      <c r="J36" s="34" t="inlineStr">
        <is>
          <t>Questions</t>
        </is>
      </c>
      <c r="K36" s="34" t="inlineStr">
        <is>
          <t>Marks</t>
        </is>
      </c>
      <c r="L36" s="34" t="inlineStr">
        <is>
          <t>Answers</t>
        </is>
      </c>
      <c r="M36" s="29" t="inlineStr">
        <is>
          <t>Pure 1 Ch4</t>
        </is>
      </c>
      <c r="N36" s="34" t="inlineStr">
        <is>
          <t>Set 1 of 2</t>
        </is>
      </c>
      <c r="O36" s="34" t="inlineStr">
        <is>
          <t>Marks</t>
        </is>
      </c>
      <c r="P36" t="inlineStr">
        <is>
          <t>P2</t>
        </is>
      </c>
    </row>
    <row r="37" outlineLevel="1" ht="20" customHeight="1">
      <c r="A37" s="29" t="inlineStr">
        <is>
          <t>P2.7</t>
        </is>
      </c>
      <c r="B37" s="30" t="inlineStr">
        <is>
          <t>Points of intersection and solving equations graphically</t>
        </is>
      </c>
      <c r="C37" s="31" t="n">
        <v>1</v>
      </c>
      <c r="D37" s="32" t="n"/>
      <c r="E37" s="33" t="n"/>
      <c r="F37" s="34" t="inlineStr">
        <is>
          <t>▶ Watch</t>
        </is>
      </c>
      <c r="G37" s="34" t="inlineStr">
        <is>
          <t>Questions</t>
        </is>
      </c>
      <c r="H37" s="34" t="inlineStr">
        <is>
          <t>Answers</t>
        </is>
      </c>
      <c r="I37" s="33" t="inlineStr">
        <is>
          <t>Transformations &amp; Graphs</t>
        </is>
      </c>
      <c r="J37" s="34" t="inlineStr">
        <is>
          <t>Questions</t>
        </is>
      </c>
      <c r="K37" s="34" t="inlineStr">
        <is>
          <t>Marks</t>
        </is>
      </c>
      <c r="L37" s="34" t="inlineStr">
        <is>
          <t>Answers</t>
        </is>
      </c>
      <c r="M37" s="29" t="inlineStr">
        <is>
          <t>Pure 1 Ch4</t>
        </is>
      </c>
      <c r="N37" s="34" t="inlineStr">
        <is>
          <t>Set 1 of 2</t>
        </is>
      </c>
      <c r="O37" s="34" t="inlineStr">
        <is>
          <t>Marks</t>
        </is>
      </c>
      <c r="P37" t="inlineStr">
        <is>
          <t>P2</t>
        </is>
      </c>
    </row>
    <row r="38" outlineLevel="1" ht="20" customHeight="1">
      <c r="A38" s="29" t="inlineStr">
        <is>
          <t>P2.7</t>
        </is>
      </c>
      <c r="B38" s="30" t="inlineStr">
        <is>
          <t>Proportional relationships and their graphs</t>
        </is>
      </c>
      <c r="C38" s="31" t="n">
        <v>1</v>
      </c>
      <c r="D38" s="32" t="n"/>
      <c r="E38" s="33" t="n"/>
      <c r="F38" s="34" t="inlineStr">
        <is>
          <t>▶ Watch</t>
        </is>
      </c>
      <c r="G38" s="34" t="inlineStr">
        <is>
          <t>Questions</t>
        </is>
      </c>
      <c r="H38" s="34" t="inlineStr">
        <is>
          <t>Answers</t>
        </is>
      </c>
      <c r="I38" s="36" t="inlineStr">
        <is>
          <t>none for this topic</t>
        </is>
      </c>
      <c r="J38" s="37" t="n"/>
      <c r="K38" s="37" t="n"/>
      <c r="L38" s="37" t="n"/>
      <c r="M38" s="29" t="inlineStr">
        <is>
          <t>Pure 1 Ch4</t>
        </is>
      </c>
      <c r="N38" s="34" t="inlineStr">
        <is>
          <t>Set 1 of 2</t>
        </is>
      </c>
      <c r="O38" s="34" t="inlineStr">
        <is>
          <t>Marks</t>
        </is>
      </c>
      <c r="P38" t="inlineStr">
        <is>
          <t>P2</t>
        </is>
      </c>
    </row>
    <row r="39" outlineLevel="1" ht="20" customHeight="1">
      <c r="A39" s="29" t="inlineStr">
        <is>
          <t>P2.7</t>
        </is>
      </c>
      <c r="B39" s="30" t="inlineStr">
        <is>
          <t>The modulus function and its graph y = |ax + b|</t>
        </is>
      </c>
      <c r="C39" s="35" t="n">
        <v>2</v>
      </c>
      <c r="D39" s="32" t="n"/>
      <c r="E39" s="33" t="n"/>
      <c r="F39" s="34" t="inlineStr">
        <is>
          <t>▶ Watch</t>
        </is>
      </c>
      <c r="G39" s="34" t="inlineStr">
        <is>
          <t>Questions</t>
        </is>
      </c>
      <c r="H39" s="34" t="inlineStr">
        <is>
          <t>Answers</t>
        </is>
      </c>
      <c r="I39" s="33" t="inlineStr">
        <is>
          <t>Modulus of Functions (Yr 2)</t>
        </is>
      </c>
      <c r="J39" s="34" t="inlineStr">
        <is>
          <t>Questions</t>
        </is>
      </c>
      <c r="K39" s="34" t="inlineStr">
        <is>
          <t>Marks</t>
        </is>
      </c>
      <c r="L39" s="34" t="inlineStr">
        <is>
          <t>Answers</t>
        </is>
      </c>
      <c r="M39" s="29" t="inlineStr">
        <is>
          <t>Pure 2 Ch2</t>
        </is>
      </c>
      <c r="N39" s="34" t="inlineStr">
        <is>
          <t>Set 1 of 2</t>
        </is>
      </c>
      <c r="O39" s="34" t="inlineStr">
        <is>
          <t>Marks</t>
        </is>
      </c>
      <c r="P39" t="inlineStr">
        <is>
          <t>P2</t>
        </is>
      </c>
    </row>
    <row r="40" outlineLevel="1" ht="20" customHeight="1">
      <c r="A40" s="29" t="inlineStr">
        <is>
          <t>P2.7</t>
        </is>
      </c>
      <c r="B40" s="30" t="inlineStr">
        <is>
          <t>Solving modulus equations and inequalities</t>
        </is>
      </c>
      <c r="C40" s="35" t="n">
        <v>2</v>
      </c>
      <c r="D40" s="32" t="n"/>
      <c r="E40" s="33" t="n"/>
      <c r="F40" s="34" t="inlineStr">
        <is>
          <t>▶ Watch</t>
        </is>
      </c>
      <c r="G40" s="34" t="inlineStr">
        <is>
          <t>Questions</t>
        </is>
      </c>
      <c r="H40" s="34" t="inlineStr">
        <is>
          <t>Answers</t>
        </is>
      </c>
      <c r="I40" s="33" t="inlineStr">
        <is>
          <t>Modulus of Functions (Yr 2)</t>
        </is>
      </c>
      <c r="J40" s="34" t="inlineStr">
        <is>
          <t>Questions</t>
        </is>
      </c>
      <c r="K40" s="34" t="inlineStr">
        <is>
          <t>Marks</t>
        </is>
      </c>
      <c r="L40" s="34" t="inlineStr">
        <is>
          <t>Answers</t>
        </is>
      </c>
      <c r="M40" s="29" t="inlineStr">
        <is>
          <t>Pure 2 Ch2</t>
        </is>
      </c>
      <c r="N40" s="34" t="inlineStr">
        <is>
          <t>Set 1 of 2</t>
        </is>
      </c>
      <c r="O40" s="34" t="inlineStr">
        <is>
          <t>Marks</t>
        </is>
      </c>
      <c r="P40" t="inlineStr">
        <is>
          <t>P2</t>
        </is>
      </c>
    </row>
    <row r="41" outlineLevel="1" ht="32" customHeight="1">
      <c r="A41" s="29" t="inlineStr">
        <is>
          <t>P2.8</t>
        </is>
      </c>
      <c r="B41" s="30" t="inlineStr">
        <is>
          <t>Functions and mappings: domain and range</t>
        </is>
      </c>
      <c r="C41" s="35" t="n">
        <v>2</v>
      </c>
      <c r="D41" s="32" t="n"/>
      <c r="E41" s="33" t="n"/>
      <c r="F41" s="34" t="inlineStr">
        <is>
          <t>▶ Watch</t>
        </is>
      </c>
      <c r="G41" s="34" t="inlineStr">
        <is>
          <t>Questions</t>
        </is>
      </c>
      <c r="H41" s="34" t="inlineStr">
        <is>
          <t>Answers</t>
        </is>
      </c>
      <c r="I41" s="33" t="inlineStr">
        <is>
          <t>Composite &amp; Inverse Functions (Yr 2)</t>
        </is>
      </c>
      <c r="J41" s="34" t="inlineStr">
        <is>
          <t>Questions</t>
        </is>
      </c>
      <c r="K41" s="34" t="inlineStr">
        <is>
          <t>Marks</t>
        </is>
      </c>
      <c r="L41" s="34" t="inlineStr">
        <is>
          <t>Answers</t>
        </is>
      </c>
      <c r="M41" s="29" t="inlineStr">
        <is>
          <t>Pure 2 Ch2</t>
        </is>
      </c>
      <c r="N41" s="34" t="inlineStr">
        <is>
          <t>Set 1 of 2</t>
        </is>
      </c>
      <c r="O41" s="34" t="inlineStr">
        <is>
          <t>Marks</t>
        </is>
      </c>
      <c r="P41" t="inlineStr">
        <is>
          <t>P2</t>
        </is>
      </c>
    </row>
    <row r="42" outlineLevel="1" ht="32" customHeight="1">
      <c r="A42" s="29" t="inlineStr">
        <is>
          <t>P2.8</t>
        </is>
      </c>
      <c r="B42" s="30" t="inlineStr">
        <is>
          <t>Composite functions</t>
        </is>
      </c>
      <c r="C42" s="35" t="n">
        <v>2</v>
      </c>
      <c r="D42" s="32" t="n"/>
      <c r="E42" s="33" t="n"/>
      <c r="F42" s="34" t="inlineStr">
        <is>
          <t>▶ Watch</t>
        </is>
      </c>
      <c r="G42" s="34" t="inlineStr">
        <is>
          <t>Questions</t>
        </is>
      </c>
      <c r="H42" s="34" t="inlineStr">
        <is>
          <t>Answers</t>
        </is>
      </c>
      <c r="I42" s="33" t="inlineStr">
        <is>
          <t>Composite &amp; Inverse Functions (Yr 2)</t>
        </is>
      </c>
      <c r="J42" s="34" t="inlineStr">
        <is>
          <t>Questions</t>
        </is>
      </c>
      <c r="K42" s="34" t="inlineStr">
        <is>
          <t>Marks</t>
        </is>
      </c>
      <c r="L42" s="34" t="inlineStr">
        <is>
          <t>Answers</t>
        </is>
      </c>
      <c r="M42" s="29" t="inlineStr">
        <is>
          <t>Pure 2 Ch2</t>
        </is>
      </c>
      <c r="N42" s="34" t="inlineStr">
        <is>
          <t>Set 1 of 2</t>
        </is>
      </c>
      <c r="O42" s="34" t="inlineStr">
        <is>
          <t>Marks</t>
        </is>
      </c>
      <c r="P42" t="inlineStr">
        <is>
          <t>P2</t>
        </is>
      </c>
    </row>
    <row r="43" outlineLevel="1" ht="32" customHeight="1">
      <c r="A43" s="29" t="inlineStr">
        <is>
          <t>P2.8</t>
        </is>
      </c>
      <c r="B43" s="30" t="inlineStr">
        <is>
          <t>Inverse functions and their graphs</t>
        </is>
      </c>
      <c r="C43" s="35" t="n">
        <v>2</v>
      </c>
      <c r="D43" s="32" t="n"/>
      <c r="E43" s="33" t="n"/>
      <c r="F43" s="34" t="inlineStr">
        <is>
          <t>▶ Watch</t>
        </is>
      </c>
      <c r="G43" s="34" t="inlineStr">
        <is>
          <t>Questions</t>
        </is>
      </c>
      <c r="H43" s="34" t="inlineStr">
        <is>
          <t>Answers</t>
        </is>
      </c>
      <c r="I43" s="33" t="inlineStr">
        <is>
          <t>Composite &amp; Inverse Functions (Yr 2)</t>
        </is>
      </c>
      <c r="J43" s="34" t="inlineStr">
        <is>
          <t>Questions</t>
        </is>
      </c>
      <c r="K43" s="34" t="inlineStr">
        <is>
          <t>Marks</t>
        </is>
      </c>
      <c r="L43" s="34" t="inlineStr">
        <is>
          <t>Answers</t>
        </is>
      </c>
      <c r="M43" s="29" t="inlineStr">
        <is>
          <t>Pure 2 Ch2</t>
        </is>
      </c>
      <c r="N43" s="34" t="inlineStr">
        <is>
          <t>Set 1 of 2</t>
        </is>
      </c>
      <c r="O43" s="34" t="inlineStr">
        <is>
          <t>Marks</t>
        </is>
      </c>
      <c r="P43" t="inlineStr">
        <is>
          <t>P2</t>
        </is>
      </c>
    </row>
    <row r="44" outlineLevel="1" ht="20" customHeight="1">
      <c r="A44" s="29" t="inlineStr">
        <is>
          <t>P2.9</t>
        </is>
      </c>
      <c r="B44" s="30" t="inlineStr">
        <is>
          <t>Translating graphs: y = f(x) + a and y = f(x + a)</t>
        </is>
      </c>
      <c r="C44" s="31" t="n">
        <v>1</v>
      </c>
      <c r="D44" s="32" t="n"/>
      <c r="E44" s="33" t="n"/>
      <c r="F44" s="34" t="inlineStr">
        <is>
          <t>▶ Watch</t>
        </is>
      </c>
      <c r="G44" s="34" t="inlineStr">
        <is>
          <t>Questions</t>
        </is>
      </c>
      <c r="H44" s="34" t="inlineStr">
        <is>
          <t>Answers</t>
        </is>
      </c>
      <c r="I44" s="33" t="inlineStr">
        <is>
          <t>Transformations &amp; Graphs</t>
        </is>
      </c>
      <c r="J44" s="34" t="inlineStr">
        <is>
          <t>Questions</t>
        </is>
      </c>
      <c r="K44" s="34" t="inlineStr">
        <is>
          <t>Marks</t>
        </is>
      </c>
      <c r="L44" s="34" t="inlineStr">
        <is>
          <t>Answers</t>
        </is>
      </c>
      <c r="M44" s="29" t="inlineStr">
        <is>
          <t>Pure 1 Ch4</t>
        </is>
      </c>
      <c r="N44" s="34" t="inlineStr">
        <is>
          <t>Set 1 of 2</t>
        </is>
      </c>
      <c r="O44" s="34" t="inlineStr">
        <is>
          <t>Marks</t>
        </is>
      </c>
      <c r="P44" t="inlineStr">
        <is>
          <t>P2</t>
        </is>
      </c>
    </row>
    <row r="45" outlineLevel="1" ht="20" customHeight="1">
      <c r="A45" s="29" t="inlineStr">
        <is>
          <t>P2.9</t>
        </is>
      </c>
      <c r="B45" s="30" t="inlineStr">
        <is>
          <t>Stretching graphs: y = af(x) and y = f(ax)</t>
        </is>
      </c>
      <c r="C45" s="31" t="n">
        <v>1</v>
      </c>
      <c r="D45" s="32" t="n"/>
      <c r="E45" s="33" t="n"/>
      <c r="F45" s="34" t="inlineStr">
        <is>
          <t>▶ Watch</t>
        </is>
      </c>
      <c r="G45" s="34" t="inlineStr">
        <is>
          <t>Questions</t>
        </is>
      </c>
      <c r="H45" s="34" t="inlineStr">
        <is>
          <t>Answers</t>
        </is>
      </c>
      <c r="I45" s="33" t="inlineStr">
        <is>
          <t>Transformations &amp; Graphs</t>
        </is>
      </c>
      <c r="J45" s="34" t="inlineStr">
        <is>
          <t>Questions</t>
        </is>
      </c>
      <c r="K45" s="34" t="inlineStr">
        <is>
          <t>Marks</t>
        </is>
      </c>
      <c r="L45" s="34" t="inlineStr">
        <is>
          <t>Answers</t>
        </is>
      </c>
      <c r="M45" s="29" t="inlineStr">
        <is>
          <t>Pure 1 Ch4</t>
        </is>
      </c>
      <c r="N45" s="34" t="inlineStr">
        <is>
          <t>Set 1 of 2</t>
        </is>
      </c>
      <c r="O45" s="34" t="inlineStr">
        <is>
          <t>Marks</t>
        </is>
      </c>
      <c r="P45" t="inlineStr">
        <is>
          <t>P2</t>
        </is>
      </c>
    </row>
    <row r="46" outlineLevel="1" ht="32" customHeight="1">
      <c r="A46" s="29" t="inlineStr">
        <is>
          <t>P2.9</t>
        </is>
      </c>
      <c r="B46" s="30" t="inlineStr">
        <is>
          <t>Transforming functions (incl. reflections y = −f(x), y = f(−x))</t>
        </is>
      </c>
      <c r="C46" s="31" t="n">
        <v>1</v>
      </c>
      <c r="D46" s="32" t="n"/>
      <c r="E46" s="33" t="n"/>
      <c r="F46" s="34" t="inlineStr">
        <is>
          <t>▶ Watch</t>
        </is>
      </c>
      <c r="G46" s="34" t="inlineStr">
        <is>
          <t>Questions</t>
        </is>
      </c>
      <c r="H46" s="34" t="inlineStr">
        <is>
          <t>Answers</t>
        </is>
      </c>
      <c r="I46" s="33" t="inlineStr">
        <is>
          <t>Modulus of Functions (Yr 2)</t>
        </is>
      </c>
      <c r="J46" s="34" t="inlineStr">
        <is>
          <t>Questions</t>
        </is>
      </c>
      <c r="K46" s="34" t="inlineStr">
        <is>
          <t>Marks</t>
        </is>
      </c>
      <c r="L46" s="34" t="inlineStr">
        <is>
          <t>Answers</t>
        </is>
      </c>
      <c r="M46" s="29" t="inlineStr">
        <is>
          <t>Pure 1 Ch4</t>
        </is>
      </c>
      <c r="N46" s="34" t="inlineStr">
        <is>
          <t>Set 1 of 2</t>
        </is>
      </c>
      <c r="O46" s="34" t="inlineStr">
        <is>
          <t>Marks</t>
        </is>
      </c>
      <c r="P46" t="inlineStr">
        <is>
          <t>P2</t>
        </is>
      </c>
    </row>
    <row r="47" outlineLevel="1" ht="20" customHeight="1">
      <c r="A47" s="29" t="inlineStr">
        <is>
          <t>P2.9</t>
        </is>
      </c>
      <c r="B47" s="30" t="inlineStr">
        <is>
          <t>y = |f(x)| and y = f(|x|)</t>
        </is>
      </c>
      <c r="C47" s="35" t="n">
        <v>2</v>
      </c>
      <c r="D47" s="32" t="n"/>
      <c r="E47" s="33" t="n"/>
      <c r="F47" s="34" t="inlineStr">
        <is>
          <t>▶ Watch</t>
        </is>
      </c>
      <c r="G47" s="34" t="inlineStr">
        <is>
          <t>Questions</t>
        </is>
      </c>
      <c r="H47" s="34" t="inlineStr">
        <is>
          <t>Answers</t>
        </is>
      </c>
      <c r="I47" s="36" t="inlineStr">
        <is>
          <t>none for this topic</t>
        </is>
      </c>
      <c r="J47" s="37" t="n"/>
      <c r="K47" s="37" t="n"/>
      <c r="L47" s="37" t="n"/>
      <c r="M47" s="29" t="inlineStr">
        <is>
          <t>Pure 2 Ch2</t>
        </is>
      </c>
      <c r="N47" s="34" t="inlineStr">
        <is>
          <t>Set 1 of 2</t>
        </is>
      </c>
      <c r="O47" s="34" t="inlineStr">
        <is>
          <t>Marks</t>
        </is>
      </c>
      <c r="P47" t="inlineStr">
        <is>
          <t>P2</t>
        </is>
      </c>
    </row>
    <row r="48" outlineLevel="1" ht="20" customHeight="1">
      <c r="A48" s="29" t="inlineStr">
        <is>
          <t>P2.9</t>
        </is>
      </c>
      <c r="B48" s="30" t="inlineStr">
        <is>
          <t>Combining transformations</t>
        </is>
      </c>
      <c r="C48" s="35" t="n">
        <v>2</v>
      </c>
      <c r="D48" s="32" t="n"/>
      <c r="E48" s="33" t="n"/>
      <c r="F48" s="34" t="inlineStr">
        <is>
          <t>▶ Watch</t>
        </is>
      </c>
      <c r="G48" s="34" t="inlineStr">
        <is>
          <t>Questions</t>
        </is>
      </c>
      <c r="H48" s="34" t="inlineStr">
        <is>
          <t>Answers</t>
        </is>
      </c>
      <c r="I48" s="33" t="inlineStr">
        <is>
          <t>Transformations &amp; Graphs</t>
        </is>
      </c>
      <c r="J48" s="34" t="inlineStr">
        <is>
          <t>Questions</t>
        </is>
      </c>
      <c r="K48" s="34" t="inlineStr">
        <is>
          <t>Marks</t>
        </is>
      </c>
      <c r="L48" s="34" t="inlineStr">
        <is>
          <t>Answers</t>
        </is>
      </c>
      <c r="M48" s="29" t="inlineStr">
        <is>
          <t>Pure 2 Ch2</t>
        </is>
      </c>
      <c r="N48" s="34" t="inlineStr">
        <is>
          <t>Set 1 of 2</t>
        </is>
      </c>
      <c r="O48" s="34" t="inlineStr">
        <is>
          <t>Marks</t>
        </is>
      </c>
      <c r="P48" t="inlineStr">
        <is>
          <t>P2</t>
        </is>
      </c>
    </row>
    <row r="49" outlineLevel="1" ht="20" customHeight="1">
      <c r="A49" s="29" t="inlineStr">
        <is>
          <t>P2.10</t>
        </is>
      </c>
      <c r="B49" s="30" t="inlineStr">
        <is>
          <t>Partial fractions (distinct linear factors)</t>
        </is>
      </c>
      <c r="C49" s="35" t="n">
        <v>2</v>
      </c>
      <c r="D49" s="32" t="n"/>
      <c r="E49" s="33" t="n"/>
      <c r="F49" s="34" t="inlineStr">
        <is>
          <t>▶ Watch</t>
        </is>
      </c>
      <c r="G49" s="34" t="inlineStr">
        <is>
          <t>Questions</t>
        </is>
      </c>
      <c r="H49" s="34" t="inlineStr">
        <is>
          <t>Answers</t>
        </is>
      </c>
      <c r="I49" s="33" t="inlineStr">
        <is>
          <t>Partial Fractions (Yr 2)</t>
        </is>
      </c>
      <c r="J49" s="34" t="inlineStr">
        <is>
          <t>Questions</t>
        </is>
      </c>
      <c r="K49" s="34" t="inlineStr">
        <is>
          <t>Marks</t>
        </is>
      </c>
      <c r="L49" s="34" t="inlineStr">
        <is>
          <t>Answers</t>
        </is>
      </c>
      <c r="M49" s="29" t="inlineStr">
        <is>
          <t>Pure 2 Ch1</t>
        </is>
      </c>
      <c r="N49" s="34" t="inlineStr">
        <is>
          <t>Questions</t>
        </is>
      </c>
      <c r="O49" s="34" t="inlineStr">
        <is>
          <t>Marks</t>
        </is>
      </c>
      <c r="P49" t="inlineStr">
        <is>
          <t>P2</t>
        </is>
      </c>
    </row>
    <row r="50" outlineLevel="1" ht="20" customHeight="1">
      <c r="A50" s="29" t="inlineStr">
        <is>
          <t>P2.10</t>
        </is>
      </c>
      <c r="B50" s="30" t="inlineStr">
        <is>
          <t>Partial fractions with repeated factors</t>
        </is>
      </c>
      <c r="C50" s="35" t="n">
        <v>2</v>
      </c>
      <c r="D50" s="32" t="n"/>
      <c r="E50" s="33" t="n"/>
      <c r="F50" s="34" t="inlineStr">
        <is>
          <t>▶ Watch</t>
        </is>
      </c>
      <c r="G50" s="34" t="inlineStr">
        <is>
          <t>Questions</t>
        </is>
      </c>
      <c r="H50" s="34" t="inlineStr">
        <is>
          <t>Answers</t>
        </is>
      </c>
      <c r="I50" s="33" t="inlineStr">
        <is>
          <t>Partial Fractions (Yr 2)</t>
        </is>
      </c>
      <c r="J50" s="34" t="inlineStr">
        <is>
          <t>Questions</t>
        </is>
      </c>
      <c r="K50" s="34" t="inlineStr">
        <is>
          <t>Marks</t>
        </is>
      </c>
      <c r="L50" s="34" t="inlineStr">
        <is>
          <t>Answers</t>
        </is>
      </c>
      <c r="M50" s="29" t="inlineStr">
        <is>
          <t>Pure 2 Ch1</t>
        </is>
      </c>
      <c r="N50" s="34" t="inlineStr">
        <is>
          <t>Questions</t>
        </is>
      </c>
      <c r="O50" s="34" t="inlineStr">
        <is>
          <t>Marks</t>
        </is>
      </c>
      <c r="P50" t="inlineStr">
        <is>
          <t>P2</t>
        </is>
      </c>
    </row>
    <row r="51" outlineLevel="1" ht="20" customHeight="1">
      <c r="A51" s="29" t="inlineStr">
        <is>
          <t>P2.11</t>
        </is>
      </c>
      <c r="B51" s="30" t="inlineStr">
        <is>
          <t>Using functions in modelling (limitations and refinements)</t>
        </is>
      </c>
      <c r="C51" s="35" t="n">
        <v>2</v>
      </c>
      <c r="D51" s="32" t="n"/>
      <c r="E51" s="33" t="n"/>
      <c r="F51" s="34" t="inlineStr">
        <is>
          <t>▶ Watch</t>
        </is>
      </c>
      <c r="G51" s="34" t="inlineStr">
        <is>
          <t>Questions</t>
        </is>
      </c>
      <c r="H51" s="34" t="inlineStr">
        <is>
          <t>Answers</t>
        </is>
      </c>
      <c r="I51" s="33" t="inlineStr">
        <is>
          <t>Quadratics</t>
        </is>
      </c>
      <c r="J51" s="34" t="inlineStr">
        <is>
          <t>Questions</t>
        </is>
      </c>
      <c r="K51" s="34" t="inlineStr">
        <is>
          <t>Marks</t>
        </is>
      </c>
      <c r="L51" s="34" t="inlineStr">
        <is>
          <t>Answers</t>
        </is>
      </c>
      <c r="M51" s="29" t="inlineStr">
        <is>
          <t>Pure 1 Ch2</t>
        </is>
      </c>
      <c r="N51" s="34" t="inlineStr">
        <is>
          <t>Questions</t>
        </is>
      </c>
      <c r="O51" s="34" t="inlineStr">
        <is>
          <t>Marks</t>
        </is>
      </c>
      <c r="P51" t="inlineStr">
        <is>
          <t>P2</t>
        </is>
      </c>
    </row>
    <row r="52" ht="10" customHeight="1"/>
    <row r="53" ht="26" customHeight="1">
      <c r="A53" s="25" t="inlineStr">
        <is>
          <t>3</t>
        </is>
      </c>
      <c r="B53" s="26" t="inlineStr">
        <is>
          <t>Coordinate geometry in the (x, y) plane</t>
        </is>
      </c>
      <c r="C53" s="27" t="n"/>
      <c r="D53" s="27" t="n"/>
      <c r="E53" s="28" t="inlineStr">
        <is>
          <t>15 topics  ·  Year 1: 10  ·  Year 2: 5</t>
        </is>
      </c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</row>
    <row r="54" outlineLevel="1" ht="20" customHeight="1">
      <c r="A54" s="29" t="inlineStr">
        <is>
          <t>P3.1</t>
        </is>
      </c>
      <c r="B54" s="30" t="inlineStr">
        <is>
          <t>y = mx + c and gradients</t>
        </is>
      </c>
      <c r="C54" s="31" t="n">
        <v>1</v>
      </c>
      <c r="D54" s="32" t="n"/>
      <c r="E54" s="33" t="n"/>
      <c r="F54" s="34" t="inlineStr">
        <is>
          <t>▶ Watch</t>
        </is>
      </c>
      <c r="G54" s="34" t="inlineStr">
        <is>
          <t>Questions</t>
        </is>
      </c>
      <c r="H54" s="34" t="inlineStr">
        <is>
          <t>Answers</t>
        </is>
      </c>
      <c r="I54" s="33" t="inlineStr">
        <is>
          <t>Straight Lines</t>
        </is>
      </c>
      <c r="J54" s="34" t="inlineStr">
        <is>
          <t>Questions</t>
        </is>
      </c>
      <c r="K54" s="34" t="inlineStr">
        <is>
          <t>Marks</t>
        </is>
      </c>
      <c r="L54" s="34" t="inlineStr">
        <is>
          <t>Answers</t>
        </is>
      </c>
      <c r="M54" s="29" t="inlineStr">
        <is>
          <t>Pure 1 Ch5</t>
        </is>
      </c>
      <c r="N54" s="34" t="inlineStr">
        <is>
          <t>Questions</t>
        </is>
      </c>
      <c r="O54" s="34" t="inlineStr">
        <is>
          <t>Marks</t>
        </is>
      </c>
      <c r="P54" t="inlineStr">
        <is>
          <t>P3</t>
        </is>
      </c>
    </row>
    <row r="55" outlineLevel="1" ht="32" customHeight="1">
      <c r="A55" s="29" t="inlineStr">
        <is>
          <t>P3.1</t>
        </is>
      </c>
      <c r="B55" s="30" t="inlineStr">
        <is>
          <t>Equations of straight lines: y − y₁ = m(x − x₁) and ax + by + c = 0</t>
        </is>
      </c>
      <c r="C55" s="31" t="n">
        <v>1</v>
      </c>
      <c r="D55" s="32" t="n"/>
      <c r="E55" s="33" t="n"/>
      <c r="F55" s="34" t="inlineStr">
        <is>
          <t>▶ Watch</t>
        </is>
      </c>
      <c r="G55" s="34" t="inlineStr">
        <is>
          <t>Questions</t>
        </is>
      </c>
      <c r="H55" s="34" t="inlineStr">
        <is>
          <t>Answers</t>
        </is>
      </c>
      <c r="I55" s="33" t="inlineStr">
        <is>
          <t>Straight Lines</t>
        </is>
      </c>
      <c r="J55" s="34" t="inlineStr">
        <is>
          <t>Questions</t>
        </is>
      </c>
      <c r="K55" s="34" t="inlineStr">
        <is>
          <t>Marks</t>
        </is>
      </c>
      <c r="L55" s="34" t="inlineStr">
        <is>
          <t>Answers</t>
        </is>
      </c>
      <c r="M55" s="29" t="inlineStr">
        <is>
          <t>Pure 1 Ch5</t>
        </is>
      </c>
      <c r="N55" s="34" t="inlineStr">
        <is>
          <t>Questions</t>
        </is>
      </c>
      <c r="O55" s="34" t="inlineStr">
        <is>
          <t>Marks</t>
        </is>
      </c>
      <c r="P55" t="inlineStr">
        <is>
          <t>P3</t>
        </is>
      </c>
    </row>
    <row r="56" outlineLevel="1" ht="20" customHeight="1">
      <c r="A56" s="29" t="inlineStr">
        <is>
          <t>P3.1</t>
        </is>
      </c>
      <c r="B56" s="30" t="inlineStr">
        <is>
          <t>Parallel and perpendicular lines</t>
        </is>
      </c>
      <c r="C56" s="31" t="n">
        <v>1</v>
      </c>
      <c r="D56" s="32" t="n"/>
      <c r="E56" s="33" t="n"/>
      <c r="F56" s="34" t="inlineStr">
        <is>
          <t>▶ Watch</t>
        </is>
      </c>
      <c r="G56" s="34" t="inlineStr">
        <is>
          <t>Questions</t>
        </is>
      </c>
      <c r="H56" s="34" t="inlineStr">
        <is>
          <t>Answers</t>
        </is>
      </c>
      <c r="I56" s="33" t="inlineStr">
        <is>
          <t>Straight Lines</t>
        </is>
      </c>
      <c r="J56" s="34" t="inlineStr">
        <is>
          <t>Questions</t>
        </is>
      </c>
      <c r="K56" s="34" t="inlineStr">
        <is>
          <t>Marks</t>
        </is>
      </c>
      <c r="L56" s="34" t="inlineStr">
        <is>
          <t>Answers</t>
        </is>
      </c>
      <c r="M56" s="29" t="inlineStr">
        <is>
          <t>Pure 1 Ch5</t>
        </is>
      </c>
      <c r="N56" s="34" t="inlineStr">
        <is>
          <t>Questions</t>
        </is>
      </c>
      <c r="O56" s="34" t="inlineStr">
        <is>
          <t>Marks</t>
        </is>
      </c>
      <c r="P56" t="inlineStr">
        <is>
          <t>P3</t>
        </is>
      </c>
    </row>
    <row r="57" outlineLevel="1" ht="20" customHeight="1">
      <c r="A57" s="29" t="inlineStr">
        <is>
          <t>P3.1</t>
        </is>
      </c>
      <c r="B57" s="30" t="inlineStr">
        <is>
          <t>Length of a line segment and areas of shapes</t>
        </is>
      </c>
      <c r="C57" s="31" t="n">
        <v>1</v>
      </c>
      <c r="D57" s="32" t="n"/>
      <c r="E57" s="33" t="n"/>
      <c r="F57" s="34" t="inlineStr">
        <is>
          <t>▶ Watch</t>
        </is>
      </c>
      <c r="G57" s="34" t="inlineStr">
        <is>
          <t>Questions</t>
        </is>
      </c>
      <c r="H57" s="34" t="inlineStr">
        <is>
          <t>Answers</t>
        </is>
      </c>
      <c r="I57" s="33" t="inlineStr">
        <is>
          <t>Straight Lines</t>
        </is>
      </c>
      <c r="J57" s="34" t="inlineStr">
        <is>
          <t>Questions</t>
        </is>
      </c>
      <c r="K57" s="34" t="inlineStr">
        <is>
          <t>Marks</t>
        </is>
      </c>
      <c r="L57" s="34" t="inlineStr">
        <is>
          <t>Answers</t>
        </is>
      </c>
      <c r="M57" s="29" t="inlineStr">
        <is>
          <t>Pure 1 Ch5</t>
        </is>
      </c>
      <c r="N57" s="34" t="inlineStr">
        <is>
          <t>Questions</t>
        </is>
      </c>
      <c r="O57" s="34" t="inlineStr">
        <is>
          <t>Marks</t>
        </is>
      </c>
      <c r="P57" t="inlineStr">
        <is>
          <t>P3</t>
        </is>
      </c>
    </row>
    <row r="58" outlineLevel="1" ht="20" customHeight="1">
      <c r="A58" s="29" t="inlineStr">
        <is>
          <t>P3.1</t>
        </is>
      </c>
      <c r="B58" s="30" t="inlineStr">
        <is>
          <t>Straight-line models in context</t>
        </is>
      </c>
      <c r="C58" s="31" t="n">
        <v>1</v>
      </c>
      <c r="D58" s="32" t="n"/>
      <c r="E58" s="33" t="n"/>
      <c r="F58" s="34" t="inlineStr">
        <is>
          <t>▶ Watch</t>
        </is>
      </c>
      <c r="G58" s="34" t="inlineStr">
        <is>
          <t>Questions</t>
        </is>
      </c>
      <c r="H58" s="34" t="inlineStr">
        <is>
          <t>Answers</t>
        </is>
      </c>
      <c r="I58" s="33" t="inlineStr">
        <is>
          <t>Linear Models</t>
        </is>
      </c>
      <c r="J58" s="34" t="inlineStr">
        <is>
          <t>Questions</t>
        </is>
      </c>
      <c r="K58" s="34" t="inlineStr">
        <is>
          <t>Marks</t>
        </is>
      </c>
      <c r="L58" s="34" t="inlineStr">
        <is>
          <t>Answers</t>
        </is>
      </c>
      <c r="M58" s="29" t="inlineStr">
        <is>
          <t>Pure 1 Ch5</t>
        </is>
      </c>
      <c r="N58" s="34" t="inlineStr">
        <is>
          <t>Questions</t>
        </is>
      </c>
      <c r="O58" s="34" t="inlineStr">
        <is>
          <t>Marks</t>
        </is>
      </c>
      <c r="P58" t="inlineStr">
        <is>
          <t>P3</t>
        </is>
      </c>
    </row>
    <row r="59" outlineLevel="1" ht="20" customHeight="1">
      <c r="A59" s="29" t="inlineStr">
        <is>
          <t>P3.2</t>
        </is>
      </c>
      <c r="B59" s="30" t="inlineStr">
        <is>
          <t>Midpoints and perpendicular bisectors</t>
        </is>
      </c>
      <c r="C59" s="31" t="n">
        <v>1</v>
      </c>
      <c r="D59" s="32" t="n"/>
      <c r="E59" s="33" t="n"/>
      <c r="F59" s="34" t="inlineStr">
        <is>
          <t>▶ Watch</t>
        </is>
      </c>
      <c r="G59" s="34" t="inlineStr">
        <is>
          <t>Questions</t>
        </is>
      </c>
      <c r="H59" s="34" t="inlineStr">
        <is>
          <t>Answers</t>
        </is>
      </c>
      <c r="I59" s="36" t="inlineStr">
        <is>
          <t>none for this topic</t>
        </is>
      </c>
      <c r="J59" s="37" t="n"/>
      <c r="K59" s="37" t="n"/>
      <c r="L59" s="37" t="n"/>
      <c r="M59" s="29" t="inlineStr">
        <is>
          <t>Pure 1 Ch6</t>
        </is>
      </c>
      <c r="N59" s="34" t="inlineStr">
        <is>
          <t>Questions</t>
        </is>
      </c>
      <c r="O59" s="34" t="inlineStr">
        <is>
          <t>Marks</t>
        </is>
      </c>
      <c r="P59" t="inlineStr">
        <is>
          <t>P3</t>
        </is>
      </c>
    </row>
    <row r="60" outlineLevel="1" ht="32" customHeight="1">
      <c r="A60" s="29" t="inlineStr">
        <is>
          <t>P3.2</t>
        </is>
      </c>
      <c r="B60" s="30" t="inlineStr">
        <is>
          <t>Equation of a circle (completing the square for centre and radius)</t>
        </is>
      </c>
      <c r="C60" s="31" t="n">
        <v>1</v>
      </c>
      <c r="D60" s="32" t="n"/>
      <c r="E60" s="33" t="n"/>
      <c r="F60" s="34" t="inlineStr">
        <is>
          <t>▶ Watch</t>
        </is>
      </c>
      <c r="G60" s="34" t="inlineStr">
        <is>
          <t>Topic set</t>
        </is>
      </c>
      <c r="H60" s="34" t="inlineStr">
        <is>
          <t>Answers</t>
        </is>
      </c>
      <c r="I60" s="33" t="inlineStr">
        <is>
          <t>Circles</t>
        </is>
      </c>
      <c r="J60" s="34" t="inlineStr">
        <is>
          <t>Questions</t>
        </is>
      </c>
      <c r="K60" s="34" t="inlineStr">
        <is>
          <t>Marks</t>
        </is>
      </c>
      <c r="L60" s="34" t="inlineStr">
        <is>
          <t>Answers</t>
        </is>
      </c>
      <c r="M60" s="29" t="inlineStr">
        <is>
          <t>Pure 1 Ch6</t>
        </is>
      </c>
      <c r="N60" s="34" t="inlineStr">
        <is>
          <t>Questions</t>
        </is>
      </c>
      <c r="O60" s="34" t="inlineStr">
        <is>
          <t>Marks</t>
        </is>
      </c>
      <c r="P60" t="inlineStr">
        <is>
          <t>P3</t>
        </is>
      </c>
    </row>
    <row r="61" outlineLevel="1" ht="20" customHeight="1">
      <c r="A61" s="29" t="inlineStr">
        <is>
          <t>P3.2</t>
        </is>
      </c>
      <c r="B61" s="30" t="inlineStr">
        <is>
          <t>Intersections of straight lines and circles</t>
        </is>
      </c>
      <c r="C61" s="31" t="n">
        <v>1</v>
      </c>
      <c r="D61" s="32" t="n"/>
      <c r="E61" s="33" t="n"/>
      <c r="F61" s="34" t="inlineStr">
        <is>
          <t>▶ Watch</t>
        </is>
      </c>
      <c r="G61" s="34" t="inlineStr">
        <is>
          <t>Questions</t>
        </is>
      </c>
      <c r="H61" s="34" t="inlineStr">
        <is>
          <t>Answers</t>
        </is>
      </c>
      <c r="I61" s="33" t="inlineStr">
        <is>
          <t>Circles</t>
        </is>
      </c>
      <c r="J61" s="34" t="inlineStr">
        <is>
          <t>Questions</t>
        </is>
      </c>
      <c r="K61" s="34" t="inlineStr">
        <is>
          <t>Marks</t>
        </is>
      </c>
      <c r="L61" s="34" t="inlineStr">
        <is>
          <t>Answers</t>
        </is>
      </c>
      <c r="M61" s="29" t="inlineStr">
        <is>
          <t>Pure 1 Ch6</t>
        </is>
      </c>
      <c r="N61" s="34" t="inlineStr">
        <is>
          <t>Questions</t>
        </is>
      </c>
      <c r="O61" s="34" t="inlineStr">
        <is>
          <t>Marks</t>
        </is>
      </c>
      <c r="P61" t="inlineStr">
        <is>
          <t>P3</t>
        </is>
      </c>
    </row>
    <row r="62" outlineLevel="1" ht="20" customHeight="1">
      <c r="A62" s="29" t="inlineStr">
        <is>
          <t>P3.2</t>
        </is>
      </c>
      <c r="B62" s="30" t="inlineStr">
        <is>
          <t>Tangent and chord properties</t>
        </is>
      </c>
      <c r="C62" s="31" t="n">
        <v>1</v>
      </c>
      <c r="D62" s="32" t="n"/>
      <c r="E62" s="33" t="n"/>
      <c r="F62" s="34" t="inlineStr">
        <is>
          <t>▶ Watch</t>
        </is>
      </c>
      <c r="G62" s="34" t="inlineStr">
        <is>
          <t>Questions</t>
        </is>
      </c>
      <c r="H62" s="34" t="inlineStr">
        <is>
          <t>Answers</t>
        </is>
      </c>
      <c r="I62" s="33" t="inlineStr">
        <is>
          <t>Circles</t>
        </is>
      </c>
      <c r="J62" s="34" t="inlineStr">
        <is>
          <t>Questions</t>
        </is>
      </c>
      <c r="K62" s="34" t="inlineStr">
        <is>
          <t>Marks</t>
        </is>
      </c>
      <c r="L62" s="34" t="inlineStr">
        <is>
          <t>Answers</t>
        </is>
      </c>
      <c r="M62" s="29" t="inlineStr">
        <is>
          <t>Pure 1 Ch6</t>
        </is>
      </c>
      <c r="N62" s="34" t="inlineStr">
        <is>
          <t>Questions</t>
        </is>
      </c>
      <c r="O62" s="34" t="inlineStr">
        <is>
          <t>Marks</t>
        </is>
      </c>
      <c r="P62" t="inlineStr">
        <is>
          <t>P3</t>
        </is>
      </c>
    </row>
    <row r="63" outlineLevel="1" ht="32" customHeight="1">
      <c r="A63" s="29" t="inlineStr">
        <is>
          <t>P3.2</t>
        </is>
      </c>
      <c r="B63" s="30" t="inlineStr">
        <is>
          <t>Circles and triangles (circumcircles, angle in a semicircle)</t>
        </is>
      </c>
      <c r="C63" s="31" t="n">
        <v>1</v>
      </c>
      <c r="D63" s="32" t="n"/>
      <c r="E63" s="33" t="n"/>
      <c r="F63" s="34" t="inlineStr">
        <is>
          <t>▶ Watch</t>
        </is>
      </c>
      <c r="G63" s="34" t="inlineStr">
        <is>
          <t>Questions</t>
        </is>
      </c>
      <c r="H63" s="34" t="inlineStr">
        <is>
          <t>Answers</t>
        </is>
      </c>
      <c r="I63" s="36" t="inlineStr">
        <is>
          <t>none for this topic</t>
        </is>
      </c>
      <c r="J63" s="37" t="n"/>
      <c r="K63" s="37" t="n"/>
      <c r="L63" s="37" t="n"/>
      <c r="M63" s="29" t="inlineStr">
        <is>
          <t>Pure 1 Ch6</t>
        </is>
      </c>
      <c r="N63" s="34" t="inlineStr">
        <is>
          <t>Questions</t>
        </is>
      </c>
      <c r="O63" s="34" t="inlineStr">
        <is>
          <t>Marks</t>
        </is>
      </c>
      <c r="P63" t="inlineStr">
        <is>
          <t>P3</t>
        </is>
      </c>
    </row>
    <row r="64" outlineLevel="1" ht="20" customHeight="1">
      <c r="A64" s="29" t="inlineStr">
        <is>
          <t>P3.3</t>
        </is>
      </c>
      <c r="B64" s="30" t="inlineStr">
        <is>
          <t>Parametric equations: converting to Cartesian form</t>
        </is>
      </c>
      <c r="C64" s="35" t="n">
        <v>2</v>
      </c>
      <c r="D64" s="32" t="n"/>
      <c r="E64" s="33" t="n"/>
      <c r="F64" s="34" t="inlineStr">
        <is>
          <t>▶ Watch</t>
        </is>
      </c>
      <c r="G64" s="34" t="inlineStr">
        <is>
          <t>Questions</t>
        </is>
      </c>
      <c r="H64" s="34" t="inlineStr">
        <is>
          <t>Answers</t>
        </is>
      </c>
      <c r="I64" s="33" t="inlineStr">
        <is>
          <t>Parametric Equations (Yr 2)</t>
        </is>
      </c>
      <c r="J64" s="34" t="inlineStr">
        <is>
          <t>Questions</t>
        </is>
      </c>
      <c r="K64" s="34" t="inlineStr">
        <is>
          <t>Marks</t>
        </is>
      </c>
      <c r="L64" s="34" t="inlineStr">
        <is>
          <t>Answers</t>
        </is>
      </c>
      <c r="M64" s="29" t="inlineStr">
        <is>
          <t>Pure 2 Ch8</t>
        </is>
      </c>
      <c r="N64" s="34" t="inlineStr">
        <is>
          <t>Questions</t>
        </is>
      </c>
      <c r="O64" s="34" t="inlineStr">
        <is>
          <t>Marks</t>
        </is>
      </c>
      <c r="P64" t="inlineStr">
        <is>
          <t>P3</t>
        </is>
      </c>
    </row>
    <row r="65" outlineLevel="1" ht="32" customHeight="1">
      <c r="A65" s="29" t="inlineStr">
        <is>
          <t>P3.3</t>
        </is>
      </c>
      <c r="B65" s="30" t="inlineStr">
        <is>
          <t>Parametric equations using trig identities</t>
        </is>
      </c>
      <c r="C65" s="35" t="n">
        <v>2</v>
      </c>
      <c r="D65" s="32" t="n"/>
      <c r="E65" s="33" t="n"/>
      <c r="F65" s="34" t="inlineStr">
        <is>
          <t>▶ Watch</t>
        </is>
      </c>
      <c r="G65" s="34" t="inlineStr">
        <is>
          <t>Questions</t>
        </is>
      </c>
      <c r="H65" s="34" t="inlineStr">
        <is>
          <t>Answers</t>
        </is>
      </c>
      <c r="I65" s="33" t="inlineStr">
        <is>
          <t>Parametric Differentiation (Yr 2)</t>
        </is>
      </c>
      <c r="J65" s="34" t="inlineStr">
        <is>
          <t>Questions</t>
        </is>
      </c>
      <c r="K65" s="34" t="inlineStr">
        <is>
          <t>Marks</t>
        </is>
      </c>
      <c r="L65" s="34" t="inlineStr">
        <is>
          <t>Answers</t>
        </is>
      </c>
      <c r="M65" s="29" t="inlineStr">
        <is>
          <t>Pure 2 Ch8</t>
        </is>
      </c>
      <c r="N65" s="34" t="inlineStr">
        <is>
          <t>Questions</t>
        </is>
      </c>
      <c r="O65" s="34" t="inlineStr">
        <is>
          <t>Marks</t>
        </is>
      </c>
      <c r="P65" t="inlineStr">
        <is>
          <t>P3</t>
        </is>
      </c>
    </row>
    <row r="66" outlineLevel="1" ht="20" customHeight="1">
      <c r="A66" s="29" t="inlineStr">
        <is>
          <t>P3.3</t>
        </is>
      </c>
      <c r="B66" s="30" t="inlineStr">
        <is>
          <t>Sketching parametric curves</t>
        </is>
      </c>
      <c r="C66" s="35" t="n">
        <v>2</v>
      </c>
      <c r="D66" s="32" t="n"/>
      <c r="E66" s="33" t="n"/>
      <c r="F66" s="34" t="inlineStr">
        <is>
          <t>▶ Watch</t>
        </is>
      </c>
      <c r="G66" s="34" t="inlineStr">
        <is>
          <t>Questions</t>
        </is>
      </c>
      <c r="H66" s="34" t="inlineStr">
        <is>
          <t>Answers</t>
        </is>
      </c>
      <c r="I66" s="36" t="inlineStr">
        <is>
          <t>none for this topic</t>
        </is>
      </c>
      <c r="J66" s="37" t="n"/>
      <c r="K66" s="37" t="n"/>
      <c r="L66" s="37" t="n"/>
      <c r="M66" s="29" t="inlineStr">
        <is>
          <t>Pure 2 Ch8</t>
        </is>
      </c>
      <c r="N66" s="34" t="inlineStr">
        <is>
          <t>Questions</t>
        </is>
      </c>
      <c r="O66" s="34" t="inlineStr">
        <is>
          <t>Marks</t>
        </is>
      </c>
      <c r="P66" t="inlineStr">
        <is>
          <t>P3</t>
        </is>
      </c>
    </row>
    <row r="67" outlineLevel="1" ht="32" customHeight="1">
      <c r="A67" s="29" t="inlineStr">
        <is>
          <t>P3.3</t>
        </is>
      </c>
      <c r="B67" s="30" t="inlineStr">
        <is>
          <t>Points of intersection with parametric curves</t>
        </is>
      </c>
      <c r="C67" s="35" t="n">
        <v>2</v>
      </c>
      <c r="D67" s="32" t="n"/>
      <c r="E67" s="33" t="n"/>
      <c r="F67" s="34" t="inlineStr">
        <is>
          <t>▶ Watch</t>
        </is>
      </c>
      <c r="G67" s="34" t="inlineStr">
        <is>
          <t>Questions</t>
        </is>
      </c>
      <c r="H67" s="34" t="inlineStr">
        <is>
          <t>Answers</t>
        </is>
      </c>
      <c r="I67" s="33" t="inlineStr">
        <is>
          <t>Parametric Differentiation (Yr 2)</t>
        </is>
      </c>
      <c r="J67" s="34" t="inlineStr">
        <is>
          <t>Questions</t>
        </is>
      </c>
      <c r="K67" s="34" t="inlineStr">
        <is>
          <t>Marks</t>
        </is>
      </c>
      <c r="L67" s="34" t="inlineStr">
        <is>
          <t>Answers</t>
        </is>
      </c>
      <c r="M67" s="29" t="inlineStr">
        <is>
          <t>Pure 2 Ch8</t>
        </is>
      </c>
      <c r="N67" s="34" t="inlineStr">
        <is>
          <t>Questions</t>
        </is>
      </c>
      <c r="O67" s="34" t="inlineStr">
        <is>
          <t>Marks</t>
        </is>
      </c>
      <c r="P67" t="inlineStr">
        <is>
          <t>P3</t>
        </is>
      </c>
    </row>
    <row r="68" outlineLevel="1" ht="20" customHeight="1">
      <c r="A68" s="29" t="inlineStr">
        <is>
          <t>P3.4</t>
        </is>
      </c>
      <c r="B68" s="30" t="inlineStr">
        <is>
          <t>Modelling with parametric equations</t>
        </is>
      </c>
      <c r="C68" s="35" t="n">
        <v>2</v>
      </c>
      <c r="D68" s="32" t="n"/>
      <c r="E68" s="33" t="n"/>
      <c r="F68" s="34" t="inlineStr">
        <is>
          <t>▶ Watch</t>
        </is>
      </c>
      <c r="G68" s="34" t="inlineStr">
        <is>
          <t>Questions</t>
        </is>
      </c>
      <c r="H68" s="34" t="inlineStr">
        <is>
          <t>Answers</t>
        </is>
      </c>
      <c r="I68" s="36" t="inlineStr">
        <is>
          <t>none for this topic</t>
        </is>
      </c>
      <c r="J68" s="37" t="n"/>
      <c r="K68" s="37" t="n"/>
      <c r="L68" s="37" t="n"/>
      <c r="M68" s="29" t="inlineStr">
        <is>
          <t>Pure 2 Ch8</t>
        </is>
      </c>
      <c r="N68" s="34" t="inlineStr">
        <is>
          <t>Questions</t>
        </is>
      </c>
      <c r="O68" s="34" t="inlineStr">
        <is>
          <t>Marks</t>
        </is>
      </c>
      <c r="P68" t="inlineStr">
        <is>
          <t>P3</t>
        </is>
      </c>
    </row>
    <row r="69" ht="10" customHeight="1"/>
    <row r="70" ht="26" customHeight="1">
      <c r="A70" s="25" t="inlineStr">
        <is>
          <t>4</t>
        </is>
      </c>
      <c r="B70" s="26" t="inlineStr">
        <is>
          <t>Sequences and series</t>
        </is>
      </c>
      <c r="C70" s="27" t="n"/>
      <c r="D70" s="27" t="n"/>
      <c r="E70" s="28" t="inlineStr">
        <is>
          <t>16 topics  ·  Year 1: 4  ·  Year 2: 12</t>
        </is>
      </c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27" t="n"/>
    </row>
    <row r="71" outlineLevel="1" ht="20" customHeight="1">
      <c r="A71" s="29" t="inlineStr">
        <is>
          <t>P4.1</t>
        </is>
      </c>
      <c r="B71" s="30" t="inlineStr">
        <is>
          <t>Pascal's triangle, factorials and nCr notation</t>
        </is>
      </c>
      <c r="C71" s="31" t="n">
        <v>1</v>
      </c>
      <c r="D71" s="32" t="n"/>
      <c r="E71" s="33" t="n"/>
      <c r="F71" s="34" t="inlineStr">
        <is>
          <t>▶ Watch</t>
        </is>
      </c>
      <c r="G71" s="34" t="inlineStr">
        <is>
          <t>Questions</t>
        </is>
      </c>
      <c r="H71" s="34" t="inlineStr">
        <is>
          <t>Answers</t>
        </is>
      </c>
      <c r="I71" s="33" t="inlineStr">
        <is>
          <t>Binomial Expansion</t>
        </is>
      </c>
      <c r="J71" s="34" t="inlineStr">
        <is>
          <t>Questions</t>
        </is>
      </c>
      <c r="K71" s="34" t="inlineStr">
        <is>
          <t>Marks</t>
        </is>
      </c>
      <c r="L71" s="34" t="inlineStr">
        <is>
          <t>Answers</t>
        </is>
      </c>
      <c r="M71" s="29" t="inlineStr">
        <is>
          <t>Pure 1 Ch8</t>
        </is>
      </c>
      <c r="N71" s="34" t="inlineStr">
        <is>
          <t>Questions</t>
        </is>
      </c>
      <c r="O71" s="34" t="inlineStr">
        <is>
          <t>Marks</t>
        </is>
      </c>
      <c r="P71" t="inlineStr">
        <is>
          <t>P4</t>
        </is>
      </c>
    </row>
    <row r="72" outlineLevel="1" ht="20" customHeight="1">
      <c r="A72" s="29" t="inlineStr">
        <is>
          <t>P4.1</t>
        </is>
      </c>
      <c r="B72" s="30" t="inlineStr">
        <is>
          <t>Binomial expansion of (a + bx)ⁿ for positive integer n</t>
        </is>
      </c>
      <c r="C72" s="31" t="n">
        <v>1</v>
      </c>
      <c r="D72" s="32" t="n"/>
      <c r="E72" s="33" t="n"/>
      <c r="F72" s="34" t="inlineStr">
        <is>
          <t>▶ Watch</t>
        </is>
      </c>
      <c r="G72" s="34" t="inlineStr">
        <is>
          <t>Questions</t>
        </is>
      </c>
      <c r="H72" s="34" t="inlineStr">
        <is>
          <t>Answers</t>
        </is>
      </c>
      <c r="I72" s="33" t="inlineStr">
        <is>
          <t>Binomial Expansion</t>
        </is>
      </c>
      <c r="J72" s="34" t="inlineStr">
        <is>
          <t>Questions</t>
        </is>
      </c>
      <c r="K72" s="34" t="inlineStr">
        <is>
          <t>Marks</t>
        </is>
      </c>
      <c r="L72" s="34" t="inlineStr">
        <is>
          <t>Answers</t>
        </is>
      </c>
      <c r="M72" s="29" t="inlineStr">
        <is>
          <t>Pure 1 Ch8</t>
        </is>
      </c>
      <c r="N72" s="34" t="inlineStr">
        <is>
          <t>Questions</t>
        </is>
      </c>
      <c r="O72" s="34" t="inlineStr">
        <is>
          <t>Marks</t>
        </is>
      </c>
      <c r="P72" t="inlineStr">
        <is>
          <t>P4</t>
        </is>
      </c>
    </row>
    <row r="73" outlineLevel="1" ht="32" customHeight="1">
      <c r="A73" s="29" t="inlineStr">
        <is>
          <t>P4.1</t>
        </is>
      </c>
      <c r="B73" s="30" t="inlineStr">
        <is>
          <t>Solving binomial problems (finding unknowns and coefficients)</t>
        </is>
      </c>
      <c r="C73" s="31" t="n">
        <v>1</v>
      </c>
      <c r="D73" s="32" t="n"/>
      <c r="E73" s="33" t="n"/>
      <c r="F73" s="34" t="inlineStr">
        <is>
          <t>▶ Watch</t>
        </is>
      </c>
      <c r="G73" s="34" t="inlineStr">
        <is>
          <t>Questions</t>
        </is>
      </c>
      <c r="H73" s="34" t="inlineStr">
        <is>
          <t>Answers</t>
        </is>
      </c>
      <c r="I73" s="33" t="inlineStr">
        <is>
          <t>Binomial Expansion</t>
        </is>
      </c>
      <c r="J73" s="34" t="inlineStr">
        <is>
          <t>Questions</t>
        </is>
      </c>
      <c r="K73" s="34" t="inlineStr">
        <is>
          <t>Marks</t>
        </is>
      </c>
      <c r="L73" s="34" t="inlineStr">
        <is>
          <t>Answers</t>
        </is>
      </c>
      <c r="M73" s="29" t="inlineStr">
        <is>
          <t>Pure 1 Ch8</t>
        </is>
      </c>
      <c r="N73" s="34" t="inlineStr">
        <is>
          <t>Questions</t>
        </is>
      </c>
      <c r="O73" s="34" t="inlineStr">
        <is>
          <t>Marks</t>
        </is>
      </c>
      <c r="P73" t="inlineStr">
        <is>
          <t>P4</t>
        </is>
      </c>
    </row>
    <row r="74" outlineLevel="1" ht="20" customHeight="1">
      <c r="A74" s="29" t="inlineStr">
        <is>
          <t>P4.1</t>
        </is>
      </c>
      <c r="B74" s="30" t="inlineStr">
        <is>
          <t>Binomial estimation (approximations)</t>
        </is>
      </c>
      <c r="C74" s="31" t="n">
        <v>1</v>
      </c>
      <c r="D74" s="32" t="n"/>
      <c r="E74" s="33" t="n"/>
      <c r="F74" s="34" t="inlineStr">
        <is>
          <t>▶ Watch</t>
        </is>
      </c>
      <c r="G74" s="34" t="inlineStr">
        <is>
          <t>Questions</t>
        </is>
      </c>
      <c r="H74" s="34" t="inlineStr">
        <is>
          <t>Answers</t>
        </is>
      </c>
      <c r="I74" s="33" t="inlineStr">
        <is>
          <t>Binomial Expansion (Yr 2)</t>
        </is>
      </c>
      <c r="J74" s="34" t="inlineStr">
        <is>
          <t>Questions</t>
        </is>
      </c>
      <c r="K74" s="34" t="inlineStr">
        <is>
          <t>Marks</t>
        </is>
      </c>
      <c r="L74" s="34" t="inlineStr">
        <is>
          <t>Answers</t>
        </is>
      </c>
      <c r="M74" s="29" t="inlineStr">
        <is>
          <t>Pure 1 Ch8</t>
        </is>
      </c>
      <c r="N74" s="34" t="inlineStr">
        <is>
          <t>Questions</t>
        </is>
      </c>
      <c r="O74" s="34" t="inlineStr">
        <is>
          <t>Marks</t>
        </is>
      </c>
      <c r="P74" t="inlineStr">
        <is>
          <t>P4</t>
        </is>
      </c>
    </row>
    <row r="75" outlineLevel="1" ht="32" customHeight="1">
      <c r="A75" s="29" t="inlineStr">
        <is>
          <t>P4.1</t>
        </is>
      </c>
      <c r="B75" s="30" t="inlineStr">
        <is>
          <t>Binomial expansion of (1 + x)ⁿ for rational n, and validity</t>
        </is>
      </c>
      <c r="C75" s="35" t="n">
        <v>2</v>
      </c>
      <c r="D75" s="32" t="n"/>
      <c r="E75" s="33" t="n"/>
      <c r="F75" s="34" t="inlineStr">
        <is>
          <t>▶ Watch</t>
        </is>
      </c>
      <c r="G75" s="34" t="inlineStr">
        <is>
          <t>Questions</t>
        </is>
      </c>
      <c r="H75" s="34" t="inlineStr">
        <is>
          <t>Answers</t>
        </is>
      </c>
      <c r="I75" s="33" t="inlineStr">
        <is>
          <t>Binomial Expansion (Yr 2)</t>
        </is>
      </c>
      <c r="J75" s="34" t="inlineStr">
        <is>
          <t>Questions</t>
        </is>
      </c>
      <c r="K75" s="34" t="inlineStr">
        <is>
          <t>Marks</t>
        </is>
      </c>
      <c r="L75" s="34" t="inlineStr">
        <is>
          <t>Answers</t>
        </is>
      </c>
      <c r="M75" s="29" t="inlineStr">
        <is>
          <t>Pure 2 Ch4</t>
        </is>
      </c>
      <c r="N75" s="34" t="inlineStr">
        <is>
          <t>Questions</t>
        </is>
      </c>
      <c r="O75" s="38" t="inlineStr">
        <is>
          <t>none</t>
        </is>
      </c>
      <c r="P75" t="inlineStr">
        <is>
          <t>P4</t>
        </is>
      </c>
    </row>
    <row r="76" outlineLevel="1" ht="20" customHeight="1">
      <c r="A76" s="29" t="inlineStr">
        <is>
          <t>P4.1</t>
        </is>
      </c>
      <c r="B76" s="30" t="inlineStr">
        <is>
          <t>Binomial expansion of (a + bx)ⁿ for rational n</t>
        </is>
      </c>
      <c r="C76" s="35" t="n">
        <v>2</v>
      </c>
      <c r="D76" s="32" t="n"/>
      <c r="E76" s="33" t="n"/>
      <c r="F76" s="34" t="inlineStr">
        <is>
          <t>▶ Watch</t>
        </is>
      </c>
      <c r="G76" s="34" t="inlineStr">
        <is>
          <t>Questions</t>
        </is>
      </c>
      <c r="H76" s="34" t="inlineStr">
        <is>
          <t>Answers</t>
        </is>
      </c>
      <c r="I76" s="33" t="inlineStr">
        <is>
          <t>Binomial Expansion (Yr 2)</t>
        </is>
      </c>
      <c r="J76" s="34" t="inlineStr">
        <is>
          <t>Questions</t>
        </is>
      </c>
      <c r="K76" s="34" t="inlineStr">
        <is>
          <t>Marks</t>
        </is>
      </c>
      <c r="L76" s="34" t="inlineStr">
        <is>
          <t>Answers</t>
        </is>
      </c>
      <c r="M76" s="29" t="inlineStr">
        <is>
          <t>Pure 2 Ch4</t>
        </is>
      </c>
      <c r="N76" s="34" t="inlineStr">
        <is>
          <t>Questions</t>
        </is>
      </c>
      <c r="O76" s="38" t="inlineStr">
        <is>
          <t>none</t>
        </is>
      </c>
      <c r="P76" t="inlineStr">
        <is>
          <t>P4</t>
        </is>
      </c>
    </row>
    <row r="77" outlineLevel="1" ht="20" customHeight="1">
      <c r="A77" s="29" t="inlineStr">
        <is>
          <t>P4.1</t>
        </is>
      </c>
      <c r="B77" s="30" t="inlineStr">
        <is>
          <t>Binomial expansion using partial fractions</t>
        </is>
      </c>
      <c r="C77" s="35" t="n">
        <v>2</v>
      </c>
      <c r="D77" s="32" t="n"/>
      <c r="E77" s="33" t="n"/>
      <c r="F77" s="34" t="inlineStr">
        <is>
          <t>▶ Watch</t>
        </is>
      </c>
      <c r="G77" s="34" t="inlineStr">
        <is>
          <t>Questions</t>
        </is>
      </c>
      <c r="H77" s="34" t="inlineStr">
        <is>
          <t>Answers</t>
        </is>
      </c>
      <c r="I77" s="33" t="inlineStr">
        <is>
          <t>Binomial Expansion (Yr 2)</t>
        </is>
      </c>
      <c r="J77" s="34" t="inlineStr">
        <is>
          <t>Questions</t>
        </is>
      </c>
      <c r="K77" s="34" t="inlineStr">
        <is>
          <t>Marks</t>
        </is>
      </c>
      <c r="L77" s="34" t="inlineStr">
        <is>
          <t>Answers</t>
        </is>
      </c>
      <c r="M77" s="29" t="inlineStr">
        <is>
          <t>Pure 2 Ch4</t>
        </is>
      </c>
      <c r="N77" s="34" t="inlineStr">
        <is>
          <t>Questions</t>
        </is>
      </c>
      <c r="O77" s="38" t="inlineStr">
        <is>
          <t>none</t>
        </is>
      </c>
      <c r="P77" t="inlineStr">
        <is>
          <t>P4</t>
        </is>
      </c>
    </row>
    <row r="78" outlineLevel="1" ht="20" customHeight="1">
      <c r="A78" s="29" t="inlineStr">
        <is>
          <t>P4.2</t>
        </is>
      </c>
      <c r="B78" s="30" t="inlineStr">
        <is>
          <t>Recurrence relations uₙ₊₁ = f(uₙ)</t>
        </is>
      </c>
      <c r="C78" s="35" t="n">
        <v>2</v>
      </c>
      <c r="D78" s="32" t="n"/>
      <c r="E78" s="33" t="n"/>
      <c r="F78" s="34" t="inlineStr">
        <is>
          <t>▶ Watch</t>
        </is>
      </c>
      <c r="G78" s="34" t="inlineStr">
        <is>
          <t>Questions</t>
        </is>
      </c>
      <c r="H78" s="34" t="inlineStr">
        <is>
          <t>Answers</t>
        </is>
      </c>
      <c r="I78" s="33" t="inlineStr">
        <is>
          <t>Sequences and Series (Yr 2)</t>
        </is>
      </c>
      <c r="J78" s="34" t="inlineStr">
        <is>
          <t>Questions</t>
        </is>
      </c>
      <c r="K78" s="34" t="inlineStr">
        <is>
          <t>Marks</t>
        </is>
      </c>
      <c r="L78" s="34" t="inlineStr">
        <is>
          <t>Answers</t>
        </is>
      </c>
      <c r="M78" s="29" t="inlineStr">
        <is>
          <t>Pure 2 Ch3</t>
        </is>
      </c>
      <c r="N78" s="34" t="inlineStr">
        <is>
          <t>Set 1 of 2</t>
        </is>
      </c>
      <c r="O78" s="34" t="inlineStr">
        <is>
          <t>Marks</t>
        </is>
      </c>
      <c r="P78" t="inlineStr">
        <is>
          <t>P4</t>
        </is>
      </c>
    </row>
    <row r="79" outlineLevel="1" ht="20" customHeight="1">
      <c r="A79" s="29" t="inlineStr">
        <is>
          <t>P4.2</t>
        </is>
      </c>
      <c r="B79" s="30" t="inlineStr">
        <is>
          <t>Increasing, decreasing and periodic sequences</t>
        </is>
      </c>
      <c r="C79" s="35" t="n">
        <v>2</v>
      </c>
      <c r="D79" s="32" t="n"/>
      <c r="E79" s="33" t="n"/>
      <c r="F79" s="34" t="inlineStr">
        <is>
          <t>▶ Watch</t>
        </is>
      </c>
      <c r="G79" s="34" t="inlineStr">
        <is>
          <t>Questions</t>
        </is>
      </c>
      <c r="H79" s="34" t="inlineStr">
        <is>
          <t>Answers</t>
        </is>
      </c>
      <c r="I79" s="33" t="inlineStr">
        <is>
          <t>Sequences and Series (Yr 2)</t>
        </is>
      </c>
      <c r="J79" s="34" t="inlineStr">
        <is>
          <t>Questions</t>
        </is>
      </c>
      <c r="K79" s="34" t="inlineStr">
        <is>
          <t>Marks</t>
        </is>
      </c>
      <c r="L79" s="34" t="inlineStr">
        <is>
          <t>Answers</t>
        </is>
      </c>
      <c r="M79" s="29" t="inlineStr">
        <is>
          <t>Pure 2 Ch3</t>
        </is>
      </c>
      <c r="N79" s="34" t="inlineStr">
        <is>
          <t>Set 1 of 2</t>
        </is>
      </c>
      <c r="O79" s="34" t="inlineStr">
        <is>
          <t>Marks</t>
        </is>
      </c>
      <c r="P79" t="inlineStr">
        <is>
          <t>P4</t>
        </is>
      </c>
    </row>
    <row r="80" outlineLevel="1" ht="20" customHeight="1">
      <c r="A80" s="29" t="inlineStr">
        <is>
          <t>P4.3</t>
        </is>
      </c>
      <c r="B80" s="30" t="inlineStr">
        <is>
          <t>Sigma notation</t>
        </is>
      </c>
      <c r="C80" s="35" t="n">
        <v>2</v>
      </c>
      <c r="D80" s="32" t="n"/>
      <c r="E80" s="33" t="n"/>
      <c r="F80" s="34" t="inlineStr">
        <is>
          <t>▶ Watch</t>
        </is>
      </c>
      <c r="G80" s="34" t="inlineStr">
        <is>
          <t>Questions</t>
        </is>
      </c>
      <c r="H80" s="34" t="inlineStr">
        <is>
          <t>Answers</t>
        </is>
      </c>
      <c r="I80" s="33" t="inlineStr">
        <is>
          <t>Sequences and Series (Yr 2)</t>
        </is>
      </c>
      <c r="J80" s="34" t="inlineStr">
        <is>
          <t>Questions</t>
        </is>
      </c>
      <c r="K80" s="34" t="inlineStr">
        <is>
          <t>Marks</t>
        </is>
      </c>
      <c r="L80" s="34" t="inlineStr">
        <is>
          <t>Answers</t>
        </is>
      </c>
      <c r="M80" s="29" t="inlineStr">
        <is>
          <t>Pure 2 Ch3</t>
        </is>
      </c>
      <c r="N80" s="34" t="inlineStr">
        <is>
          <t>Set 1 of 2</t>
        </is>
      </c>
      <c r="O80" s="34" t="inlineStr">
        <is>
          <t>Marks</t>
        </is>
      </c>
      <c r="P80" t="inlineStr">
        <is>
          <t>P4</t>
        </is>
      </c>
    </row>
    <row r="81" outlineLevel="1" ht="20" customHeight="1">
      <c r="A81" s="29" t="inlineStr">
        <is>
          <t>P4.4</t>
        </is>
      </c>
      <c r="B81" s="30" t="inlineStr">
        <is>
          <t>Arithmetic sequences</t>
        </is>
      </c>
      <c r="C81" s="35" t="n">
        <v>2</v>
      </c>
      <c r="D81" s="32" t="n"/>
      <c r="E81" s="33" t="n"/>
      <c r="F81" s="34" t="inlineStr">
        <is>
          <t>▶ Watch</t>
        </is>
      </c>
      <c r="G81" s="34" t="inlineStr">
        <is>
          <t>Questions</t>
        </is>
      </c>
      <c r="H81" s="34" t="inlineStr">
        <is>
          <t>Answers</t>
        </is>
      </c>
      <c r="I81" s="33" t="inlineStr">
        <is>
          <t>Arithmetic Sequences (Yr 2)</t>
        </is>
      </c>
      <c r="J81" s="34" t="inlineStr">
        <is>
          <t>Questions</t>
        </is>
      </c>
      <c r="K81" s="34" t="inlineStr">
        <is>
          <t>Marks</t>
        </is>
      </c>
      <c r="L81" s="34" t="inlineStr">
        <is>
          <t>Answers</t>
        </is>
      </c>
      <c r="M81" s="29" t="inlineStr">
        <is>
          <t>Pure 2 Ch3</t>
        </is>
      </c>
      <c r="N81" s="34" t="inlineStr">
        <is>
          <t>Set 1 of 2</t>
        </is>
      </c>
      <c r="O81" s="34" t="inlineStr">
        <is>
          <t>Marks</t>
        </is>
      </c>
      <c r="P81" t="inlineStr">
        <is>
          <t>P4</t>
        </is>
      </c>
    </row>
    <row r="82" outlineLevel="1" ht="20" customHeight="1">
      <c r="A82" s="29" t="inlineStr">
        <is>
          <t>P4.4</t>
        </is>
      </c>
      <c r="B82" s="30" t="inlineStr">
        <is>
          <t>Arithmetic series (incl. proof of the sum formula)</t>
        </is>
      </c>
      <c r="C82" s="35" t="n">
        <v>2</v>
      </c>
      <c r="D82" s="32" t="n"/>
      <c r="E82" s="33" t="n"/>
      <c r="F82" s="34" t="inlineStr">
        <is>
          <t>▶ Watch</t>
        </is>
      </c>
      <c r="G82" s="34" t="inlineStr">
        <is>
          <t>Questions</t>
        </is>
      </c>
      <c r="H82" s="34" t="inlineStr">
        <is>
          <t>Answers</t>
        </is>
      </c>
      <c r="I82" s="33" t="inlineStr">
        <is>
          <t>Arithmetic Sequences (Yr 2)</t>
        </is>
      </c>
      <c r="J82" s="34" t="inlineStr">
        <is>
          <t>Questions</t>
        </is>
      </c>
      <c r="K82" s="34" t="inlineStr">
        <is>
          <t>Marks</t>
        </is>
      </c>
      <c r="L82" s="34" t="inlineStr">
        <is>
          <t>Answers</t>
        </is>
      </c>
      <c r="M82" s="29" t="inlineStr">
        <is>
          <t>Pure 2 Ch3</t>
        </is>
      </c>
      <c r="N82" s="34" t="inlineStr">
        <is>
          <t>Set 1 of 2</t>
        </is>
      </c>
      <c r="O82" s="34" t="inlineStr">
        <is>
          <t>Marks</t>
        </is>
      </c>
      <c r="P82" t="inlineStr">
        <is>
          <t>P4</t>
        </is>
      </c>
    </row>
    <row r="83" outlineLevel="1" ht="20" customHeight="1">
      <c r="A83" s="29" t="inlineStr">
        <is>
          <t>P4.5</t>
        </is>
      </c>
      <c r="B83" s="30" t="inlineStr">
        <is>
          <t>Geometric sequences</t>
        </is>
      </c>
      <c r="C83" s="35" t="n">
        <v>2</v>
      </c>
      <c r="D83" s="32" t="n"/>
      <c r="E83" s="33" t="n"/>
      <c r="F83" s="34" t="inlineStr">
        <is>
          <t>▶ Watch</t>
        </is>
      </c>
      <c r="G83" s="34" t="inlineStr">
        <is>
          <t>Questions</t>
        </is>
      </c>
      <c r="H83" s="34" t="inlineStr">
        <is>
          <t>Answers</t>
        </is>
      </c>
      <c r="I83" s="33" t="inlineStr">
        <is>
          <t>Geometric Series (Yr 2)</t>
        </is>
      </c>
      <c r="J83" s="34" t="inlineStr">
        <is>
          <t>Questions</t>
        </is>
      </c>
      <c r="K83" s="34" t="inlineStr">
        <is>
          <t>Marks</t>
        </is>
      </c>
      <c r="L83" s="34" t="inlineStr">
        <is>
          <t>Answers</t>
        </is>
      </c>
      <c r="M83" s="29" t="inlineStr">
        <is>
          <t>Pure 2 Ch3</t>
        </is>
      </c>
      <c r="N83" s="34" t="inlineStr">
        <is>
          <t>Set 1 of 2</t>
        </is>
      </c>
      <c r="O83" s="34" t="inlineStr">
        <is>
          <t>Marks</t>
        </is>
      </c>
      <c r="P83" t="inlineStr">
        <is>
          <t>P4</t>
        </is>
      </c>
    </row>
    <row r="84" outlineLevel="1" ht="32" customHeight="1">
      <c r="A84" s="29" t="inlineStr">
        <is>
          <t>P4.5</t>
        </is>
      </c>
      <c r="B84" s="30" t="inlineStr">
        <is>
          <t>Geometric series (incl. proof of the sum formula, using logs to find n)</t>
        </is>
      </c>
      <c r="C84" s="35" t="n">
        <v>2</v>
      </c>
      <c r="D84" s="32" t="n"/>
      <c r="E84" s="33" t="n"/>
      <c r="F84" s="34" t="inlineStr">
        <is>
          <t>▶ Watch</t>
        </is>
      </c>
      <c r="G84" s="34" t="inlineStr">
        <is>
          <t>Questions</t>
        </is>
      </c>
      <c r="H84" s="34" t="inlineStr">
        <is>
          <t>Answers</t>
        </is>
      </c>
      <c r="I84" s="33" t="inlineStr">
        <is>
          <t>Geometric Series (Yr 2)</t>
        </is>
      </c>
      <c r="J84" s="34" t="inlineStr">
        <is>
          <t>Questions</t>
        </is>
      </c>
      <c r="K84" s="34" t="inlineStr">
        <is>
          <t>Marks</t>
        </is>
      </c>
      <c r="L84" s="34" t="inlineStr">
        <is>
          <t>Answers</t>
        </is>
      </c>
      <c r="M84" s="29" t="inlineStr">
        <is>
          <t>Pure 2 Ch3</t>
        </is>
      </c>
      <c r="N84" s="34" t="inlineStr">
        <is>
          <t>Set 1 of 2</t>
        </is>
      </c>
      <c r="O84" s="34" t="inlineStr">
        <is>
          <t>Marks</t>
        </is>
      </c>
      <c r="P84" t="inlineStr">
        <is>
          <t>P4</t>
        </is>
      </c>
    </row>
    <row r="85" outlineLevel="1" ht="20" customHeight="1">
      <c r="A85" s="29" t="inlineStr">
        <is>
          <t>P4.5</t>
        </is>
      </c>
      <c r="B85" s="30" t="inlineStr">
        <is>
          <t>Sum to infinity and convergence (|r| &lt; 1)</t>
        </is>
      </c>
      <c r="C85" s="35" t="n">
        <v>2</v>
      </c>
      <c r="D85" s="32" t="n"/>
      <c r="E85" s="33" t="n"/>
      <c r="F85" s="34" t="inlineStr">
        <is>
          <t>▶ Watch</t>
        </is>
      </c>
      <c r="G85" s="34" t="inlineStr">
        <is>
          <t>Questions</t>
        </is>
      </c>
      <c r="H85" s="34" t="inlineStr">
        <is>
          <t>Answers</t>
        </is>
      </c>
      <c r="I85" s="33" t="inlineStr">
        <is>
          <t>Geometric Series (Yr 2)</t>
        </is>
      </c>
      <c r="J85" s="34" t="inlineStr">
        <is>
          <t>Questions</t>
        </is>
      </c>
      <c r="K85" s="34" t="inlineStr">
        <is>
          <t>Marks</t>
        </is>
      </c>
      <c r="L85" s="34" t="inlineStr">
        <is>
          <t>Answers</t>
        </is>
      </c>
      <c r="M85" s="29" t="inlineStr">
        <is>
          <t>Pure 2 Ch3</t>
        </is>
      </c>
      <c r="N85" s="34" t="inlineStr">
        <is>
          <t>Set 1 of 2</t>
        </is>
      </c>
      <c r="O85" s="34" t="inlineStr">
        <is>
          <t>Marks</t>
        </is>
      </c>
      <c r="P85" t="inlineStr">
        <is>
          <t>P4</t>
        </is>
      </c>
    </row>
    <row r="86" outlineLevel="1" ht="20" customHeight="1">
      <c r="A86" s="29" t="inlineStr">
        <is>
          <t>P4.6</t>
        </is>
      </c>
      <c r="B86" s="30" t="inlineStr">
        <is>
          <t>Modelling with sequences and series</t>
        </is>
      </c>
      <c r="C86" s="35" t="n">
        <v>2</v>
      </c>
      <c r="D86" s="32" t="n"/>
      <c r="E86" s="33" t="n"/>
      <c r="F86" s="34" t="inlineStr">
        <is>
          <t>▶ Watch</t>
        </is>
      </c>
      <c r="G86" s="34" t="inlineStr">
        <is>
          <t>Questions</t>
        </is>
      </c>
      <c r="H86" s="34" t="inlineStr">
        <is>
          <t>Answers</t>
        </is>
      </c>
      <c r="I86" s="33" t="inlineStr">
        <is>
          <t>Geometric Series (Yr 2)</t>
        </is>
      </c>
      <c r="J86" s="34" t="inlineStr">
        <is>
          <t>Questions</t>
        </is>
      </c>
      <c r="K86" s="34" t="inlineStr">
        <is>
          <t>Marks</t>
        </is>
      </c>
      <c r="L86" s="34" t="inlineStr">
        <is>
          <t>Answers</t>
        </is>
      </c>
      <c r="M86" s="29" t="inlineStr">
        <is>
          <t>Pure 2 Ch3</t>
        </is>
      </c>
      <c r="N86" s="34" t="inlineStr">
        <is>
          <t>Set 1 of 2</t>
        </is>
      </c>
      <c r="O86" s="34" t="inlineStr">
        <is>
          <t>Marks</t>
        </is>
      </c>
      <c r="P86" t="inlineStr">
        <is>
          <t>P4</t>
        </is>
      </c>
    </row>
    <row r="87" ht="10" customHeight="1"/>
    <row r="88" ht="26" customHeight="1">
      <c r="A88" s="25" t="inlineStr">
        <is>
          <t>5</t>
        </is>
      </c>
      <c r="B88" s="26" t="inlineStr">
        <is>
          <t>Trigonometry</t>
        </is>
      </c>
      <c r="C88" s="27" t="n"/>
      <c r="D88" s="27" t="n"/>
      <c r="E88" s="28" t="inlineStr">
        <is>
          <t>25 topics  ·  Year 1: 10  ·  Year 2: 15</t>
        </is>
      </c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</row>
    <row r="89" outlineLevel="1" ht="20" customHeight="1">
      <c r="A89" s="29" t="inlineStr">
        <is>
          <t>P5.1</t>
        </is>
      </c>
      <c r="B89" s="30" t="inlineStr">
        <is>
          <t>The cosine rule</t>
        </is>
      </c>
      <c r="C89" s="31" t="n">
        <v>1</v>
      </c>
      <c r="D89" s="32" t="n"/>
      <c r="E89" s="33" t="n"/>
      <c r="F89" s="34" t="inlineStr">
        <is>
          <t>▶ Watch</t>
        </is>
      </c>
      <c r="G89" s="34" t="inlineStr">
        <is>
          <t>Questions</t>
        </is>
      </c>
      <c r="H89" s="34" t="inlineStr">
        <is>
          <t>Answers</t>
        </is>
      </c>
      <c r="I89" s="33" t="inlineStr">
        <is>
          <t>Sine and Cosine Rule</t>
        </is>
      </c>
      <c r="J89" s="34" t="inlineStr">
        <is>
          <t>Questions</t>
        </is>
      </c>
      <c r="K89" s="34" t="inlineStr">
        <is>
          <t>Marks</t>
        </is>
      </c>
      <c r="L89" s="34" t="inlineStr">
        <is>
          <t>Answers</t>
        </is>
      </c>
      <c r="M89" s="29" t="inlineStr">
        <is>
          <t>Pure 1 Ch9</t>
        </is>
      </c>
      <c r="N89" s="34" t="inlineStr">
        <is>
          <t>Questions</t>
        </is>
      </c>
      <c r="O89" s="34" t="inlineStr">
        <is>
          <t>Marks</t>
        </is>
      </c>
      <c r="P89" t="inlineStr">
        <is>
          <t>P5</t>
        </is>
      </c>
    </row>
    <row r="90" outlineLevel="1" ht="20" customHeight="1">
      <c r="A90" s="29" t="inlineStr">
        <is>
          <t>P5.1</t>
        </is>
      </c>
      <c r="B90" s="30" t="inlineStr">
        <is>
          <t>The sine rule (incl. the ambiguous case)</t>
        </is>
      </c>
      <c r="C90" s="31" t="n">
        <v>1</v>
      </c>
      <c r="D90" s="32" t="n"/>
      <c r="E90" s="33" t="n"/>
      <c r="F90" s="34" t="inlineStr">
        <is>
          <t>▶ Watch</t>
        </is>
      </c>
      <c r="G90" s="34" t="inlineStr">
        <is>
          <t>Questions</t>
        </is>
      </c>
      <c r="H90" s="34" t="inlineStr">
        <is>
          <t>Answers</t>
        </is>
      </c>
      <c r="I90" s="33" t="inlineStr">
        <is>
          <t>Sine and Cosine Rule</t>
        </is>
      </c>
      <c r="J90" s="34" t="inlineStr">
        <is>
          <t>Questions</t>
        </is>
      </c>
      <c r="K90" s="34" t="inlineStr">
        <is>
          <t>Marks</t>
        </is>
      </c>
      <c r="L90" s="34" t="inlineStr">
        <is>
          <t>Answers</t>
        </is>
      </c>
      <c r="M90" s="29" t="inlineStr">
        <is>
          <t>Pure 1 Ch9</t>
        </is>
      </c>
      <c r="N90" s="34" t="inlineStr">
        <is>
          <t>Questions</t>
        </is>
      </c>
      <c r="O90" s="34" t="inlineStr">
        <is>
          <t>Marks</t>
        </is>
      </c>
      <c r="P90" t="inlineStr">
        <is>
          <t>P5</t>
        </is>
      </c>
    </row>
    <row r="91" outlineLevel="1" ht="20" customHeight="1">
      <c r="A91" s="29" t="inlineStr">
        <is>
          <t>P5.1</t>
        </is>
      </c>
      <c r="B91" s="30" t="inlineStr">
        <is>
          <t>Area of a triangle ½ab sin C</t>
        </is>
      </c>
      <c r="C91" s="31" t="n">
        <v>1</v>
      </c>
      <c r="D91" s="32" t="n"/>
      <c r="E91" s="33" t="n"/>
      <c r="F91" s="34" t="inlineStr">
        <is>
          <t>▶ Watch</t>
        </is>
      </c>
      <c r="G91" s="34" t="inlineStr">
        <is>
          <t>Questions</t>
        </is>
      </c>
      <c r="H91" s="34" t="inlineStr">
        <is>
          <t>Answers</t>
        </is>
      </c>
      <c r="I91" s="33" t="inlineStr">
        <is>
          <t>Sine and Cosine Rule</t>
        </is>
      </c>
      <c r="J91" s="34" t="inlineStr">
        <is>
          <t>Questions</t>
        </is>
      </c>
      <c r="K91" s="34" t="inlineStr">
        <is>
          <t>Marks</t>
        </is>
      </c>
      <c r="L91" s="34" t="inlineStr">
        <is>
          <t>Answers</t>
        </is>
      </c>
      <c r="M91" s="29" t="inlineStr">
        <is>
          <t>Pure 1 Ch9</t>
        </is>
      </c>
      <c r="N91" s="34" t="inlineStr">
        <is>
          <t>Questions</t>
        </is>
      </c>
      <c r="O91" s="34" t="inlineStr">
        <is>
          <t>Marks</t>
        </is>
      </c>
      <c r="P91" t="inlineStr">
        <is>
          <t>P5</t>
        </is>
      </c>
    </row>
    <row r="92" outlineLevel="1" ht="20" customHeight="1">
      <c r="A92" s="29" t="inlineStr">
        <is>
          <t>P5.1</t>
        </is>
      </c>
      <c r="B92" s="30" t="inlineStr">
        <is>
          <t>Solving triangle problems (bearings, multi-step)</t>
        </is>
      </c>
      <c r="C92" s="31" t="n">
        <v>1</v>
      </c>
      <c r="D92" s="32" t="n"/>
      <c r="E92" s="33" t="n"/>
      <c r="F92" s="34" t="inlineStr">
        <is>
          <t>▶ Watch</t>
        </is>
      </c>
      <c r="G92" s="34" t="inlineStr">
        <is>
          <t>Questions</t>
        </is>
      </c>
      <c r="H92" s="34" t="inlineStr">
        <is>
          <t>Answers</t>
        </is>
      </c>
      <c r="I92" s="33" t="inlineStr">
        <is>
          <t>Sine and Cosine Rule</t>
        </is>
      </c>
      <c r="J92" s="34" t="inlineStr">
        <is>
          <t>Questions</t>
        </is>
      </c>
      <c r="K92" s="34" t="inlineStr">
        <is>
          <t>Marks</t>
        </is>
      </c>
      <c r="L92" s="34" t="inlineStr">
        <is>
          <t>Answers</t>
        </is>
      </c>
      <c r="M92" s="29" t="inlineStr">
        <is>
          <t>Pure 1 Ch9</t>
        </is>
      </c>
      <c r="N92" s="34" t="inlineStr">
        <is>
          <t>Questions</t>
        </is>
      </c>
      <c r="O92" s="34" t="inlineStr">
        <is>
          <t>Marks</t>
        </is>
      </c>
      <c r="P92" t="inlineStr">
        <is>
          <t>P5</t>
        </is>
      </c>
    </row>
    <row r="93" outlineLevel="1" ht="32" customHeight="1">
      <c r="A93" s="29" t="inlineStr">
        <is>
          <t>P5.1</t>
        </is>
      </c>
      <c r="B93" s="30" t="inlineStr">
        <is>
          <t>Trig ratios for any angle (unit circle, all four quadrants)</t>
        </is>
      </c>
      <c r="C93" s="31" t="n">
        <v>1</v>
      </c>
      <c r="D93" s="32" t="n"/>
      <c r="E93" s="33" t="n"/>
      <c r="F93" s="34" t="inlineStr">
        <is>
          <t>▶ Watch</t>
        </is>
      </c>
      <c r="G93" s="34" t="inlineStr">
        <is>
          <t>Questions</t>
        </is>
      </c>
      <c r="H93" s="34" t="inlineStr">
        <is>
          <t>Answers</t>
        </is>
      </c>
      <c r="I93" s="36" t="inlineStr">
        <is>
          <t>none for this topic</t>
        </is>
      </c>
      <c r="J93" s="37" t="n"/>
      <c r="K93" s="37" t="n"/>
      <c r="L93" s="37" t="n"/>
      <c r="M93" s="29" t="inlineStr">
        <is>
          <t>Pure 1 Ch10</t>
        </is>
      </c>
      <c r="N93" s="34" t="inlineStr">
        <is>
          <t>Questions</t>
        </is>
      </c>
      <c r="O93" s="34" t="inlineStr">
        <is>
          <t>Marks</t>
        </is>
      </c>
      <c r="P93" t="inlineStr">
        <is>
          <t>P5</t>
        </is>
      </c>
    </row>
    <row r="94" outlineLevel="1" ht="32" customHeight="1">
      <c r="A94" s="29" t="inlineStr">
        <is>
          <t>P5.1</t>
        </is>
      </c>
      <c r="B94" s="30" t="inlineStr">
        <is>
          <t>Radian measure</t>
        </is>
      </c>
      <c r="C94" s="35" t="n">
        <v>2</v>
      </c>
      <c r="D94" s="32" t="n"/>
      <c r="E94" s="33" t="n"/>
      <c r="F94" s="34" t="inlineStr">
        <is>
          <t>▶ Watch</t>
        </is>
      </c>
      <c r="G94" s="34" t="inlineStr">
        <is>
          <t>Questions</t>
        </is>
      </c>
      <c r="H94" s="34" t="inlineStr">
        <is>
          <t>Answers</t>
        </is>
      </c>
      <c r="I94" s="33" t="inlineStr">
        <is>
          <t>Arc Length and Sector Area (Yr 2)</t>
        </is>
      </c>
      <c r="J94" s="34" t="inlineStr">
        <is>
          <t>Questions</t>
        </is>
      </c>
      <c r="K94" s="34" t="inlineStr">
        <is>
          <t>Marks</t>
        </is>
      </c>
      <c r="L94" s="34" t="inlineStr">
        <is>
          <t>Answers</t>
        </is>
      </c>
      <c r="M94" s="29" t="inlineStr">
        <is>
          <t>Pure 2 Ch5</t>
        </is>
      </c>
      <c r="N94" s="34" t="inlineStr">
        <is>
          <t>Questions</t>
        </is>
      </c>
      <c r="O94" s="34" t="inlineStr">
        <is>
          <t>Marks</t>
        </is>
      </c>
      <c r="P94" t="inlineStr">
        <is>
          <t>P5</t>
        </is>
      </c>
    </row>
    <row r="95" outlineLevel="1" ht="32" customHeight="1">
      <c r="A95" s="29" t="inlineStr">
        <is>
          <t>P5.1</t>
        </is>
      </c>
      <c r="B95" s="30" t="inlineStr">
        <is>
          <t>Arc length and sector area</t>
        </is>
      </c>
      <c r="C95" s="35" t="n">
        <v>2</v>
      </c>
      <c r="D95" s="32" t="n"/>
      <c r="E95" s="33" t="n"/>
      <c r="F95" s="34" t="inlineStr">
        <is>
          <t>▶ Watch</t>
        </is>
      </c>
      <c r="G95" s="34" t="inlineStr">
        <is>
          <t>Questions</t>
        </is>
      </c>
      <c r="H95" s="34" t="inlineStr">
        <is>
          <t>Answers</t>
        </is>
      </c>
      <c r="I95" s="33" t="inlineStr">
        <is>
          <t>Arc Length and Sector Area (Yr 2)</t>
        </is>
      </c>
      <c r="J95" s="34" t="inlineStr">
        <is>
          <t>Questions</t>
        </is>
      </c>
      <c r="K95" s="34" t="inlineStr">
        <is>
          <t>Marks</t>
        </is>
      </c>
      <c r="L95" s="34" t="inlineStr">
        <is>
          <t>Answers</t>
        </is>
      </c>
      <c r="M95" s="29" t="inlineStr">
        <is>
          <t>Pure 2 Ch5</t>
        </is>
      </c>
      <c r="N95" s="34" t="inlineStr">
        <is>
          <t>Questions</t>
        </is>
      </c>
      <c r="O95" s="34" t="inlineStr">
        <is>
          <t>Marks</t>
        </is>
      </c>
      <c r="P95" t="inlineStr">
        <is>
          <t>P5</t>
        </is>
      </c>
    </row>
    <row r="96" outlineLevel="1" ht="20" customHeight="1">
      <c r="A96" s="29" t="inlineStr">
        <is>
          <t>P5.1</t>
        </is>
      </c>
      <c r="B96" s="30" t="inlineStr">
        <is>
          <t>Areas of segments</t>
        </is>
      </c>
      <c r="C96" s="35" t="n">
        <v>2</v>
      </c>
      <c r="D96" s="32" t="n"/>
      <c r="E96" s="33" t="n"/>
      <c r="F96" s="34" t="inlineStr">
        <is>
          <t>▶ Watch</t>
        </is>
      </c>
      <c r="G96" s="34" t="inlineStr">
        <is>
          <t>Questions</t>
        </is>
      </c>
      <c r="H96" s="34" t="inlineStr">
        <is>
          <t>Answers</t>
        </is>
      </c>
      <c r="I96" s="36" t="inlineStr">
        <is>
          <t>none for this topic</t>
        </is>
      </c>
      <c r="J96" s="37" t="n"/>
      <c r="K96" s="37" t="n"/>
      <c r="L96" s="37" t="n"/>
      <c r="M96" s="29" t="inlineStr">
        <is>
          <t>Pure 2 Ch5</t>
        </is>
      </c>
      <c r="N96" s="34" t="inlineStr">
        <is>
          <t>Questions</t>
        </is>
      </c>
      <c r="O96" s="34" t="inlineStr">
        <is>
          <t>Marks</t>
        </is>
      </c>
      <c r="P96" t="inlineStr">
        <is>
          <t>P5</t>
        </is>
      </c>
    </row>
    <row r="97" outlineLevel="1" ht="32" customHeight="1">
      <c r="A97" s="29" t="inlineStr">
        <is>
          <t>P5.2</t>
        </is>
      </c>
      <c r="B97" s="30" t="inlineStr">
        <is>
          <t>Small angle approximations</t>
        </is>
      </c>
      <c r="C97" s="35" t="n">
        <v>2</v>
      </c>
      <c r="D97" s="32" t="n"/>
      <c r="E97" s="33" t="n"/>
      <c r="F97" s="34" t="inlineStr">
        <is>
          <t>▶ Watch</t>
        </is>
      </c>
      <c r="G97" s="34" t="inlineStr">
        <is>
          <t>Questions</t>
        </is>
      </c>
      <c r="H97" s="34" t="inlineStr">
        <is>
          <t>Answers</t>
        </is>
      </c>
      <c r="I97" s="33" t="inlineStr">
        <is>
          <t>Small Angle Approximation (Yr 2)</t>
        </is>
      </c>
      <c r="J97" s="34" t="inlineStr">
        <is>
          <t>Questions</t>
        </is>
      </c>
      <c r="K97" s="34" t="inlineStr">
        <is>
          <t>Marks</t>
        </is>
      </c>
      <c r="L97" s="34" t="inlineStr">
        <is>
          <t>Answers</t>
        </is>
      </c>
      <c r="M97" s="29" t="inlineStr">
        <is>
          <t>Pure 2 Ch5</t>
        </is>
      </c>
      <c r="N97" s="34" t="inlineStr">
        <is>
          <t>Questions</t>
        </is>
      </c>
      <c r="O97" s="34" t="inlineStr">
        <is>
          <t>Marks</t>
        </is>
      </c>
      <c r="P97" t="inlineStr">
        <is>
          <t>P5</t>
        </is>
      </c>
    </row>
    <row r="98" outlineLevel="1" ht="20" customHeight="1">
      <c r="A98" s="29" t="inlineStr">
        <is>
          <t>P5.3</t>
        </is>
      </c>
      <c r="B98" s="30" t="inlineStr">
        <is>
          <t>Graphs of sin, cos and tan (symmetry and periodicity)</t>
        </is>
      </c>
      <c r="C98" s="31" t="n">
        <v>1</v>
      </c>
      <c r="D98" s="32" t="n"/>
      <c r="E98" s="33" t="n"/>
      <c r="F98" s="34" t="inlineStr">
        <is>
          <t>▶ Watch</t>
        </is>
      </c>
      <c r="G98" s="34" t="inlineStr">
        <is>
          <t>Questions</t>
        </is>
      </c>
      <c r="H98" s="34" t="inlineStr">
        <is>
          <t>Answers</t>
        </is>
      </c>
      <c r="I98" s="36" t="inlineStr">
        <is>
          <t>none for this topic</t>
        </is>
      </c>
      <c r="J98" s="37" t="n"/>
      <c r="K98" s="37" t="n"/>
      <c r="L98" s="37" t="n"/>
      <c r="M98" s="29" t="inlineStr">
        <is>
          <t>Pure 1 Ch9</t>
        </is>
      </c>
      <c r="N98" s="34" t="inlineStr">
        <is>
          <t>Questions</t>
        </is>
      </c>
      <c r="O98" s="34" t="inlineStr">
        <is>
          <t>Marks</t>
        </is>
      </c>
      <c r="P98" t="inlineStr">
        <is>
          <t>P5</t>
        </is>
      </c>
    </row>
    <row r="99" outlineLevel="1" ht="20" customHeight="1">
      <c r="A99" s="29" t="inlineStr">
        <is>
          <t>P5.3</t>
        </is>
      </c>
      <c r="B99" s="30" t="inlineStr">
        <is>
          <t>Transforming trig graphs</t>
        </is>
      </c>
      <c r="C99" s="31" t="n">
        <v>1</v>
      </c>
      <c r="D99" s="32" t="n"/>
      <c r="E99" s="33" t="n"/>
      <c r="F99" s="34" t="inlineStr">
        <is>
          <t>▶ Watch</t>
        </is>
      </c>
      <c r="G99" s="34" t="inlineStr">
        <is>
          <t>Questions</t>
        </is>
      </c>
      <c r="H99" s="34" t="inlineStr">
        <is>
          <t>Answers</t>
        </is>
      </c>
      <c r="I99" s="33" t="inlineStr">
        <is>
          <t>Modelling with Trig (Yr 2)</t>
        </is>
      </c>
      <c r="J99" s="34" t="inlineStr">
        <is>
          <t>Questions</t>
        </is>
      </c>
      <c r="K99" s="34" t="inlineStr">
        <is>
          <t>Marks</t>
        </is>
      </c>
      <c r="L99" s="34" t="inlineStr">
        <is>
          <t>Answers</t>
        </is>
      </c>
      <c r="M99" s="29" t="inlineStr">
        <is>
          <t>Pure 1 Ch9</t>
        </is>
      </c>
      <c r="N99" s="34" t="inlineStr">
        <is>
          <t>Questions</t>
        </is>
      </c>
      <c r="O99" s="34" t="inlineStr">
        <is>
          <t>Marks</t>
        </is>
      </c>
      <c r="P99" t="inlineStr">
        <is>
          <t>P5</t>
        </is>
      </c>
    </row>
    <row r="100" outlineLevel="1" ht="20" customHeight="1">
      <c r="A100" s="29" t="inlineStr">
        <is>
          <t>P5.3</t>
        </is>
      </c>
      <c r="B100" s="30" t="inlineStr">
        <is>
          <t>Exact values of sin, cos and tan (degrees and radians)</t>
        </is>
      </c>
      <c r="C100" s="35" t="n">
        <v>2</v>
      </c>
      <c r="D100" s="32" t="n"/>
      <c r="E100" s="33" t="n"/>
      <c r="F100" s="34" t="inlineStr">
        <is>
          <t>▶ Watch</t>
        </is>
      </c>
      <c r="G100" s="34" t="inlineStr">
        <is>
          <t>Questions</t>
        </is>
      </c>
      <c r="H100" s="34" t="inlineStr">
        <is>
          <t>Answers</t>
        </is>
      </c>
      <c r="I100" s="36" t="inlineStr">
        <is>
          <t>none for this topic</t>
        </is>
      </c>
      <c r="J100" s="37" t="n"/>
      <c r="K100" s="37" t="n"/>
      <c r="L100" s="37" t="n"/>
      <c r="M100" s="29" t="inlineStr">
        <is>
          <t>Pure 1 Ch10</t>
        </is>
      </c>
      <c r="N100" s="34" t="inlineStr">
        <is>
          <t>Questions</t>
        </is>
      </c>
      <c r="O100" s="34" t="inlineStr">
        <is>
          <t>Marks</t>
        </is>
      </c>
      <c r="P100" t="inlineStr">
        <is>
          <t>P5</t>
        </is>
      </c>
    </row>
    <row r="101" outlineLevel="1" ht="20" customHeight="1">
      <c r="A101" s="29" t="inlineStr">
        <is>
          <t>P5.4</t>
        </is>
      </c>
      <c r="B101" s="30" t="inlineStr">
        <is>
          <t>Sec, cosec and cot: definitions and exact values</t>
        </is>
      </c>
      <c r="C101" s="35" t="n">
        <v>2</v>
      </c>
      <c r="D101" s="32" t="n"/>
      <c r="E101" s="33" t="n"/>
      <c r="F101" s="34" t="inlineStr">
        <is>
          <t>▶ Watch</t>
        </is>
      </c>
      <c r="G101" s="34" t="inlineStr">
        <is>
          <t>Questions</t>
        </is>
      </c>
      <c r="H101" s="34" t="inlineStr">
        <is>
          <t>Answers</t>
        </is>
      </c>
      <c r="I101" s="36" t="inlineStr">
        <is>
          <t>none for this topic</t>
        </is>
      </c>
      <c r="J101" s="37" t="n"/>
      <c r="K101" s="37" t="n"/>
      <c r="L101" s="37" t="n"/>
      <c r="M101" s="29" t="inlineStr">
        <is>
          <t>Pure 2 Ch6</t>
        </is>
      </c>
      <c r="N101" s="34" t="inlineStr">
        <is>
          <t>Set 1 of 2</t>
        </is>
      </c>
      <c r="O101" s="34" t="inlineStr">
        <is>
          <t>Marks</t>
        </is>
      </c>
      <c r="P101" t="inlineStr">
        <is>
          <t>P5</t>
        </is>
      </c>
    </row>
    <row r="102" outlineLevel="1" ht="20" customHeight="1">
      <c r="A102" s="29" t="inlineStr">
        <is>
          <t>P5.4</t>
        </is>
      </c>
      <c r="B102" s="30" t="inlineStr">
        <is>
          <t>Graphs of sec x, cosec x and cot x</t>
        </is>
      </c>
      <c r="C102" s="35" t="n">
        <v>2</v>
      </c>
      <c r="D102" s="32" t="n"/>
      <c r="E102" s="33" t="n"/>
      <c r="F102" s="34" t="inlineStr">
        <is>
          <t>▶ Watch</t>
        </is>
      </c>
      <c r="G102" s="34" t="inlineStr">
        <is>
          <t>Questions</t>
        </is>
      </c>
      <c r="H102" s="34" t="inlineStr">
        <is>
          <t>Answers</t>
        </is>
      </c>
      <c r="I102" s="36" t="inlineStr">
        <is>
          <t>none for this topic</t>
        </is>
      </c>
      <c r="J102" s="37" t="n"/>
      <c r="K102" s="37" t="n"/>
      <c r="L102" s="37" t="n"/>
      <c r="M102" s="29" t="inlineStr">
        <is>
          <t>Pure 2 Ch6</t>
        </is>
      </c>
      <c r="N102" s="34" t="inlineStr">
        <is>
          <t>Set 1 of 2</t>
        </is>
      </c>
      <c r="O102" s="34" t="inlineStr">
        <is>
          <t>Marks</t>
        </is>
      </c>
      <c r="P102" t="inlineStr">
        <is>
          <t>P5</t>
        </is>
      </c>
    </row>
    <row r="103" outlineLevel="1" ht="32" customHeight="1">
      <c r="A103" s="29" t="inlineStr">
        <is>
          <t>P5.4</t>
        </is>
      </c>
      <c r="B103" s="30" t="inlineStr">
        <is>
          <t>Inverse trig functions: arcsin, arccos, arctan (domain, range, graphs)</t>
        </is>
      </c>
      <c r="C103" s="35" t="n">
        <v>2</v>
      </c>
      <c r="D103" s="32" t="n"/>
      <c r="E103" s="33" t="n"/>
      <c r="F103" s="34" t="inlineStr">
        <is>
          <t>▶ Watch</t>
        </is>
      </c>
      <c r="G103" s="34" t="inlineStr">
        <is>
          <t>Questions</t>
        </is>
      </c>
      <c r="H103" s="34" t="inlineStr">
        <is>
          <t>Answers</t>
        </is>
      </c>
      <c r="I103" s="36" t="inlineStr">
        <is>
          <t>none for this topic</t>
        </is>
      </c>
      <c r="J103" s="37" t="n"/>
      <c r="K103" s="37" t="n"/>
      <c r="L103" s="37" t="n"/>
      <c r="M103" s="29" t="inlineStr">
        <is>
          <t>Pure 2 Ch6</t>
        </is>
      </c>
      <c r="N103" s="34" t="inlineStr">
        <is>
          <t>Set 1 of 2</t>
        </is>
      </c>
      <c r="O103" s="34" t="inlineStr">
        <is>
          <t>Marks</t>
        </is>
      </c>
      <c r="P103" t="inlineStr">
        <is>
          <t>P5</t>
        </is>
      </c>
    </row>
    <row r="104" outlineLevel="1" ht="32" customHeight="1">
      <c r="A104" s="29" t="inlineStr">
        <is>
          <t>P5.5</t>
        </is>
      </c>
      <c r="B104" s="30" t="inlineStr">
        <is>
          <t>Identities tan θ = sin θ / cos θ and sin²θ + cos²θ = 1 (incl. simple proofs)</t>
        </is>
      </c>
      <c r="C104" s="31" t="n">
        <v>1</v>
      </c>
      <c r="D104" s="32" t="n"/>
      <c r="E104" s="33" t="n"/>
      <c r="F104" s="34" t="inlineStr">
        <is>
          <t>▶ Watch</t>
        </is>
      </c>
      <c r="G104" s="34" t="inlineStr">
        <is>
          <t>Questions</t>
        </is>
      </c>
      <c r="H104" s="34" t="inlineStr">
        <is>
          <t>Answers</t>
        </is>
      </c>
      <c r="I104" s="33" t="inlineStr">
        <is>
          <t>Trigonometric Identities</t>
        </is>
      </c>
      <c r="J104" s="34" t="inlineStr">
        <is>
          <t>Questions</t>
        </is>
      </c>
      <c r="K104" s="34" t="inlineStr">
        <is>
          <t>Marks</t>
        </is>
      </c>
      <c r="L104" s="34" t="inlineStr">
        <is>
          <t>Answers</t>
        </is>
      </c>
      <c r="M104" s="29" t="inlineStr">
        <is>
          <t>Pure 1 Ch10</t>
        </is>
      </c>
      <c r="N104" s="34" t="inlineStr">
        <is>
          <t>Questions</t>
        </is>
      </c>
      <c r="O104" s="34" t="inlineStr">
        <is>
          <t>Marks</t>
        </is>
      </c>
      <c r="P104" t="inlineStr">
        <is>
          <t>P5</t>
        </is>
      </c>
    </row>
    <row r="105" outlineLevel="1" ht="32" customHeight="1">
      <c r="A105" s="29" t="inlineStr">
        <is>
          <t>P5.5</t>
        </is>
      </c>
      <c r="B105" s="30" t="inlineStr">
        <is>
          <t>Identities sec²θ = 1 + tan²θ and cosec²θ = 1 + cot²θ</t>
        </is>
      </c>
      <c r="C105" s="35" t="n">
        <v>2</v>
      </c>
      <c r="D105" s="32" t="n"/>
      <c r="E105" s="33" t="n"/>
      <c r="F105" s="34" t="inlineStr">
        <is>
          <t>▶ Watch</t>
        </is>
      </c>
      <c r="G105" s="34" t="inlineStr">
        <is>
          <t>Questions</t>
        </is>
      </c>
      <c r="H105" s="34" t="inlineStr">
        <is>
          <t>Answers</t>
        </is>
      </c>
      <c r="I105" s="33" t="inlineStr">
        <is>
          <t>Parametric Differentiation (Yr 2)</t>
        </is>
      </c>
      <c r="J105" s="34" t="inlineStr">
        <is>
          <t>Questions</t>
        </is>
      </c>
      <c r="K105" s="34" t="inlineStr">
        <is>
          <t>Marks</t>
        </is>
      </c>
      <c r="L105" s="34" t="inlineStr">
        <is>
          <t>Answers</t>
        </is>
      </c>
      <c r="M105" s="29" t="inlineStr">
        <is>
          <t>Pure 2 Ch6</t>
        </is>
      </c>
      <c r="N105" s="34" t="inlineStr">
        <is>
          <t>Set 1 of 2</t>
        </is>
      </c>
      <c r="O105" s="34" t="inlineStr">
        <is>
          <t>Marks</t>
        </is>
      </c>
      <c r="P105" t="inlineStr">
        <is>
          <t>P5</t>
        </is>
      </c>
    </row>
    <row r="106" outlineLevel="1" ht="32" customHeight="1">
      <c r="A106" s="29" t="inlineStr">
        <is>
          <t>P5.6</t>
        </is>
      </c>
      <c r="B106" s="30" t="inlineStr">
        <is>
          <t>Addition formulae: sin(A ± B), cos(A ± B), tan(A ± B) and their geometric proofs</t>
        </is>
      </c>
      <c r="C106" s="35" t="n">
        <v>2</v>
      </c>
      <c r="D106" s="32" t="n"/>
      <c r="E106" s="33" t="n"/>
      <c r="F106" s="34" t="inlineStr">
        <is>
          <t>▶ Watch</t>
        </is>
      </c>
      <c r="G106" s="34" t="inlineStr">
        <is>
          <t>Questions</t>
        </is>
      </c>
      <c r="H106" s="34" t="inlineStr">
        <is>
          <t>Answers</t>
        </is>
      </c>
      <c r="I106" s="33" t="inlineStr">
        <is>
          <t>Trigonometric Identities (Yr 2)</t>
        </is>
      </c>
      <c r="J106" s="34" t="inlineStr">
        <is>
          <t>Questions</t>
        </is>
      </c>
      <c r="K106" s="34" t="inlineStr">
        <is>
          <t>Marks</t>
        </is>
      </c>
      <c r="L106" s="34" t="inlineStr">
        <is>
          <t>Answers</t>
        </is>
      </c>
      <c r="M106" s="29" t="inlineStr">
        <is>
          <t>Pure 2 Ch7</t>
        </is>
      </c>
      <c r="N106" s="34" t="inlineStr">
        <is>
          <t>Set 1 of 2</t>
        </is>
      </c>
      <c r="O106" s="34" t="inlineStr">
        <is>
          <t>Marks</t>
        </is>
      </c>
      <c r="P106" t="inlineStr">
        <is>
          <t>P5</t>
        </is>
      </c>
    </row>
    <row r="107" outlineLevel="1" ht="20" customHeight="1">
      <c r="A107" s="29" t="inlineStr">
        <is>
          <t>P5.6</t>
        </is>
      </c>
      <c r="B107" s="30" t="inlineStr">
        <is>
          <t>Double angle formulae (incl. half angles)</t>
        </is>
      </c>
      <c r="C107" s="35" t="n">
        <v>2</v>
      </c>
      <c r="D107" s="32" t="n"/>
      <c r="E107" s="33" t="n"/>
      <c r="F107" s="34" t="inlineStr">
        <is>
          <t>▶ Watch</t>
        </is>
      </c>
      <c r="G107" s="34" t="inlineStr">
        <is>
          <t>Questions</t>
        </is>
      </c>
      <c r="H107" s="34" t="inlineStr">
        <is>
          <t>Answers</t>
        </is>
      </c>
      <c r="I107" s="33" t="inlineStr">
        <is>
          <t>Trigonometric Equations (Yr 2)</t>
        </is>
      </c>
      <c r="J107" s="34" t="inlineStr">
        <is>
          <t>Questions</t>
        </is>
      </c>
      <c r="K107" s="34" t="inlineStr">
        <is>
          <t>Marks</t>
        </is>
      </c>
      <c r="L107" s="34" t="inlineStr">
        <is>
          <t>Answers</t>
        </is>
      </c>
      <c r="M107" s="29" t="inlineStr">
        <is>
          <t>Pure 2 Ch7</t>
        </is>
      </c>
      <c r="N107" s="34" t="inlineStr">
        <is>
          <t>Set 1 of 2</t>
        </is>
      </c>
      <c r="O107" s="34" t="inlineStr">
        <is>
          <t>Marks</t>
        </is>
      </c>
      <c r="P107" t="inlineStr">
        <is>
          <t>P5</t>
        </is>
      </c>
    </row>
    <row r="108" outlineLevel="1" ht="20" customHeight="1">
      <c r="A108" s="29" t="inlineStr">
        <is>
          <t>P5.6</t>
        </is>
      </c>
      <c r="B108" s="30" t="inlineStr">
        <is>
          <t>a cos θ + b sin θ in the form R cos(θ ± α) or R sin(θ ± α)</t>
        </is>
      </c>
      <c r="C108" s="35" t="n">
        <v>2</v>
      </c>
      <c r="D108" s="32" t="n"/>
      <c r="E108" s="33" t="n"/>
      <c r="F108" s="34" t="inlineStr">
        <is>
          <t>▶ Watch</t>
        </is>
      </c>
      <c r="G108" s="34" t="inlineStr">
        <is>
          <t>Questions</t>
        </is>
      </c>
      <c r="H108" s="34" t="inlineStr">
        <is>
          <t>Answers</t>
        </is>
      </c>
      <c r="I108" s="33" t="inlineStr">
        <is>
          <t>Trigonometric Equations (Yr 2)</t>
        </is>
      </c>
      <c r="J108" s="34" t="inlineStr">
        <is>
          <t>Questions</t>
        </is>
      </c>
      <c r="K108" s="34" t="inlineStr">
        <is>
          <t>Marks</t>
        </is>
      </c>
      <c r="L108" s="34" t="inlineStr">
        <is>
          <t>Answers</t>
        </is>
      </c>
      <c r="M108" s="29" t="inlineStr">
        <is>
          <t>Pure 2 Ch7</t>
        </is>
      </c>
      <c r="N108" s="34" t="inlineStr">
        <is>
          <t>Set 1 of 2</t>
        </is>
      </c>
      <c r="O108" s="34" t="inlineStr">
        <is>
          <t>Marks</t>
        </is>
      </c>
      <c r="P108" t="inlineStr">
        <is>
          <t>P5</t>
        </is>
      </c>
    </row>
    <row r="109" outlineLevel="1" ht="20" customHeight="1">
      <c r="A109" s="29" t="inlineStr">
        <is>
          <t>P5.7</t>
        </is>
      </c>
      <c r="B109" s="30" t="inlineStr">
        <is>
          <t>Solving trig equations (incl. multiples of the angle)</t>
        </is>
      </c>
      <c r="C109" s="31" t="n">
        <v>1</v>
      </c>
      <c r="D109" s="32" t="n"/>
      <c r="E109" s="33" t="n"/>
      <c r="F109" s="34" t="inlineStr">
        <is>
          <t>▶ Watch</t>
        </is>
      </c>
      <c r="G109" s="34" t="inlineStr">
        <is>
          <t>Topic set</t>
        </is>
      </c>
      <c r="H109" s="34" t="inlineStr">
        <is>
          <t>Answers</t>
        </is>
      </c>
      <c r="I109" s="33" t="inlineStr">
        <is>
          <t>Trigonometric Equations</t>
        </is>
      </c>
      <c r="J109" s="34" t="inlineStr">
        <is>
          <t>Questions</t>
        </is>
      </c>
      <c r="K109" s="34" t="inlineStr">
        <is>
          <t>Marks</t>
        </is>
      </c>
      <c r="L109" s="34" t="inlineStr">
        <is>
          <t>Answers</t>
        </is>
      </c>
      <c r="M109" s="29" t="inlineStr">
        <is>
          <t>Pure 1 Ch10</t>
        </is>
      </c>
      <c r="N109" s="34" t="inlineStr">
        <is>
          <t>Questions</t>
        </is>
      </c>
      <c r="O109" s="34" t="inlineStr">
        <is>
          <t>Marks</t>
        </is>
      </c>
      <c r="P109" t="inlineStr">
        <is>
          <t>P5</t>
        </is>
      </c>
    </row>
    <row r="110" outlineLevel="1" ht="20" customHeight="1">
      <c r="A110" s="29" t="inlineStr">
        <is>
          <t>P5.7</t>
        </is>
      </c>
      <c r="B110" s="30" t="inlineStr">
        <is>
          <t>Harder trig equations (quadratics in sin, cos, tan)</t>
        </is>
      </c>
      <c r="C110" s="31" t="n">
        <v>1</v>
      </c>
      <c r="D110" s="32" t="n"/>
      <c r="E110" s="33" t="n"/>
      <c r="F110" s="34" t="inlineStr">
        <is>
          <t>▶ Watch</t>
        </is>
      </c>
      <c r="G110" s="34" t="inlineStr">
        <is>
          <t>Questions</t>
        </is>
      </c>
      <c r="H110" s="34" t="inlineStr">
        <is>
          <t>Answers</t>
        </is>
      </c>
      <c r="I110" s="33" t="inlineStr">
        <is>
          <t>Trigonometric Equations</t>
        </is>
      </c>
      <c r="J110" s="34" t="inlineStr">
        <is>
          <t>Questions</t>
        </is>
      </c>
      <c r="K110" s="34" t="inlineStr">
        <is>
          <t>Marks</t>
        </is>
      </c>
      <c r="L110" s="34" t="inlineStr">
        <is>
          <t>Answers</t>
        </is>
      </c>
      <c r="M110" s="29" t="inlineStr">
        <is>
          <t>Pure 1 Ch10</t>
        </is>
      </c>
      <c r="N110" s="34" t="inlineStr">
        <is>
          <t>Questions</t>
        </is>
      </c>
      <c r="O110" s="34" t="inlineStr">
        <is>
          <t>Marks</t>
        </is>
      </c>
      <c r="P110" t="inlineStr">
        <is>
          <t>P5</t>
        </is>
      </c>
    </row>
    <row r="111" outlineLevel="1" ht="32" customHeight="1">
      <c r="A111" s="29" t="inlineStr">
        <is>
          <t>P5.7</t>
        </is>
      </c>
      <c r="B111" s="30" t="inlineStr">
        <is>
          <t>Trig equations in radians, with sec/cosec/cot and compound angles</t>
        </is>
      </c>
      <c r="C111" s="35" t="n">
        <v>2</v>
      </c>
      <c r="D111" s="32" t="n"/>
      <c r="E111" s="33" t="n"/>
      <c r="F111" s="34" t="inlineStr">
        <is>
          <t>▶ Watch</t>
        </is>
      </c>
      <c r="G111" s="34" t="inlineStr">
        <is>
          <t>Questions</t>
        </is>
      </c>
      <c r="H111" s="34" t="inlineStr">
        <is>
          <t>Answers</t>
        </is>
      </c>
      <c r="I111" s="33" t="inlineStr">
        <is>
          <t>Trigonometric Equations (Yr 2)</t>
        </is>
      </c>
      <c r="J111" s="34" t="inlineStr">
        <is>
          <t>Questions</t>
        </is>
      </c>
      <c r="K111" s="34" t="inlineStr">
        <is>
          <t>Marks</t>
        </is>
      </c>
      <c r="L111" s="34" t="inlineStr">
        <is>
          <t>Answers</t>
        </is>
      </c>
      <c r="M111" s="29" t="inlineStr">
        <is>
          <t>Pure 2 Ch7</t>
        </is>
      </c>
      <c r="N111" s="34" t="inlineStr">
        <is>
          <t>Set 1 of 2</t>
        </is>
      </c>
      <c r="O111" s="34" t="inlineStr">
        <is>
          <t>Marks</t>
        </is>
      </c>
      <c r="P111" t="inlineStr">
        <is>
          <t>P5</t>
        </is>
      </c>
    </row>
    <row r="112" outlineLevel="1" ht="32" customHeight="1">
      <c r="A112" s="29" t="inlineStr">
        <is>
          <t>P5.8</t>
        </is>
      </c>
      <c r="B112" s="30" t="inlineStr">
        <is>
          <t>Proving trig identities (reciprocal, addition and double angle)</t>
        </is>
      </c>
      <c r="C112" s="35" t="n">
        <v>2</v>
      </c>
      <c r="D112" s="32" t="n"/>
      <c r="E112" s="33" t="n"/>
      <c r="F112" s="34" t="inlineStr">
        <is>
          <t>▶ Watch</t>
        </is>
      </c>
      <c r="G112" s="34" t="inlineStr">
        <is>
          <t>Questions</t>
        </is>
      </c>
      <c r="H112" s="34" t="inlineStr">
        <is>
          <t>Answers</t>
        </is>
      </c>
      <c r="I112" s="33" t="inlineStr">
        <is>
          <t>Trigonometric Equations (Yr 2)</t>
        </is>
      </c>
      <c r="J112" s="34" t="inlineStr">
        <is>
          <t>Questions</t>
        </is>
      </c>
      <c r="K112" s="34" t="inlineStr">
        <is>
          <t>Marks</t>
        </is>
      </c>
      <c r="L112" s="34" t="inlineStr">
        <is>
          <t>Answers</t>
        </is>
      </c>
      <c r="M112" s="29" t="inlineStr">
        <is>
          <t>Pure 2 Ch7</t>
        </is>
      </c>
      <c r="N112" s="34" t="inlineStr">
        <is>
          <t>Set 1 of 2</t>
        </is>
      </c>
      <c r="O112" s="34" t="inlineStr">
        <is>
          <t>Marks</t>
        </is>
      </c>
      <c r="P112" t="inlineStr">
        <is>
          <t>P5</t>
        </is>
      </c>
    </row>
    <row r="113" outlineLevel="1" ht="20" customHeight="1">
      <c r="A113" s="29" t="inlineStr">
        <is>
          <t>P5.9</t>
        </is>
      </c>
      <c r="B113" s="30" t="inlineStr">
        <is>
          <t>Modelling with trig functions</t>
        </is>
      </c>
      <c r="C113" s="35" t="n">
        <v>2</v>
      </c>
      <c r="D113" s="32" t="n"/>
      <c r="E113" s="33" t="n"/>
      <c r="F113" s="34" t="inlineStr">
        <is>
          <t>▶ Watch</t>
        </is>
      </c>
      <c r="G113" s="34" t="inlineStr">
        <is>
          <t>Questions</t>
        </is>
      </c>
      <c r="H113" s="34" t="inlineStr">
        <is>
          <t>Answers</t>
        </is>
      </c>
      <c r="I113" s="33" t="inlineStr">
        <is>
          <t>Modelling with Trig (Yr 2)</t>
        </is>
      </c>
      <c r="J113" s="34" t="inlineStr">
        <is>
          <t>Questions</t>
        </is>
      </c>
      <c r="K113" s="34" t="inlineStr">
        <is>
          <t>Marks</t>
        </is>
      </c>
      <c r="L113" s="34" t="inlineStr">
        <is>
          <t>Answers</t>
        </is>
      </c>
      <c r="M113" s="29" t="inlineStr">
        <is>
          <t>Pure 2 Ch7</t>
        </is>
      </c>
      <c r="N113" s="34" t="inlineStr">
        <is>
          <t>Set 1 of 2</t>
        </is>
      </c>
      <c r="O113" s="34" t="inlineStr">
        <is>
          <t>Marks</t>
        </is>
      </c>
      <c r="P113" t="inlineStr">
        <is>
          <t>P5</t>
        </is>
      </c>
    </row>
    <row r="114" ht="10" customHeight="1"/>
    <row r="115" ht="26" customHeight="1">
      <c r="A115" s="25" t="inlineStr">
        <is>
          <t>6</t>
        </is>
      </c>
      <c r="B115" s="26" t="inlineStr">
        <is>
          <t>Exponentials and logarithms</t>
        </is>
      </c>
      <c r="C115" s="27" t="n"/>
      <c r="D115" s="27" t="n"/>
      <c r="E115" s="28" t="inlineStr">
        <is>
          <t>8 topics  ·  Year 1: 8</t>
        </is>
      </c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</row>
    <row r="116" outlineLevel="1" ht="20" customHeight="1">
      <c r="A116" s="29" t="inlineStr">
        <is>
          <t>P6.1</t>
        </is>
      </c>
      <c r="B116" s="30" t="inlineStr">
        <is>
          <t>Exponential functions y = aˣ and their graphs</t>
        </is>
      </c>
      <c r="C116" s="31" t="n">
        <v>1</v>
      </c>
      <c r="D116" s="32" t="n"/>
      <c r="E116" s="33" t="n"/>
      <c r="F116" s="34" t="inlineStr">
        <is>
          <t>▶ Watch</t>
        </is>
      </c>
      <c r="G116" s="34" t="inlineStr">
        <is>
          <t>Questions</t>
        </is>
      </c>
      <c r="H116" s="34" t="inlineStr">
        <is>
          <t>Answers</t>
        </is>
      </c>
      <c r="I116" s="33" t="inlineStr">
        <is>
          <t>Laws of Logarithms</t>
        </is>
      </c>
      <c r="J116" s="34" t="inlineStr">
        <is>
          <t>Questions</t>
        </is>
      </c>
      <c r="K116" s="34" t="inlineStr">
        <is>
          <t>Marks</t>
        </is>
      </c>
      <c r="L116" s="34" t="inlineStr">
        <is>
          <t>Answers</t>
        </is>
      </c>
      <c r="M116" s="29" t="inlineStr">
        <is>
          <t>Pure 1 Ch14</t>
        </is>
      </c>
      <c r="N116" s="34" t="inlineStr">
        <is>
          <t>Set 1 of 2</t>
        </is>
      </c>
      <c r="O116" s="34" t="inlineStr">
        <is>
          <t>Marks</t>
        </is>
      </c>
      <c r="P116" t="inlineStr">
        <is>
          <t>P6</t>
        </is>
      </c>
    </row>
    <row r="117" outlineLevel="1" ht="20" customHeight="1">
      <c r="A117" s="29" t="inlineStr">
        <is>
          <t>P6.2</t>
        </is>
      </c>
      <c r="B117" s="30" t="inlineStr">
        <is>
          <t>y = eˣ, its graph and its gradient (d/dx eᵏˣ = keᵏˣ)</t>
        </is>
      </c>
      <c r="C117" s="31" t="n">
        <v>1</v>
      </c>
      <c r="D117" s="32" t="n"/>
      <c r="E117" s="33" t="n"/>
      <c r="F117" s="34" t="inlineStr">
        <is>
          <t>▶ Watch</t>
        </is>
      </c>
      <c r="G117" s="34" t="inlineStr">
        <is>
          <t>Questions</t>
        </is>
      </c>
      <c r="H117" s="34" t="inlineStr">
        <is>
          <t>Answers</t>
        </is>
      </c>
      <c r="I117" s="33" t="inlineStr">
        <is>
          <t>Exponential Equations</t>
        </is>
      </c>
      <c r="J117" s="34" t="inlineStr">
        <is>
          <t>Questions</t>
        </is>
      </c>
      <c r="K117" s="34" t="inlineStr">
        <is>
          <t>Marks</t>
        </is>
      </c>
      <c r="L117" s="34" t="inlineStr">
        <is>
          <t>Answers</t>
        </is>
      </c>
      <c r="M117" s="29" t="inlineStr">
        <is>
          <t>Pure 1 Ch14</t>
        </is>
      </c>
      <c r="N117" s="34" t="inlineStr">
        <is>
          <t>Set 1 of 2</t>
        </is>
      </c>
      <c r="O117" s="34" t="inlineStr">
        <is>
          <t>Marks</t>
        </is>
      </c>
      <c r="P117" t="inlineStr">
        <is>
          <t>P6</t>
        </is>
      </c>
    </row>
    <row r="118" outlineLevel="1" ht="20" customHeight="1">
      <c r="A118" s="29" t="inlineStr">
        <is>
          <t>P6.3</t>
        </is>
      </c>
      <c r="B118" s="30" t="inlineStr">
        <is>
          <t>Logarithms as the inverse of aˣ</t>
        </is>
      </c>
      <c r="C118" s="31" t="n">
        <v>1</v>
      </c>
      <c r="D118" s="32" t="n"/>
      <c r="E118" s="33" t="n"/>
      <c r="F118" s="34" t="inlineStr">
        <is>
          <t>▶ Watch</t>
        </is>
      </c>
      <c r="G118" s="34" t="inlineStr">
        <is>
          <t>Questions</t>
        </is>
      </c>
      <c r="H118" s="34" t="inlineStr">
        <is>
          <t>Answers</t>
        </is>
      </c>
      <c r="I118" s="33" t="inlineStr">
        <is>
          <t>Laws of Logarithms</t>
        </is>
      </c>
      <c r="J118" s="34" t="inlineStr">
        <is>
          <t>Questions</t>
        </is>
      </c>
      <c r="K118" s="34" t="inlineStr">
        <is>
          <t>Marks</t>
        </is>
      </c>
      <c r="L118" s="34" t="inlineStr">
        <is>
          <t>Answers</t>
        </is>
      </c>
      <c r="M118" s="29" t="inlineStr">
        <is>
          <t>Pure 1 Ch14</t>
        </is>
      </c>
      <c r="N118" s="34" t="inlineStr">
        <is>
          <t>Set 1 of 2</t>
        </is>
      </c>
      <c r="O118" s="34" t="inlineStr">
        <is>
          <t>Marks</t>
        </is>
      </c>
      <c r="P118" t="inlineStr">
        <is>
          <t>P6</t>
        </is>
      </c>
    </row>
    <row r="119" outlineLevel="1" ht="20" customHeight="1">
      <c r="A119" s="29" t="inlineStr">
        <is>
          <t>P6.4</t>
        </is>
      </c>
      <c r="B119" s="30" t="inlineStr">
        <is>
          <t>Laws of logarithms</t>
        </is>
      </c>
      <c r="C119" s="31" t="n">
        <v>1</v>
      </c>
      <c r="D119" s="32" t="n"/>
      <c r="E119" s="33" t="n"/>
      <c r="F119" s="34" t="inlineStr">
        <is>
          <t>▶ Watch</t>
        </is>
      </c>
      <c r="G119" s="34" t="inlineStr">
        <is>
          <t>Questions</t>
        </is>
      </c>
      <c r="H119" s="34" t="inlineStr">
        <is>
          <t>Answers</t>
        </is>
      </c>
      <c r="I119" s="33" t="inlineStr">
        <is>
          <t>Laws of Logarithms</t>
        </is>
      </c>
      <c r="J119" s="34" t="inlineStr">
        <is>
          <t>Questions</t>
        </is>
      </c>
      <c r="K119" s="34" t="inlineStr">
        <is>
          <t>Marks</t>
        </is>
      </c>
      <c r="L119" s="34" t="inlineStr">
        <is>
          <t>Answers</t>
        </is>
      </c>
      <c r="M119" s="29" t="inlineStr">
        <is>
          <t>Pure 1 Ch14</t>
        </is>
      </c>
      <c r="N119" s="34" t="inlineStr">
        <is>
          <t>Set 1 of 2</t>
        </is>
      </c>
      <c r="O119" s="34" t="inlineStr">
        <is>
          <t>Marks</t>
        </is>
      </c>
      <c r="P119" t="inlineStr">
        <is>
          <t>P6</t>
        </is>
      </c>
    </row>
    <row r="120" outlineLevel="1" ht="20" customHeight="1">
      <c r="A120" s="29" t="inlineStr">
        <is>
          <t>P6.5</t>
        </is>
      </c>
      <c r="B120" s="30" t="inlineStr">
        <is>
          <t>Solving aˣ = b using logarithms</t>
        </is>
      </c>
      <c r="C120" s="31" t="n">
        <v>1</v>
      </c>
      <c r="D120" s="32" t="n"/>
      <c r="E120" s="33" t="n"/>
      <c r="F120" s="34" t="inlineStr">
        <is>
          <t>▶ Watch</t>
        </is>
      </c>
      <c r="G120" s="34" t="inlineStr">
        <is>
          <t>Questions</t>
        </is>
      </c>
      <c r="H120" s="34" t="inlineStr">
        <is>
          <t>Answers</t>
        </is>
      </c>
      <c r="I120" s="33" t="inlineStr">
        <is>
          <t>Laws of Logarithms</t>
        </is>
      </c>
      <c r="J120" s="34" t="inlineStr">
        <is>
          <t>Questions</t>
        </is>
      </c>
      <c r="K120" s="34" t="inlineStr">
        <is>
          <t>Marks</t>
        </is>
      </c>
      <c r="L120" s="34" t="inlineStr">
        <is>
          <t>Answers</t>
        </is>
      </c>
      <c r="M120" s="29" t="inlineStr">
        <is>
          <t>Pure 1 Ch14</t>
        </is>
      </c>
      <c r="N120" s="34" t="inlineStr">
        <is>
          <t>Set 1 of 2</t>
        </is>
      </c>
      <c r="O120" s="34" t="inlineStr">
        <is>
          <t>Marks</t>
        </is>
      </c>
      <c r="P120" t="inlineStr">
        <is>
          <t>P6</t>
        </is>
      </c>
    </row>
    <row r="121" outlineLevel="1" ht="20" customHeight="1">
      <c r="A121" s="29" t="inlineStr">
        <is>
          <t>P6.3</t>
        </is>
      </c>
      <c r="B121" s="30" t="inlineStr">
        <is>
          <t>Natural logs: solving e^(ax+b) = p and ln(ax + b) = q</t>
        </is>
      </c>
      <c r="C121" s="31" t="n">
        <v>1</v>
      </c>
      <c r="D121" s="32" t="n"/>
      <c r="E121" s="33" t="n"/>
      <c r="F121" s="34" t="inlineStr">
        <is>
          <t>▶ Watch</t>
        </is>
      </c>
      <c r="G121" s="34" t="inlineStr">
        <is>
          <t>Questions</t>
        </is>
      </c>
      <c r="H121" s="34" t="inlineStr">
        <is>
          <t>Answers</t>
        </is>
      </c>
      <c r="I121" s="33" t="inlineStr">
        <is>
          <t>Exponential Equations</t>
        </is>
      </c>
      <c r="J121" s="34" t="inlineStr">
        <is>
          <t>Questions</t>
        </is>
      </c>
      <c r="K121" s="34" t="inlineStr">
        <is>
          <t>Marks</t>
        </is>
      </c>
      <c r="L121" s="34" t="inlineStr">
        <is>
          <t>Answers</t>
        </is>
      </c>
      <c r="M121" s="29" t="inlineStr">
        <is>
          <t>Pure 1 Ch14</t>
        </is>
      </c>
      <c r="N121" s="34" t="inlineStr">
        <is>
          <t>Set 1 of 2</t>
        </is>
      </c>
      <c r="O121" s="34" t="inlineStr">
        <is>
          <t>Marks</t>
        </is>
      </c>
      <c r="P121" t="inlineStr">
        <is>
          <t>P6</t>
        </is>
      </c>
    </row>
    <row r="122" outlineLevel="1" ht="20" customHeight="1">
      <c r="A122" s="29" t="inlineStr">
        <is>
          <t>P6.6</t>
        </is>
      </c>
      <c r="B122" s="30" t="inlineStr">
        <is>
          <t>Log graphs for non-linear data (y = axⁿ and y = kbˣ)</t>
        </is>
      </c>
      <c r="C122" s="31" t="n">
        <v>1</v>
      </c>
      <c r="D122" s="32" t="n"/>
      <c r="E122" s="33" t="n"/>
      <c r="F122" s="34" t="inlineStr">
        <is>
          <t>▶ Watch</t>
        </is>
      </c>
      <c r="G122" s="34" t="inlineStr">
        <is>
          <t>Questions</t>
        </is>
      </c>
      <c r="H122" s="34" t="inlineStr">
        <is>
          <t>Answers</t>
        </is>
      </c>
      <c r="I122" s="33" t="inlineStr">
        <is>
          <t>Laws of Logarithms</t>
        </is>
      </c>
      <c r="J122" s="34" t="inlineStr">
        <is>
          <t>Questions</t>
        </is>
      </c>
      <c r="K122" s="34" t="inlineStr">
        <is>
          <t>Marks</t>
        </is>
      </c>
      <c r="L122" s="34" t="inlineStr">
        <is>
          <t>Answers</t>
        </is>
      </c>
      <c r="M122" s="29" t="inlineStr">
        <is>
          <t>Pure 1 Ch14</t>
        </is>
      </c>
      <c r="N122" s="34" t="inlineStr">
        <is>
          <t>Set 1 of 2</t>
        </is>
      </c>
      <c r="O122" s="34" t="inlineStr">
        <is>
          <t>Marks</t>
        </is>
      </c>
      <c r="P122" t="inlineStr">
        <is>
          <t>P6</t>
        </is>
      </c>
    </row>
    <row r="123" outlineLevel="1" ht="20" customHeight="1">
      <c r="A123" s="29" t="inlineStr">
        <is>
          <t>P6.7</t>
        </is>
      </c>
      <c r="B123" s="30" t="inlineStr">
        <is>
          <t>Exponential growth and decay models</t>
        </is>
      </c>
      <c r="C123" s="31" t="n">
        <v>1</v>
      </c>
      <c r="D123" s="32" t="n"/>
      <c r="E123" s="33" t="n"/>
      <c r="F123" s="34" t="inlineStr">
        <is>
          <t>▶ Watch</t>
        </is>
      </c>
      <c r="G123" s="34" t="inlineStr">
        <is>
          <t>Questions</t>
        </is>
      </c>
      <c r="H123" s="34" t="inlineStr">
        <is>
          <t>Answers</t>
        </is>
      </c>
      <c r="I123" s="33" t="inlineStr">
        <is>
          <t>Exponential Equations</t>
        </is>
      </c>
      <c r="J123" s="34" t="inlineStr">
        <is>
          <t>Questions</t>
        </is>
      </c>
      <c r="K123" s="34" t="inlineStr">
        <is>
          <t>Marks</t>
        </is>
      </c>
      <c r="L123" s="34" t="inlineStr">
        <is>
          <t>Answers</t>
        </is>
      </c>
      <c r="M123" s="29" t="inlineStr">
        <is>
          <t>Pure 1 Ch14</t>
        </is>
      </c>
      <c r="N123" s="34" t="inlineStr">
        <is>
          <t>Set 1 of 2</t>
        </is>
      </c>
      <c r="O123" s="34" t="inlineStr">
        <is>
          <t>Marks</t>
        </is>
      </c>
      <c r="P123" t="inlineStr">
        <is>
          <t>P6</t>
        </is>
      </c>
    </row>
    <row r="124" ht="10" customHeight="1"/>
    <row r="125" ht="26" customHeight="1">
      <c r="A125" s="25" t="inlineStr">
        <is>
          <t>7</t>
        </is>
      </c>
      <c r="B125" s="26" t="inlineStr">
        <is>
          <t>Differentiation</t>
        </is>
      </c>
      <c r="C125" s="27" t="n"/>
      <c r="D125" s="27" t="n"/>
      <c r="E125" s="28" t="inlineStr">
        <is>
          <t>21 topics  ·  Year 1: 9  ·  Year 2: 12</t>
        </is>
      </c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</row>
    <row r="126" outlineLevel="1" ht="20" customHeight="1">
      <c r="A126" s="29" t="inlineStr">
        <is>
          <t>P7.1</t>
        </is>
      </c>
      <c r="B126" s="30" t="inlineStr">
        <is>
          <t>Gradients of curves; the derivative as a rate of change</t>
        </is>
      </c>
      <c r="C126" s="31" t="n">
        <v>1</v>
      </c>
      <c r="D126" s="32" t="n"/>
      <c r="E126" s="33" t="n"/>
      <c r="F126" s="34" t="inlineStr">
        <is>
          <t>▶ Watch</t>
        </is>
      </c>
      <c r="G126" s="34" t="inlineStr">
        <is>
          <t>Questions</t>
        </is>
      </c>
      <c r="H126" s="34" t="inlineStr">
        <is>
          <t>Answers</t>
        </is>
      </c>
      <c r="I126" s="33" t="inlineStr">
        <is>
          <t>Basic Differentiation</t>
        </is>
      </c>
      <c r="J126" s="34" t="inlineStr">
        <is>
          <t>Questions</t>
        </is>
      </c>
      <c r="K126" s="34" t="inlineStr">
        <is>
          <t>Marks</t>
        </is>
      </c>
      <c r="L126" s="34" t="inlineStr">
        <is>
          <t>Answers</t>
        </is>
      </c>
      <c r="M126" s="29" t="inlineStr">
        <is>
          <t>Pure 1 Ch12</t>
        </is>
      </c>
      <c r="N126" s="34" t="inlineStr">
        <is>
          <t>Questions</t>
        </is>
      </c>
      <c r="O126" s="34" t="inlineStr">
        <is>
          <t>Marks</t>
        </is>
      </c>
      <c r="P126" t="inlineStr">
        <is>
          <t>P7</t>
        </is>
      </c>
    </row>
    <row r="127" outlineLevel="1" ht="20" customHeight="1">
      <c r="A127" s="29" t="inlineStr">
        <is>
          <t>P7.1</t>
        </is>
      </c>
      <c r="B127" s="30" t="inlineStr">
        <is>
          <t>Differentiation from first principles (xⁿ)</t>
        </is>
      </c>
      <c r="C127" s="31" t="n">
        <v>1</v>
      </c>
      <c r="D127" s="32" t="n"/>
      <c r="E127" s="33" t="n"/>
      <c r="F127" s="34" t="inlineStr">
        <is>
          <t>▶ Watch</t>
        </is>
      </c>
      <c r="G127" s="34" t="inlineStr">
        <is>
          <t>Topic set</t>
        </is>
      </c>
      <c r="H127" s="34" t="inlineStr">
        <is>
          <t>Answers</t>
        </is>
      </c>
      <c r="I127" s="33" t="inlineStr">
        <is>
          <t>First Principles</t>
        </is>
      </c>
      <c r="J127" s="34" t="inlineStr">
        <is>
          <t>Questions</t>
        </is>
      </c>
      <c r="K127" s="34" t="inlineStr">
        <is>
          <t>Marks</t>
        </is>
      </c>
      <c r="L127" s="34" t="inlineStr">
        <is>
          <t>Answers</t>
        </is>
      </c>
      <c r="M127" s="29" t="inlineStr">
        <is>
          <t>Pure 1 Ch12</t>
        </is>
      </c>
      <c r="N127" s="34" t="inlineStr">
        <is>
          <t>Questions</t>
        </is>
      </c>
      <c r="O127" s="34" t="inlineStr">
        <is>
          <t>Marks</t>
        </is>
      </c>
      <c r="P127" t="inlineStr">
        <is>
          <t>P7</t>
        </is>
      </c>
    </row>
    <row r="128" outlineLevel="1" ht="20" customHeight="1">
      <c r="A128" s="29" t="inlineStr">
        <is>
          <t>P7.1</t>
        </is>
      </c>
      <c r="B128" s="30" t="inlineStr">
        <is>
          <t>Differentiation from first principles (sin x and cos x)</t>
        </is>
      </c>
      <c r="C128" s="35" t="n">
        <v>2</v>
      </c>
      <c r="D128" s="32" t="n"/>
      <c r="E128" s="33" t="n"/>
      <c r="F128" s="34" t="inlineStr">
        <is>
          <t>▶ Watch</t>
        </is>
      </c>
      <c r="G128" s="34" t="inlineStr">
        <is>
          <t>Questions</t>
        </is>
      </c>
      <c r="H128" s="34" t="inlineStr">
        <is>
          <t>Answers</t>
        </is>
      </c>
      <c r="I128" s="33" t="inlineStr">
        <is>
          <t>First Principles</t>
        </is>
      </c>
      <c r="J128" s="34" t="inlineStr">
        <is>
          <t>Questions</t>
        </is>
      </c>
      <c r="K128" s="34" t="inlineStr">
        <is>
          <t>Marks</t>
        </is>
      </c>
      <c r="L128" s="34" t="inlineStr">
        <is>
          <t>Answers</t>
        </is>
      </c>
      <c r="M128" s="29" t="inlineStr">
        <is>
          <t>Pure 2 Ch9</t>
        </is>
      </c>
      <c r="N128" s="34" t="inlineStr">
        <is>
          <t>Set 1 of 3</t>
        </is>
      </c>
      <c r="O128" s="34" t="inlineStr">
        <is>
          <t>Marks</t>
        </is>
      </c>
      <c r="P128" t="inlineStr">
        <is>
          <t>P7</t>
        </is>
      </c>
    </row>
    <row r="129" outlineLevel="1" ht="20" customHeight="1">
      <c r="A129" s="29" t="inlineStr">
        <is>
          <t>P7.1</t>
        </is>
      </c>
      <c r="B129" s="30" t="inlineStr">
        <is>
          <t>Sketching gradient functions</t>
        </is>
      </c>
      <c r="C129" s="31" t="n">
        <v>1</v>
      </c>
      <c r="D129" s="32" t="n"/>
      <c r="E129" s="33" t="n"/>
      <c r="F129" s="34" t="inlineStr">
        <is>
          <t>▶ Watch</t>
        </is>
      </c>
      <c r="G129" s="34" t="inlineStr">
        <is>
          <t>Questions</t>
        </is>
      </c>
      <c r="H129" s="34" t="inlineStr">
        <is>
          <t>Answers</t>
        </is>
      </c>
      <c r="I129" s="36" t="inlineStr">
        <is>
          <t>none for this topic</t>
        </is>
      </c>
      <c r="J129" s="37" t="n"/>
      <c r="K129" s="37" t="n"/>
      <c r="L129" s="37" t="n"/>
      <c r="M129" s="29" t="inlineStr">
        <is>
          <t>Pure 1 Ch12</t>
        </is>
      </c>
      <c r="N129" s="34" t="inlineStr">
        <is>
          <t>Questions</t>
        </is>
      </c>
      <c r="O129" s="34" t="inlineStr">
        <is>
          <t>Marks</t>
        </is>
      </c>
      <c r="P129" t="inlineStr">
        <is>
          <t>P7</t>
        </is>
      </c>
    </row>
    <row r="130" outlineLevel="1" ht="20" customHeight="1">
      <c r="A130" s="29" t="inlineStr">
        <is>
          <t>P7.1</t>
        </is>
      </c>
      <c r="B130" s="30" t="inlineStr">
        <is>
          <t>Second derivatives</t>
        </is>
      </c>
      <c r="C130" s="31" t="n">
        <v>1</v>
      </c>
      <c r="D130" s="32" t="n"/>
      <c r="E130" s="33" t="n"/>
      <c r="F130" s="34" t="inlineStr">
        <is>
          <t>▶ Watch</t>
        </is>
      </c>
      <c r="G130" s="34" t="inlineStr">
        <is>
          <t>Questions</t>
        </is>
      </c>
      <c r="H130" s="34" t="inlineStr">
        <is>
          <t>Answers</t>
        </is>
      </c>
      <c r="I130" s="33" t="inlineStr">
        <is>
          <t>Stationary Points</t>
        </is>
      </c>
      <c r="J130" s="34" t="inlineStr">
        <is>
          <t>Questions</t>
        </is>
      </c>
      <c r="K130" s="34" t="inlineStr">
        <is>
          <t>Marks</t>
        </is>
      </c>
      <c r="L130" s="34" t="inlineStr">
        <is>
          <t>Answers</t>
        </is>
      </c>
      <c r="M130" s="29" t="inlineStr">
        <is>
          <t>Pure 1 Ch12</t>
        </is>
      </c>
      <c r="N130" s="34" t="inlineStr">
        <is>
          <t>Questions</t>
        </is>
      </c>
      <c r="O130" s="34" t="inlineStr">
        <is>
          <t>Marks</t>
        </is>
      </c>
      <c r="P130" t="inlineStr">
        <is>
          <t>P7</t>
        </is>
      </c>
    </row>
    <row r="131" outlineLevel="1" ht="20" customHeight="1">
      <c r="A131" s="29" t="inlineStr">
        <is>
          <t>P7.1</t>
        </is>
      </c>
      <c r="B131" s="30" t="inlineStr">
        <is>
          <t>Concave and convex curves; points of inflection</t>
        </is>
      </c>
      <c r="C131" s="35" t="n">
        <v>2</v>
      </c>
      <c r="D131" s="32" t="n"/>
      <c r="E131" s="33" t="n"/>
      <c r="F131" s="34" t="inlineStr">
        <is>
          <t>▶ Watch</t>
        </is>
      </c>
      <c r="G131" s="34" t="inlineStr">
        <is>
          <t>Questions</t>
        </is>
      </c>
      <c r="H131" s="34" t="inlineStr">
        <is>
          <t>Answers</t>
        </is>
      </c>
      <c r="I131" s="33" t="inlineStr">
        <is>
          <t>Stationary Points</t>
        </is>
      </c>
      <c r="J131" s="34" t="inlineStr">
        <is>
          <t>Questions</t>
        </is>
      </c>
      <c r="K131" s="34" t="inlineStr">
        <is>
          <t>Marks</t>
        </is>
      </c>
      <c r="L131" s="34" t="inlineStr">
        <is>
          <t>Answers</t>
        </is>
      </c>
      <c r="M131" s="29" t="inlineStr">
        <is>
          <t>Pure 2 Ch9</t>
        </is>
      </c>
      <c r="N131" s="34" t="inlineStr">
        <is>
          <t>Set 1 of 3</t>
        </is>
      </c>
      <c r="O131" s="34" t="inlineStr">
        <is>
          <t>Marks</t>
        </is>
      </c>
      <c r="P131" t="inlineStr">
        <is>
          <t>P7</t>
        </is>
      </c>
    </row>
    <row r="132" outlineLevel="1" ht="20" customHeight="1">
      <c r="A132" s="29" t="inlineStr">
        <is>
          <t>P7.2</t>
        </is>
      </c>
      <c r="B132" s="30" t="inlineStr">
        <is>
          <t>Differentiating xⁿ and sums of terms</t>
        </is>
      </c>
      <c r="C132" s="31" t="n">
        <v>1</v>
      </c>
      <c r="D132" s="32" t="n"/>
      <c r="E132" s="33" t="n"/>
      <c r="F132" s="34" t="inlineStr">
        <is>
          <t>▶ Watch</t>
        </is>
      </c>
      <c r="G132" s="34" t="inlineStr">
        <is>
          <t>Questions</t>
        </is>
      </c>
      <c r="H132" s="34" t="inlineStr">
        <is>
          <t>Answers</t>
        </is>
      </c>
      <c r="I132" s="33" t="inlineStr">
        <is>
          <t>Basic Differentiation</t>
        </is>
      </c>
      <c r="J132" s="34" t="inlineStr">
        <is>
          <t>Questions</t>
        </is>
      </c>
      <c r="K132" s="34" t="inlineStr">
        <is>
          <t>Marks</t>
        </is>
      </c>
      <c r="L132" s="34" t="inlineStr">
        <is>
          <t>Answers</t>
        </is>
      </c>
      <c r="M132" s="29" t="inlineStr">
        <is>
          <t>Pure 1 Ch12</t>
        </is>
      </c>
      <c r="N132" s="34" t="inlineStr">
        <is>
          <t>Questions</t>
        </is>
      </c>
      <c r="O132" s="34" t="inlineStr">
        <is>
          <t>Marks</t>
        </is>
      </c>
      <c r="P132" t="inlineStr">
        <is>
          <t>P7</t>
        </is>
      </c>
    </row>
    <row r="133" outlineLevel="1" ht="20" customHeight="1">
      <c r="A133" s="29" t="inlineStr">
        <is>
          <t>P7.2</t>
        </is>
      </c>
      <c r="B133" s="30" t="inlineStr">
        <is>
          <t>Differentiating sin kx, cos kx and tan kx</t>
        </is>
      </c>
      <c r="C133" s="35" t="n">
        <v>2</v>
      </c>
      <c r="D133" s="32" t="n"/>
      <c r="E133" s="33" t="n"/>
      <c r="F133" s="34" t="inlineStr">
        <is>
          <t>▶ Watch</t>
        </is>
      </c>
      <c r="G133" s="34" t="inlineStr">
        <is>
          <t>Questions</t>
        </is>
      </c>
      <c r="H133" s="34" t="inlineStr">
        <is>
          <t>Answers</t>
        </is>
      </c>
      <c r="I133" s="36" t="inlineStr">
        <is>
          <t>none for this topic</t>
        </is>
      </c>
      <c r="J133" s="37" t="n"/>
      <c r="K133" s="37" t="n"/>
      <c r="L133" s="37" t="n"/>
      <c r="M133" s="29" t="inlineStr">
        <is>
          <t>Pure 2 Ch9</t>
        </is>
      </c>
      <c r="N133" s="34" t="inlineStr">
        <is>
          <t>Set 1 of 3</t>
        </is>
      </c>
      <c r="O133" s="34" t="inlineStr">
        <is>
          <t>Marks</t>
        </is>
      </c>
      <c r="P133" t="inlineStr">
        <is>
          <t>P7</t>
        </is>
      </c>
    </row>
    <row r="134" outlineLevel="1" ht="20" customHeight="1">
      <c r="A134" s="29" t="inlineStr">
        <is>
          <t>P7.2</t>
        </is>
      </c>
      <c r="B134" s="30" t="inlineStr">
        <is>
          <t>Differentiating eᵏˣ, aᵏˣ and ln x</t>
        </is>
      </c>
      <c r="C134" s="35" t="n">
        <v>2</v>
      </c>
      <c r="D134" s="32" t="n"/>
      <c r="E134" s="33" t="n"/>
      <c r="F134" s="34" t="inlineStr">
        <is>
          <t>▶ Watch</t>
        </is>
      </c>
      <c r="G134" s="34" t="inlineStr">
        <is>
          <t>Questions</t>
        </is>
      </c>
      <c r="H134" s="34" t="inlineStr">
        <is>
          <t>Answers</t>
        </is>
      </c>
      <c r="I134" s="33" t="inlineStr">
        <is>
          <t>Products and Quotients (Yr 2)</t>
        </is>
      </c>
      <c r="J134" s="34" t="inlineStr">
        <is>
          <t>Questions</t>
        </is>
      </c>
      <c r="K134" s="34" t="inlineStr">
        <is>
          <t>Marks</t>
        </is>
      </c>
      <c r="L134" s="34" t="inlineStr">
        <is>
          <t>Answers</t>
        </is>
      </c>
      <c r="M134" s="29" t="inlineStr">
        <is>
          <t>Pure 2 Ch9</t>
        </is>
      </c>
      <c r="N134" s="34" t="inlineStr">
        <is>
          <t>Set 1 of 3</t>
        </is>
      </c>
      <c r="O134" s="34" t="inlineStr">
        <is>
          <t>Marks</t>
        </is>
      </c>
      <c r="P134" t="inlineStr">
        <is>
          <t>P7</t>
        </is>
      </c>
    </row>
    <row r="135" outlineLevel="1" ht="20" customHeight="1">
      <c r="A135" s="29" t="inlineStr">
        <is>
          <t>P7.3</t>
        </is>
      </c>
      <c r="B135" s="30" t="inlineStr">
        <is>
          <t>Tangents and normals</t>
        </is>
      </c>
      <c r="C135" s="31" t="n">
        <v>1</v>
      </c>
      <c r="D135" s="32" t="n"/>
      <c r="E135" s="33" t="n"/>
      <c r="F135" s="34" t="inlineStr">
        <is>
          <t>▶ Watch</t>
        </is>
      </c>
      <c r="G135" s="34" t="inlineStr">
        <is>
          <t>Questions</t>
        </is>
      </c>
      <c r="H135" s="34" t="inlineStr">
        <is>
          <t>Answers</t>
        </is>
      </c>
      <c r="I135" s="33" t="inlineStr">
        <is>
          <t>Tangents and Normals</t>
        </is>
      </c>
      <c r="J135" s="34" t="inlineStr">
        <is>
          <t>Questions</t>
        </is>
      </c>
      <c r="K135" s="34" t="inlineStr">
        <is>
          <t>Marks</t>
        </is>
      </c>
      <c r="L135" s="34" t="inlineStr">
        <is>
          <t>Answers</t>
        </is>
      </c>
      <c r="M135" s="29" t="inlineStr">
        <is>
          <t>Pure 1 Ch12</t>
        </is>
      </c>
      <c r="N135" s="34" t="inlineStr">
        <is>
          <t>Questions</t>
        </is>
      </c>
      <c r="O135" s="34" t="inlineStr">
        <is>
          <t>Marks</t>
        </is>
      </c>
      <c r="P135" t="inlineStr">
        <is>
          <t>P7</t>
        </is>
      </c>
    </row>
    <row r="136" outlineLevel="1" ht="20" customHeight="1">
      <c r="A136" s="29" t="inlineStr">
        <is>
          <t>P7.3</t>
        </is>
      </c>
      <c r="B136" s="30" t="inlineStr">
        <is>
          <t>Increasing and decreasing functions</t>
        </is>
      </c>
      <c r="C136" s="31" t="n">
        <v>1</v>
      </c>
      <c r="D136" s="32" t="n"/>
      <c r="E136" s="33" t="n"/>
      <c r="F136" s="34" t="inlineStr">
        <is>
          <t>▶ Watch</t>
        </is>
      </c>
      <c r="G136" s="34" t="inlineStr">
        <is>
          <t>Questions</t>
        </is>
      </c>
      <c r="H136" s="34" t="inlineStr">
        <is>
          <t>Answers</t>
        </is>
      </c>
      <c r="I136" s="33" t="inlineStr">
        <is>
          <t>Basic Differentiation</t>
        </is>
      </c>
      <c r="J136" s="34" t="inlineStr">
        <is>
          <t>Questions</t>
        </is>
      </c>
      <c r="K136" s="34" t="inlineStr">
        <is>
          <t>Marks</t>
        </is>
      </c>
      <c r="L136" s="34" t="inlineStr">
        <is>
          <t>Answers</t>
        </is>
      </c>
      <c r="M136" s="29" t="inlineStr">
        <is>
          <t>Pure 1 Ch12</t>
        </is>
      </c>
      <c r="N136" s="34" t="inlineStr">
        <is>
          <t>Questions</t>
        </is>
      </c>
      <c r="O136" s="34" t="inlineStr">
        <is>
          <t>Marks</t>
        </is>
      </c>
      <c r="P136" t="inlineStr">
        <is>
          <t>P7</t>
        </is>
      </c>
    </row>
    <row r="137" outlineLevel="1" ht="20" customHeight="1">
      <c r="A137" s="29" t="inlineStr">
        <is>
          <t>P7.3</t>
        </is>
      </c>
      <c r="B137" s="30" t="inlineStr">
        <is>
          <t>Stationary points: maxima and minima</t>
        </is>
      </c>
      <c r="C137" s="31" t="n">
        <v>1</v>
      </c>
      <c r="D137" s="32" t="n"/>
      <c r="E137" s="33" t="n"/>
      <c r="F137" s="34" t="inlineStr">
        <is>
          <t>▶ Watch</t>
        </is>
      </c>
      <c r="G137" s="34" t="inlineStr">
        <is>
          <t>Questions</t>
        </is>
      </c>
      <c r="H137" s="34" t="inlineStr">
        <is>
          <t>Answers</t>
        </is>
      </c>
      <c r="I137" s="33" t="inlineStr">
        <is>
          <t>Stationary Points</t>
        </is>
      </c>
      <c r="J137" s="34" t="inlineStr">
        <is>
          <t>Questions</t>
        </is>
      </c>
      <c r="K137" s="34" t="inlineStr">
        <is>
          <t>Marks</t>
        </is>
      </c>
      <c r="L137" s="34" t="inlineStr">
        <is>
          <t>Answers</t>
        </is>
      </c>
      <c r="M137" s="29" t="inlineStr">
        <is>
          <t>Pure 1 Ch12</t>
        </is>
      </c>
      <c r="N137" s="34" t="inlineStr">
        <is>
          <t>Questions</t>
        </is>
      </c>
      <c r="O137" s="34" t="inlineStr">
        <is>
          <t>Marks</t>
        </is>
      </c>
      <c r="P137" t="inlineStr">
        <is>
          <t>P7</t>
        </is>
      </c>
    </row>
    <row r="138" outlineLevel="1" ht="20" customHeight="1">
      <c r="A138" s="29" t="inlineStr">
        <is>
          <t>P7.3</t>
        </is>
      </c>
      <c r="B138" s="30" t="inlineStr">
        <is>
          <t>Optimisation problems in context</t>
        </is>
      </c>
      <c r="C138" s="31" t="n">
        <v>1</v>
      </c>
      <c r="D138" s="32" t="n"/>
      <c r="E138" s="33" t="n"/>
      <c r="F138" s="34" t="inlineStr">
        <is>
          <t>▶ Watch</t>
        </is>
      </c>
      <c r="G138" s="34" t="inlineStr">
        <is>
          <t>Questions</t>
        </is>
      </c>
      <c r="H138" s="34" t="inlineStr">
        <is>
          <t>Answers</t>
        </is>
      </c>
      <c r="I138" s="33" t="inlineStr">
        <is>
          <t>Stationary Points</t>
        </is>
      </c>
      <c r="J138" s="34" t="inlineStr">
        <is>
          <t>Questions</t>
        </is>
      </c>
      <c r="K138" s="34" t="inlineStr">
        <is>
          <t>Marks</t>
        </is>
      </c>
      <c r="L138" s="34" t="inlineStr">
        <is>
          <t>Answers</t>
        </is>
      </c>
      <c r="M138" s="29" t="inlineStr">
        <is>
          <t>Pure 1 Ch12</t>
        </is>
      </c>
      <c r="N138" s="34" t="inlineStr">
        <is>
          <t>Questions</t>
        </is>
      </c>
      <c r="O138" s="34" t="inlineStr">
        <is>
          <t>Marks</t>
        </is>
      </c>
      <c r="P138" t="inlineStr">
        <is>
          <t>P7</t>
        </is>
      </c>
    </row>
    <row r="139" outlineLevel="1" ht="20" customHeight="1">
      <c r="A139" s="29" t="inlineStr">
        <is>
          <t>P7.4</t>
        </is>
      </c>
      <c r="B139" s="30" t="inlineStr">
        <is>
          <t>The chain rule</t>
        </is>
      </c>
      <c r="C139" s="35" t="n">
        <v>2</v>
      </c>
      <c r="D139" s="32" t="n"/>
      <c r="E139" s="33" t="n"/>
      <c r="F139" s="34" t="inlineStr">
        <is>
          <t>▶ Watch</t>
        </is>
      </c>
      <c r="G139" s="34" t="inlineStr">
        <is>
          <t>Questions</t>
        </is>
      </c>
      <c r="H139" s="34" t="inlineStr">
        <is>
          <t>Answers</t>
        </is>
      </c>
      <c r="I139" s="33" t="inlineStr">
        <is>
          <t>Products and Quotients (Yr 2)</t>
        </is>
      </c>
      <c r="J139" s="34" t="inlineStr">
        <is>
          <t>Questions</t>
        </is>
      </c>
      <c r="K139" s="34" t="inlineStr">
        <is>
          <t>Marks</t>
        </is>
      </c>
      <c r="L139" s="34" t="inlineStr">
        <is>
          <t>Answers</t>
        </is>
      </c>
      <c r="M139" s="29" t="inlineStr">
        <is>
          <t>Pure 2 Ch9</t>
        </is>
      </c>
      <c r="N139" s="34" t="inlineStr">
        <is>
          <t>Set 1 of 3</t>
        </is>
      </c>
      <c r="O139" s="34" t="inlineStr">
        <is>
          <t>Marks</t>
        </is>
      </c>
      <c r="P139" t="inlineStr">
        <is>
          <t>P7</t>
        </is>
      </c>
    </row>
    <row r="140" outlineLevel="1" ht="20" customHeight="1">
      <c r="A140" s="29" t="inlineStr">
        <is>
          <t>P7.4</t>
        </is>
      </c>
      <c r="B140" s="30" t="inlineStr">
        <is>
          <t>The product rule</t>
        </is>
      </c>
      <c r="C140" s="35" t="n">
        <v>2</v>
      </c>
      <c r="D140" s="32" t="n"/>
      <c r="E140" s="33" t="n"/>
      <c r="F140" s="34" t="inlineStr">
        <is>
          <t>▶ Watch</t>
        </is>
      </c>
      <c r="G140" s="34" t="inlineStr">
        <is>
          <t>Questions</t>
        </is>
      </c>
      <c r="H140" s="34" t="inlineStr">
        <is>
          <t>Answers</t>
        </is>
      </c>
      <c r="I140" s="33" t="inlineStr">
        <is>
          <t>Products and Quotients (Yr 2)</t>
        </is>
      </c>
      <c r="J140" s="34" t="inlineStr">
        <is>
          <t>Questions</t>
        </is>
      </c>
      <c r="K140" s="34" t="inlineStr">
        <is>
          <t>Marks</t>
        </is>
      </c>
      <c r="L140" s="34" t="inlineStr">
        <is>
          <t>Answers</t>
        </is>
      </c>
      <c r="M140" s="29" t="inlineStr">
        <is>
          <t>Pure 2 Ch9</t>
        </is>
      </c>
      <c r="N140" s="34" t="inlineStr">
        <is>
          <t>Set 1 of 3</t>
        </is>
      </c>
      <c r="O140" s="34" t="inlineStr">
        <is>
          <t>Marks</t>
        </is>
      </c>
      <c r="P140" t="inlineStr">
        <is>
          <t>P7</t>
        </is>
      </c>
    </row>
    <row r="141" outlineLevel="1" ht="20" customHeight="1">
      <c r="A141" s="29" t="inlineStr">
        <is>
          <t>P7.4</t>
        </is>
      </c>
      <c r="B141" s="30" t="inlineStr">
        <is>
          <t>The quotient rule</t>
        </is>
      </c>
      <c r="C141" s="35" t="n">
        <v>2</v>
      </c>
      <c r="D141" s="32" t="n"/>
      <c r="E141" s="33" t="n"/>
      <c r="F141" s="34" t="inlineStr">
        <is>
          <t>▶ Watch</t>
        </is>
      </c>
      <c r="G141" s="34" t="inlineStr">
        <is>
          <t>Questions</t>
        </is>
      </c>
      <c r="H141" s="34" t="inlineStr">
        <is>
          <t>Answers</t>
        </is>
      </c>
      <c r="I141" s="33" t="inlineStr">
        <is>
          <t>Products and Quotients (Yr 2)</t>
        </is>
      </c>
      <c r="J141" s="34" t="inlineStr">
        <is>
          <t>Questions</t>
        </is>
      </c>
      <c r="K141" s="34" t="inlineStr">
        <is>
          <t>Marks</t>
        </is>
      </c>
      <c r="L141" s="34" t="inlineStr">
        <is>
          <t>Answers</t>
        </is>
      </c>
      <c r="M141" s="29" t="inlineStr">
        <is>
          <t>Pure 2 Ch9</t>
        </is>
      </c>
      <c r="N141" s="34" t="inlineStr">
        <is>
          <t>Set 1 of 3</t>
        </is>
      </c>
      <c r="O141" s="34" t="inlineStr">
        <is>
          <t>Marks</t>
        </is>
      </c>
      <c r="P141" t="inlineStr">
        <is>
          <t>P7</t>
        </is>
      </c>
    </row>
    <row r="142" outlineLevel="1" ht="32" customHeight="1">
      <c r="A142" s="29" t="inlineStr">
        <is>
          <t>P7.4</t>
        </is>
      </c>
      <c r="B142" s="30" t="inlineStr">
        <is>
          <t>Differentiating sec, cosec, cot and x = f(y) (dy/dx = 1 ÷ dx/dy)</t>
        </is>
      </c>
      <c r="C142" s="35" t="n">
        <v>2</v>
      </c>
      <c r="D142" s="32" t="n"/>
      <c r="E142" s="33" t="n"/>
      <c r="F142" s="34" t="inlineStr">
        <is>
          <t>▶ Watch</t>
        </is>
      </c>
      <c r="G142" s="34" t="inlineStr">
        <is>
          <t>Questions</t>
        </is>
      </c>
      <c r="H142" s="34" t="inlineStr">
        <is>
          <t>Answers</t>
        </is>
      </c>
      <c r="I142" s="36" t="inlineStr">
        <is>
          <t>none for this topic</t>
        </is>
      </c>
      <c r="J142" s="37" t="n"/>
      <c r="K142" s="37" t="n"/>
      <c r="L142" s="37" t="n"/>
      <c r="M142" s="29" t="inlineStr">
        <is>
          <t>Pure 2 Ch9</t>
        </is>
      </c>
      <c r="N142" s="34" t="inlineStr">
        <is>
          <t>Set 1 of 3</t>
        </is>
      </c>
      <c r="O142" s="34" t="inlineStr">
        <is>
          <t>Marks</t>
        </is>
      </c>
      <c r="P142" t="inlineStr">
        <is>
          <t>P7</t>
        </is>
      </c>
    </row>
    <row r="143" outlineLevel="1" ht="20" customHeight="1">
      <c r="A143" s="29" t="inlineStr">
        <is>
          <t>P7.4</t>
        </is>
      </c>
      <c r="B143" s="30" t="inlineStr">
        <is>
          <t>Connected rates of change</t>
        </is>
      </c>
      <c r="C143" s="35" t="n">
        <v>2</v>
      </c>
      <c r="D143" s="32" t="n"/>
      <c r="E143" s="33" t="n"/>
      <c r="F143" s="34" t="inlineStr">
        <is>
          <t>▶ Watch</t>
        </is>
      </c>
      <c r="G143" s="34" t="inlineStr">
        <is>
          <t>Questions</t>
        </is>
      </c>
      <c r="H143" s="34" t="inlineStr">
        <is>
          <t>Answers</t>
        </is>
      </c>
      <c r="I143" s="33" t="inlineStr">
        <is>
          <t>Rates of Change (Yr 2)</t>
        </is>
      </c>
      <c r="J143" s="34" t="inlineStr">
        <is>
          <t>Questions</t>
        </is>
      </c>
      <c r="K143" s="34" t="inlineStr">
        <is>
          <t>Marks</t>
        </is>
      </c>
      <c r="L143" s="34" t="inlineStr">
        <is>
          <t>Answers</t>
        </is>
      </c>
      <c r="M143" s="29" t="inlineStr">
        <is>
          <t>Pure 2 Ch9</t>
        </is>
      </c>
      <c r="N143" s="34" t="inlineStr">
        <is>
          <t>Set 1 of 3</t>
        </is>
      </c>
      <c r="O143" s="34" t="inlineStr">
        <is>
          <t>Marks</t>
        </is>
      </c>
      <c r="P143" t="inlineStr">
        <is>
          <t>P7</t>
        </is>
      </c>
    </row>
    <row r="144" outlineLevel="1" ht="32" customHeight="1">
      <c r="A144" s="29" t="inlineStr">
        <is>
          <t>P7.5</t>
        </is>
      </c>
      <c r="B144" s="30" t="inlineStr">
        <is>
          <t>Parametric differentiation</t>
        </is>
      </c>
      <c r="C144" s="35" t="n">
        <v>2</v>
      </c>
      <c r="D144" s="32" t="n"/>
      <c r="E144" s="33" t="n"/>
      <c r="F144" s="34" t="inlineStr">
        <is>
          <t>▶ Watch</t>
        </is>
      </c>
      <c r="G144" s="34" t="inlineStr">
        <is>
          <t>Questions</t>
        </is>
      </c>
      <c r="H144" s="34" t="inlineStr">
        <is>
          <t>Answers</t>
        </is>
      </c>
      <c r="I144" s="33" t="inlineStr">
        <is>
          <t>Parametric Differentiation (Yr 2)</t>
        </is>
      </c>
      <c r="J144" s="34" t="inlineStr">
        <is>
          <t>Questions</t>
        </is>
      </c>
      <c r="K144" s="34" t="inlineStr">
        <is>
          <t>Marks</t>
        </is>
      </c>
      <c r="L144" s="34" t="inlineStr">
        <is>
          <t>Answers</t>
        </is>
      </c>
      <c r="M144" s="29" t="inlineStr">
        <is>
          <t>Pure 2 Ch9</t>
        </is>
      </c>
      <c r="N144" s="34" t="inlineStr">
        <is>
          <t>Set 1 of 3</t>
        </is>
      </c>
      <c r="O144" s="34" t="inlineStr">
        <is>
          <t>Marks</t>
        </is>
      </c>
      <c r="P144" t="inlineStr">
        <is>
          <t>P7</t>
        </is>
      </c>
    </row>
    <row r="145" outlineLevel="1" ht="32" customHeight="1">
      <c r="A145" s="29" t="inlineStr">
        <is>
          <t>P7.5</t>
        </is>
      </c>
      <c r="B145" s="30" t="inlineStr">
        <is>
          <t>Implicit differentiation</t>
        </is>
      </c>
      <c r="C145" s="35" t="n">
        <v>2</v>
      </c>
      <c r="D145" s="32" t="n"/>
      <c r="E145" s="33" t="n"/>
      <c r="F145" s="34" t="inlineStr">
        <is>
          <t>▶ Watch</t>
        </is>
      </c>
      <c r="G145" s="34" t="inlineStr">
        <is>
          <t>Questions</t>
        </is>
      </c>
      <c r="H145" s="34" t="inlineStr">
        <is>
          <t>Answers</t>
        </is>
      </c>
      <c r="I145" s="33" t="inlineStr">
        <is>
          <t>Implicit Differentiation (Yr 2)</t>
        </is>
      </c>
      <c r="J145" s="34" t="inlineStr">
        <is>
          <t>Questions</t>
        </is>
      </c>
      <c r="K145" s="34" t="inlineStr">
        <is>
          <t>Marks</t>
        </is>
      </c>
      <c r="L145" s="34" t="inlineStr">
        <is>
          <t>Answers</t>
        </is>
      </c>
      <c r="M145" s="29" t="inlineStr">
        <is>
          <t>Pure 2 Ch9</t>
        </is>
      </c>
      <c r="N145" s="34" t="inlineStr">
        <is>
          <t>Set 1 of 3</t>
        </is>
      </c>
      <c r="O145" s="34" t="inlineStr">
        <is>
          <t>Marks</t>
        </is>
      </c>
      <c r="P145" t="inlineStr">
        <is>
          <t>P7</t>
        </is>
      </c>
    </row>
    <row r="146" outlineLevel="1" ht="20" customHeight="1">
      <c r="A146" s="29" t="inlineStr">
        <is>
          <t>P7.6</t>
        </is>
      </c>
      <c r="B146" s="30" t="inlineStr">
        <is>
          <t>Constructing differential equations</t>
        </is>
      </c>
      <c r="C146" s="35" t="n">
        <v>2</v>
      </c>
      <c r="D146" s="32" t="n"/>
      <c r="E146" s="33" t="n"/>
      <c r="F146" s="34" t="inlineStr">
        <is>
          <t>▶ Watch</t>
        </is>
      </c>
      <c r="G146" s="34" t="inlineStr">
        <is>
          <t>Questions</t>
        </is>
      </c>
      <c r="H146" s="34" t="inlineStr">
        <is>
          <t>Answers</t>
        </is>
      </c>
      <c r="I146" s="33" t="inlineStr">
        <is>
          <t>Rates of Change (Yr 2)</t>
        </is>
      </c>
      <c r="J146" s="34" t="inlineStr">
        <is>
          <t>Questions</t>
        </is>
      </c>
      <c r="K146" s="34" t="inlineStr">
        <is>
          <t>Marks</t>
        </is>
      </c>
      <c r="L146" s="34" t="inlineStr">
        <is>
          <t>Answers</t>
        </is>
      </c>
      <c r="M146" s="29" t="inlineStr">
        <is>
          <t>Pure 2 Ch11</t>
        </is>
      </c>
      <c r="N146" s="34" t="inlineStr">
        <is>
          <t>Set 1 of 4</t>
        </is>
      </c>
      <c r="O146" s="34" t="inlineStr">
        <is>
          <t>Marks</t>
        </is>
      </c>
      <c r="P146" t="inlineStr">
        <is>
          <t>P7</t>
        </is>
      </c>
    </row>
    <row r="147" ht="10" customHeight="1"/>
    <row r="148" ht="26" customHeight="1">
      <c r="A148" s="25" t="inlineStr">
        <is>
          <t>8</t>
        </is>
      </c>
      <c r="B148" s="26" t="inlineStr">
        <is>
          <t>Integration</t>
        </is>
      </c>
      <c r="C148" s="27" t="n"/>
      <c r="D148" s="27" t="n"/>
      <c r="E148" s="28" t="inlineStr">
        <is>
          <t>18 topics  ·  Year 1: 6  ·  Year 2: 12</t>
        </is>
      </c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</row>
    <row r="149" outlineLevel="1" ht="32" customHeight="1">
      <c r="A149" s="29" t="inlineStr">
        <is>
          <t>P8.1</t>
        </is>
      </c>
      <c r="B149" s="30" t="inlineStr">
        <is>
          <t>Fundamental Theorem of Calculus: integration as the reverse of differentiation (+ c)</t>
        </is>
      </c>
      <c r="C149" s="31" t="n">
        <v>1</v>
      </c>
      <c r="D149" s="32" t="n"/>
      <c r="E149" s="33" t="n"/>
      <c r="F149" s="34" t="inlineStr">
        <is>
          <t>▶ Watch</t>
        </is>
      </c>
      <c r="G149" s="34" t="inlineStr">
        <is>
          <t>Questions</t>
        </is>
      </c>
      <c r="H149" s="34" t="inlineStr">
        <is>
          <t>Answers</t>
        </is>
      </c>
      <c r="I149" s="33" t="inlineStr">
        <is>
          <t>Basic Integration</t>
        </is>
      </c>
      <c r="J149" s="34" t="inlineStr">
        <is>
          <t>Questions</t>
        </is>
      </c>
      <c r="K149" s="34" t="inlineStr">
        <is>
          <t>Marks</t>
        </is>
      </c>
      <c r="L149" s="34" t="inlineStr">
        <is>
          <t>Answers</t>
        </is>
      </c>
      <c r="M149" s="29" t="inlineStr">
        <is>
          <t>Pure 1 Ch13</t>
        </is>
      </c>
      <c r="N149" s="34" t="inlineStr">
        <is>
          <t>Questions</t>
        </is>
      </c>
      <c r="O149" s="34" t="inlineStr">
        <is>
          <t>Marks</t>
        </is>
      </c>
      <c r="P149" t="inlineStr">
        <is>
          <t>P8</t>
        </is>
      </c>
    </row>
    <row r="150" outlineLevel="1" ht="20" customHeight="1">
      <c r="A150" s="29" t="inlineStr">
        <is>
          <t>P8.2</t>
        </is>
      </c>
      <c r="B150" s="30" t="inlineStr">
        <is>
          <t>Integrating xⁿ and sums of terms</t>
        </is>
      </c>
      <c r="C150" s="31" t="n">
        <v>1</v>
      </c>
      <c r="D150" s="32" t="n"/>
      <c r="E150" s="33" t="n"/>
      <c r="F150" s="34" t="inlineStr">
        <is>
          <t>▶ Watch</t>
        </is>
      </c>
      <c r="G150" s="34" t="inlineStr">
        <is>
          <t>Questions</t>
        </is>
      </c>
      <c r="H150" s="34" t="inlineStr">
        <is>
          <t>Answers</t>
        </is>
      </c>
      <c r="I150" s="33" t="inlineStr">
        <is>
          <t>Basic Integration</t>
        </is>
      </c>
      <c r="J150" s="34" t="inlineStr">
        <is>
          <t>Questions</t>
        </is>
      </c>
      <c r="K150" s="34" t="inlineStr">
        <is>
          <t>Marks</t>
        </is>
      </c>
      <c r="L150" s="34" t="inlineStr">
        <is>
          <t>Answers</t>
        </is>
      </c>
      <c r="M150" s="29" t="inlineStr">
        <is>
          <t>Pure 1 Ch13</t>
        </is>
      </c>
      <c r="N150" s="34" t="inlineStr">
        <is>
          <t>Questions</t>
        </is>
      </c>
      <c r="O150" s="34" t="inlineStr">
        <is>
          <t>Marks</t>
        </is>
      </c>
      <c r="P150" t="inlineStr">
        <is>
          <t>P8</t>
        </is>
      </c>
    </row>
    <row r="151" outlineLevel="1" ht="20" customHeight="1">
      <c r="A151" s="29" t="inlineStr">
        <is>
          <t>P8.2</t>
        </is>
      </c>
      <c r="B151" s="30" t="inlineStr">
        <is>
          <t>Finding a function from its derivative (finding c)</t>
        </is>
      </c>
      <c r="C151" s="31" t="n">
        <v>1</v>
      </c>
      <c r="D151" s="32" t="n"/>
      <c r="E151" s="33" t="n"/>
      <c r="F151" s="34" t="inlineStr">
        <is>
          <t>▶ Watch</t>
        </is>
      </c>
      <c r="G151" s="34" t="inlineStr">
        <is>
          <t>Questions</t>
        </is>
      </c>
      <c r="H151" s="34" t="inlineStr">
        <is>
          <t>Answers</t>
        </is>
      </c>
      <c r="I151" s="33" t="inlineStr">
        <is>
          <t>Basic Integration</t>
        </is>
      </c>
      <c r="J151" s="34" t="inlineStr">
        <is>
          <t>Questions</t>
        </is>
      </c>
      <c r="K151" s="34" t="inlineStr">
        <is>
          <t>Marks</t>
        </is>
      </c>
      <c r="L151" s="34" t="inlineStr">
        <is>
          <t>Answers</t>
        </is>
      </c>
      <c r="M151" s="29" t="inlineStr">
        <is>
          <t>Pure 1 Ch13</t>
        </is>
      </c>
      <c r="N151" s="34" t="inlineStr">
        <is>
          <t>Questions</t>
        </is>
      </c>
      <c r="O151" s="34" t="inlineStr">
        <is>
          <t>Marks</t>
        </is>
      </c>
      <c r="P151" t="inlineStr">
        <is>
          <t>P8</t>
        </is>
      </c>
    </row>
    <row r="152" outlineLevel="1" ht="20" customHeight="1">
      <c r="A152" s="29" t="inlineStr">
        <is>
          <t>P8.3</t>
        </is>
      </c>
      <c r="B152" s="30" t="inlineStr">
        <is>
          <t>Definite integrals</t>
        </is>
      </c>
      <c r="C152" s="31" t="n">
        <v>1</v>
      </c>
      <c r="D152" s="32" t="n"/>
      <c r="E152" s="33" t="n"/>
      <c r="F152" s="34" t="inlineStr">
        <is>
          <t>▶ Watch</t>
        </is>
      </c>
      <c r="G152" s="34" t="inlineStr">
        <is>
          <t>Questions</t>
        </is>
      </c>
      <c r="H152" s="34" t="inlineStr">
        <is>
          <t>Answers</t>
        </is>
      </c>
      <c r="I152" s="33" t="inlineStr">
        <is>
          <t>Definite Integration</t>
        </is>
      </c>
      <c r="J152" s="34" t="inlineStr">
        <is>
          <t>Questions</t>
        </is>
      </c>
      <c r="K152" s="34" t="inlineStr">
        <is>
          <t>Marks</t>
        </is>
      </c>
      <c r="L152" s="34" t="inlineStr">
        <is>
          <t>Answers</t>
        </is>
      </c>
      <c r="M152" s="29" t="inlineStr">
        <is>
          <t>Pure 1 Ch13</t>
        </is>
      </c>
      <c r="N152" s="34" t="inlineStr">
        <is>
          <t>Questions</t>
        </is>
      </c>
      <c r="O152" s="34" t="inlineStr">
        <is>
          <t>Marks</t>
        </is>
      </c>
      <c r="P152" t="inlineStr">
        <is>
          <t>P8</t>
        </is>
      </c>
    </row>
    <row r="153" outlineLevel="1" ht="20" customHeight="1">
      <c r="A153" s="29" t="inlineStr">
        <is>
          <t>P8.3</t>
        </is>
      </c>
      <c r="B153" s="30" t="inlineStr">
        <is>
          <t>Areas under curves (incl. below the x-axis)</t>
        </is>
      </c>
      <c r="C153" s="31" t="n">
        <v>1</v>
      </c>
      <c r="D153" s="32" t="n"/>
      <c r="E153" s="33" t="n"/>
      <c r="F153" s="34" t="inlineStr">
        <is>
          <t>▶ Watch</t>
        </is>
      </c>
      <c r="G153" s="34" t="inlineStr">
        <is>
          <t>Questions</t>
        </is>
      </c>
      <c r="H153" s="34" t="inlineStr">
        <is>
          <t>Answers</t>
        </is>
      </c>
      <c r="I153" s="33" t="inlineStr">
        <is>
          <t>Areas by Integration</t>
        </is>
      </c>
      <c r="J153" s="34" t="inlineStr">
        <is>
          <t>Questions</t>
        </is>
      </c>
      <c r="K153" s="34" t="inlineStr">
        <is>
          <t>Marks</t>
        </is>
      </c>
      <c r="L153" s="34" t="inlineStr">
        <is>
          <t>Answers</t>
        </is>
      </c>
      <c r="M153" s="29" t="inlineStr">
        <is>
          <t>Pure 1 Ch13</t>
        </is>
      </c>
      <c r="N153" s="34" t="inlineStr">
        <is>
          <t>Questions</t>
        </is>
      </c>
      <c r="O153" s="34" t="inlineStr">
        <is>
          <t>Marks</t>
        </is>
      </c>
      <c r="P153" t="inlineStr">
        <is>
          <t>P8</t>
        </is>
      </c>
    </row>
    <row r="154" outlineLevel="1" ht="20" customHeight="1">
      <c r="A154" s="29" t="inlineStr">
        <is>
          <t>P8.3</t>
        </is>
      </c>
      <c r="B154" s="30" t="inlineStr">
        <is>
          <t>Areas between curves and lines</t>
        </is>
      </c>
      <c r="C154" s="31" t="n">
        <v>1</v>
      </c>
      <c r="D154" s="32" t="n"/>
      <c r="E154" s="33" t="n"/>
      <c r="F154" s="34" t="inlineStr">
        <is>
          <t>▶ Watch</t>
        </is>
      </c>
      <c r="G154" s="34" t="inlineStr">
        <is>
          <t>Questions</t>
        </is>
      </c>
      <c r="H154" s="34" t="inlineStr">
        <is>
          <t>Answers</t>
        </is>
      </c>
      <c r="I154" s="33" t="inlineStr">
        <is>
          <t>Areas by Integration</t>
        </is>
      </c>
      <c r="J154" s="34" t="inlineStr">
        <is>
          <t>Questions</t>
        </is>
      </c>
      <c r="K154" s="34" t="inlineStr">
        <is>
          <t>Marks</t>
        </is>
      </c>
      <c r="L154" s="34" t="inlineStr">
        <is>
          <t>Answers</t>
        </is>
      </c>
      <c r="M154" s="29" t="inlineStr">
        <is>
          <t>Pure 1 Ch13</t>
        </is>
      </c>
      <c r="N154" s="34" t="inlineStr">
        <is>
          <t>Questions</t>
        </is>
      </c>
      <c r="O154" s="34" t="inlineStr">
        <is>
          <t>Marks</t>
        </is>
      </c>
      <c r="P154" t="inlineStr">
        <is>
          <t>P8</t>
        </is>
      </c>
    </row>
    <row r="155" outlineLevel="1" ht="20" customHeight="1">
      <c r="A155" s="29" t="inlineStr">
        <is>
          <t>P8.2</t>
        </is>
      </c>
      <c r="B155" s="30" t="inlineStr">
        <is>
          <t>Integrating standard functions (eˣ, 1/x, sin, cos, sec² …)</t>
        </is>
      </c>
      <c r="C155" s="35" t="n">
        <v>2</v>
      </c>
      <c r="D155" s="32" t="n"/>
      <c r="E155" s="33" t="n"/>
      <c r="F155" s="34" t="inlineStr">
        <is>
          <t>▶ Watch</t>
        </is>
      </c>
      <c r="G155" s="34" t="inlineStr">
        <is>
          <t>Questions</t>
        </is>
      </c>
      <c r="H155" s="34" t="inlineStr">
        <is>
          <t>Answers</t>
        </is>
      </c>
      <c r="I155" s="36" t="inlineStr">
        <is>
          <t>none for this topic</t>
        </is>
      </c>
      <c r="J155" s="37" t="n"/>
      <c r="K155" s="37" t="n"/>
      <c r="L155" s="37" t="n"/>
      <c r="M155" s="29" t="inlineStr">
        <is>
          <t>Pure 2 Ch11</t>
        </is>
      </c>
      <c r="N155" s="34" t="inlineStr">
        <is>
          <t>Set 1 of 4</t>
        </is>
      </c>
      <c r="O155" s="34" t="inlineStr">
        <is>
          <t>Marks</t>
        </is>
      </c>
      <c r="P155" t="inlineStr">
        <is>
          <t>P8</t>
        </is>
      </c>
    </row>
    <row r="156" outlineLevel="1" ht="20" customHeight="1">
      <c r="A156" s="29" t="inlineStr">
        <is>
          <t>P8.2</t>
        </is>
      </c>
      <c r="B156" s="30" t="inlineStr">
        <is>
          <t>Integrating f(ax + b)</t>
        </is>
      </c>
      <c r="C156" s="35" t="n">
        <v>2</v>
      </c>
      <c r="D156" s="32" t="n"/>
      <c r="E156" s="33" t="n"/>
      <c r="F156" s="34" t="inlineStr">
        <is>
          <t>▶ Watch</t>
        </is>
      </c>
      <c r="G156" s="34" t="inlineStr">
        <is>
          <t>Questions</t>
        </is>
      </c>
      <c r="H156" s="34" t="inlineStr">
        <is>
          <t>Answers</t>
        </is>
      </c>
      <c r="I156" s="33" t="inlineStr">
        <is>
          <t>Definite Integration (Yr 2)</t>
        </is>
      </c>
      <c r="J156" s="34" t="inlineStr">
        <is>
          <t>Questions</t>
        </is>
      </c>
      <c r="K156" s="34" t="inlineStr">
        <is>
          <t>Marks</t>
        </is>
      </c>
      <c r="L156" s="34" t="inlineStr">
        <is>
          <t>Answers</t>
        </is>
      </c>
      <c r="M156" s="29" t="inlineStr">
        <is>
          <t>Pure 2 Ch11</t>
        </is>
      </c>
      <c r="N156" s="34" t="inlineStr">
        <is>
          <t>Set 1 of 4</t>
        </is>
      </c>
      <c r="O156" s="34" t="inlineStr">
        <is>
          <t>Marks</t>
        </is>
      </c>
      <c r="P156" t="inlineStr">
        <is>
          <t>P8</t>
        </is>
      </c>
    </row>
    <row r="157" outlineLevel="1" ht="20" customHeight="1">
      <c r="A157" s="29" t="inlineStr">
        <is>
          <t>P8.2</t>
        </is>
      </c>
      <c r="B157" s="30" t="inlineStr">
        <is>
          <t>Integration using trig identities (e.g. sin²x, tan²x)</t>
        </is>
      </c>
      <c r="C157" s="35" t="n">
        <v>2</v>
      </c>
      <c r="D157" s="32" t="n"/>
      <c r="E157" s="33" t="n"/>
      <c r="F157" s="34" t="inlineStr">
        <is>
          <t>▶ Watch</t>
        </is>
      </c>
      <c r="G157" s="34" t="inlineStr">
        <is>
          <t>Questions</t>
        </is>
      </c>
      <c r="H157" s="34" t="inlineStr">
        <is>
          <t>Answers</t>
        </is>
      </c>
      <c r="I157" s="33" t="inlineStr">
        <is>
          <t>Parametric Integration (Yr 2)</t>
        </is>
      </c>
      <c r="J157" s="34" t="inlineStr">
        <is>
          <t>Questions</t>
        </is>
      </c>
      <c r="K157" s="34" t="inlineStr">
        <is>
          <t>Marks</t>
        </is>
      </c>
      <c r="L157" s="34" t="inlineStr">
        <is>
          <t>Answers</t>
        </is>
      </c>
      <c r="M157" s="29" t="inlineStr">
        <is>
          <t>Pure 2 Ch11</t>
        </is>
      </c>
      <c r="N157" s="34" t="inlineStr">
        <is>
          <t>Set 1 of 4</t>
        </is>
      </c>
      <c r="O157" s="34" t="inlineStr">
        <is>
          <t>Marks</t>
        </is>
      </c>
      <c r="P157" t="inlineStr">
        <is>
          <t>P8</t>
        </is>
      </c>
    </row>
    <row r="158" outlineLevel="1" ht="20" customHeight="1">
      <c r="A158" s="29" t="inlineStr">
        <is>
          <t>P8.5</t>
        </is>
      </c>
      <c r="B158" s="30" t="inlineStr">
        <is>
          <t>Reverse chain rule (f′(x)/f(x) and f′(x)[f(x)]ⁿ)</t>
        </is>
      </c>
      <c r="C158" s="35" t="n">
        <v>2</v>
      </c>
      <c r="D158" s="32" t="n"/>
      <c r="E158" s="33" t="n"/>
      <c r="F158" s="34" t="inlineStr">
        <is>
          <t>▶ Watch</t>
        </is>
      </c>
      <c r="G158" s="34" t="inlineStr">
        <is>
          <t>Questions</t>
        </is>
      </c>
      <c r="H158" s="34" t="inlineStr">
        <is>
          <t>Answers</t>
        </is>
      </c>
      <c r="I158" s="36" t="inlineStr">
        <is>
          <t>none for this topic</t>
        </is>
      </c>
      <c r="J158" s="37" t="n"/>
      <c r="K158" s="37" t="n"/>
      <c r="L158" s="37" t="n"/>
      <c r="M158" s="29" t="inlineStr">
        <is>
          <t>Pure 2 Ch11</t>
        </is>
      </c>
      <c r="N158" s="34" t="inlineStr">
        <is>
          <t>Set 1 of 4</t>
        </is>
      </c>
      <c r="O158" s="34" t="inlineStr">
        <is>
          <t>Marks</t>
        </is>
      </c>
      <c r="P158" t="inlineStr">
        <is>
          <t>P8</t>
        </is>
      </c>
    </row>
    <row r="159" outlineLevel="1" ht="32" customHeight="1">
      <c r="A159" s="29" t="inlineStr">
        <is>
          <t>P8.5</t>
        </is>
      </c>
      <c r="B159" s="30" t="inlineStr">
        <is>
          <t>Integration by substitution</t>
        </is>
      </c>
      <c r="C159" s="35" t="n">
        <v>2</v>
      </c>
      <c r="D159" s="32" t="n"/>
      <c r="E159" s="33" t="n"/>
      <c r="F159" s="34" t="inlineStr">
        <is>
          <t>▶ Watch</t>
        </is>
      </c>
      <c r="G159" s="34" t="inlineStr">
        <is>
          <t>Questions</t>
        </is>
      </c>
      <c r="H159" s="34" t="inlineStr">
        <is>
          <t>Answers</t>
        </is>
      </c>
      <c r="I159" s="33" t="inlineStr">
        <is>
          <t>Integration by Substitution (Yr 2)</t>
        </is>
      </c>
      <c r="J159" s="34" t="inlineStr">
        <is>
          <t>Questions</t>
        </is>
      </c>
      <c r="K159" s="34" t="inlineStr">
        <is>
          <t>Marks</t>
        </is>
      </c>
      <c r="L159" s="34" t="inlineStr">
        <is>
          <t>Answers</t>
        </is>
      </c>
      <c r="M159" s="29" t="inlineStr">
        <is>
          <t>Pure 2 Ch11</t>
        </is>
      </c>
      <c r="N159" s="34" t="inlineStr">
        <is>
          <t>Set 1 of 4</t>
        </is>
      </c>
      <c r="O159" s="34" t="inlineStr">
        <is>
          <t>Marks</t>
        </is>
      </c>
      <c r="P159" t="inlineStr">
        <is>
          <t>P8</t>
        </is>
      </c>
    </row>
    <row r="160" outlineLevel="1" ht="20" customHeight="1">
      <c r="A160" s="29" t="inlineStr">
        <is>
          <t>P8.5</t>
        </is>
      </c>
      <c r="B160" s="30" t="inlineStr">
        <is>
          <t>Integration by parts</t>
        </is>
      </c>
      <c r="C160" s="35" t="n">
        <v>2</v>
      </c>
      <c r="D160" s="32" t="n"/>
      <c r="E160" s="33" t="n"/>
      <c r="F160" s="34" t="inlineStr">
        <is>
          <t>▶ Watch</t>
        </is>
      </c>
      <c r="G160" s="34" t="inlineStr">
        <is>
          <t>Questions</t>
        </is>
      </c>
      <c r="H160" s="34" t="inlineStr">
        <is>
          <t>Answers</t>
        </is>
      </c>
      <c r="I160" s="33" t="inlineStr">
        <is>
          <t>Integration by Parts (Yr 2)</t>
        </is>
      </c>
      <c r="J160" s="34" t="inlineStr">
        <is>
          <t>Questions</t>
        </is>
      </c>
      <c r="K160" s="34" t="inlineStr">
        <is>
          <t>Marks</t>
        </is>
      </c>
      <c r="L160" s="34" t="inlineStr">
        <is>
          <t>Answers</t>
        </is>
      </c>
      <c r="M160" s="29" t="inlineStr">
        <is>
          <t>Pure 2 Ch11</t>
        </is>
      </c>
      <c r="N160" s="34" t="inlineStr">
        <is>
          <t>Set 1 of 4</t>
        </is>
      </c>
      <c r="O160" s="34" t="inlineStr">
        <is>
          <t>Marks</t>
        </is>
      </c>
      <c r="P160" t="inlineStr">
        <is>
          <t>P8</t>
        </is>
      </c>
    </row>
    <row r="161" outlineLevel="1" ht="20" customHeight="1">
      <c r="A161" s="29" t="inlineStr">
        <is>
          <t>P8.6</t>
        </is>
      </c>
      <c r="B161" s="30" t="inlineStr">
        <is>
          <t>Integration using partial fractions</t>
        </is>
      </c>
      <c r="C161" s="35" t="n">
        <v>2</v>
      </c>
      <c r="D161" s="32" t="n"/>
      <c r="E161" s="33" t="n"/>
      <c r="F161" s="34" t="inlineStr">
        <is>
          <t>▶ Watch</t>
        </is>
      </c>
      <c r="G161" s="34" t="inlineStr">
        <is>
          <t>Questions</t>
        </is>
      </c>
      <c r="H161" s="34" t="inlineStr">
        <is>
          <t>Answers</t>
        </is>
      </c>
      <c r="I161" s="33" t="inlineStr">
        <is>
          <t>Definite Integration (Yr 2)</t>
        </is>
      </c>
      <c r="J161" s="34" t="inlineStr">
        <is>
          <t>Questions</t>
        </is>
      </c>
      <c r="K161" s="34" t="inlineStr">
        <is>
          <t>Marks</t>
        </is>
      </c>
      <c r="L161" s="34" t="inlineStr">
        <is>
          <t>Answers</t>
        </is>
      </c>
      <c r="M161" s="29" t="inlineStr">
        <is>
          <t>Pure 2 Ch11</t>
        </is>
      </c>
      <c r="N161" s="34" t="inlineStr">
        <is>
          <t>Set 1 of 4</t>
        </is>
      </c>
      <c r="O161" s="34" t="inlineStr">
        <is>
          <t>Marks</t>
        </is>
      </c>
      <c r="P161" t="inlineStr">
        <is>
          <t>P8</t>
        </is>
      </c>
    </row>
    <row r="162" outlineLevel="1" ht="20" customHeight="1">
      <c r="A162" s="29" t="inlineStr">
        <is>
          <t>P8.3</t>
        </is>
      </c>
      <c r="B162" s="30" t="inlineStr">
        <is>
          <t>Areas between two curves (Year 2 functions)</t>
        </is>
      </c>
      <c r="C162" s="35" t="n">
        <v>2</v>
      </c>
      <c r="D162" s="32" t="n"/>
      <c r="E162" s="33" t="n"/>
      <c r="F162" s="34" t="inlineStr">
        <is>
          <t>▶ Watch</t>
        </is>
      </c>
      <c r="G162" s="34" t="inlineStr">
        <is>
          <t>Questions</t>
        </is>
      </c>
      <c r="H162" s="34" t="inlineStr">
        <is>
          <t>Answers</t>
        </is>
      </c>
      <c r="I162" s="33" t="inlineStr">
        <is>
          <t>Definite Integration (Yr 2)</t>
        </is>
      </c>
      <c r="J162" s="34" t="inlineStr">
        <is>
          <t>Questions</t>
        </is>
      </c>
      <c r="K162" s="34" t="inlineStr">
        <is>
          <t>Marks</t>
        </is>
      </c>
      <c r="L162" s="34" t="inlineStr">
        <is>
          <t>Answers</t>
        </is>
      </c>
      <c r="M162" s="29" t="inlineStr">
        <is>
          <t>Pure 2 Ch11</t>
        </is>
      </c>
      <c r="N162" s="34" t="inlineStr">
        <is>
          <t>Set 1 of 4</t>
        </is>
      </c>
      <c r="O162" s="34" t="inlineStr">
        <is>
          <t>Marks</t>
        </is>
      </c>
      <c r="P162" t="inlineStr">
        <is>
          <t>P8</t>
        </is>
      </c>
    </row>
    <row r="163" outlineLevel="1" ht="20" customHeight="1">
      <c r="A163" s="29" t="inlineStr">
        <is>
          <t>P8.4</t>
        </is>
      </c>
      <c r="B163" s="30" t="inlineStr">
        <is>
          <t>Integration as the limit of a sum</t>
        </is>
      </c>
      <c r="C163" s="35" t="n">
        <v>2</v>
      </c>
      <c r="D163" s="32" t="n"/>
      <c r="E163" s="33" t="n"/>
      <c r="F163" s="34" t="inlineStr">
        <is>
          <t>▶ Watch</t>
        </is>
      </c>
      <c r="G163" s="34" t="inlineStr">
        <is>
          <t>Questions</t>
        </is>
      </c>
      <c r="H163" s="34" t="inlineStr">
        <is>
          <t>Answers</t>
        </is>
      </c>
      <c r="I163" s="33" t="inlineStr">
        <is>
          <t>Definite Integration (Yr 2)</t>
        </is>
      </c>
      <c r="J163" s="34" t="inlineStr">
        <is>
          <t>Questions</t>
        </is>
      </c>
      <c r="K163" s="34" t="inlineStr">
        <is>
          <t>Marks</t>
        </is>
      </c>
      <c r="L163" s="34" t="inlineStr">
        <is>
          <t>Answers</t>
        </is>
      </c>
      <c r="M163" s="29" t="inlineStr">
        <is>
          <t>Pure 2 Ch11</t>
        </is>
      </c>
      <c r="N163" s="34" t="inlineStr">
        <is>
          <t>Set 1 of 4</t>
        </is>
      </c>
      <c r="O163" s="34" t="inlineStr">
        <is>
          <t>Marks</t>
        </is>
      </c>
      <c r="P163" t="inlineStr">
        <is>
          <t>P8</t>
        </is>
      </c>
    </row>
    <row r="164" outlineLevel="1" ht="20" customHeight="1">
      <c r="A164" s="29" t="inlineStr">
        <is>
          <t>P8.3</t>
        </is>
      </c>
      <c r="B164" s="30" t="inlineStr">
        <is>
          <t>Area under a parametric curve</t>
        </is>
      </c>
      <c r="C164" s="35" t="n">
        <v>2</v>
      </c>
      <c r="D164" s="32" t="n"/>
      <c r="E164" s="33" t="n"/>
      <c r="F164" s="34" t="inlineStr">
        <is>
          <t>▶ Watch</t>
        </is>
      </c>
      <c r="G164" s="34" t="inlineStr">
        <is>
          <t>Questions</t>
        </is>
      </c>
      <c r="H164" s="34" t="inlineStr">
        <is>
          <t>Answers</t>
        </is>
      </c>
      <c r="I164" s="33" t="inlineStr">
        <is>
          <t>Parametric Integration (Yr 2)</t>
        </is>
      </c>
      <c r="J164" s="34" t="inlineStr">
        <is>
          <t>Questions</t>
        </is>
      </c>
      <c r="K164" s="34" t="inlineStr">
        <is>
          <t>Marks</t>
        </is>
      </c>
      <c r="L164" s="34" t="inlineStr">
        <is>
          <t>Answers</t>
        </is>
      </c>
      <c r="M164" s="29" t="inlineStr">
        <is>
          <t>Pure 2 Ch11</t>
        </is>
      </c>
      <c r="N164" s="34" t="inlineStr">
        <is>
          <t>Set 1 of 4</t>
        </is>
      </c>
      <c r="O164" s="34" t="inlineStr">
        <is>
          <t>Marks</t>
        </is>
      </c>
      <c r="P164" t="inlineStr">
        <is>
          <t>P8</t>
        </is>
      </c>
    </row>
    <row r="165" outlineLevel="1" ht="32" customHeight="1">
      <c r="A165" s="29" t="inlineStr">
        <is>
          <t>P8.7</t>
        </is>
      </c>
      <c r="B165" s="30" t="inlineStr">
        <is>
          <t>Solving separable differential equations (incl. families of solution curves)</t>
        </is>
      </c>
      <c r="C165" s="35" t="n">
        <v>2</v>
      </c>
      <c r="D165" s="32" t="n"/>
      <c r="E165" s="33" t="n"/>
      <c r="F165" s="34" t="inlineStr">
        <is>
          <t>▶ Watch</t>
        </is>
      </c>
      <c r="G165" s="34" t="inlineStr">
        <is>
          <t>Questions</t>
        </is>
      </c>
      <c r="H165" s="34" t="inlineStr">
        <is>
          <t>Answers</t>
        </is>
      </c>
      <c r="I165" s="33" t="inlineStr">
        <is>
          <t>Differential Equations (Yr 2)</t>
        </is>
      </c>
      <c r="J165" s="34" t="inlineStr">
        <is>
          <t>Questions</t>
        </is>
      </c>
      <c r="K165" s="34" t="inlineStr">
        <is>
          <t>Marks</t>
        </is>
      </c>
      <c r="L165" s="34" t="inlineStr">
        <is>
          <t>Answers</t>
        </is>
      </c>
      <c r="M165" s="29" t="inlineStr">
        <is>
          <t>Pure 2 Ch11</t>
        </is>
      </c>
      <c r="N165" s="34" t="inlineStr">
        <is>
          <t>Set 1 of 4</t>
        </is>
      </c>
      <c r="O165" s="34" t="inlineStr">
        <is>
          <t>Marks</t>
        </is>
      </c>
      <c r="P165" t="inlineStr">
        <is>
          <t>P8</t>
        </is>
      </c>
    </row>
    <row r="166" outlineLevel="1" ht="32" customHeight="1">
      <c r="A166" s="29" t="inlineStr">
        <is>
          <t>P8.8</t>
        </is>
      </c>
      <c r="B166" s="30" t="inlineStr">
        <is>
          <t>Modelling with differential equations (interpreting solutions)</t>
        </is>
      </c>
      <c r="C166" s="35" t="n">
        <v>2</v>
      </c>
      <c r="D166" s="32" t="n"/>
      <c r="E166" s="33" t="n"/>
      <c r="F166" s="34" t="inlineStr">
        <is>
          <t>▶ Watch</t>
        </is>
      </c>
      <c r="G166" s="34" t="inlineStr">
        <is>
          <t>Questions</t>
        </is>
      </c>
      <c r="H166" s="34" t="inlineStr">
        <is>
          <t>Answers</t>
        </is>
      </c>
      <c r="I166" s="33" t="inlineStr">
        <is>
          <t>Differential Equations (Yr 2)</t>
        </is>
      </c>
      <c r="J166" s="34" t="inlineStr">
        <is>
          <t>Questions</t>
        </is>
      </c>
      <c r="K166" s="34" t="inlineStr">
        <is>
          <t>Marks</t>
        </is>
      </c>
      <c r="L166" s="34" t="inlineStr">
        <is>
          <t>Answers</t>
        </is>
      </c>
      <c r="M166" s="29" t="inlineStr">
        <is>
          <t>Pure 2 Ch11</t>
        </is>
      </c>
      <c r="N166" s="34" t="inlineStr">
        <is>
          <t>Set 1 of 4</t>
        </is>
      </c>
      <c r="O166" s="34" t="inlineStr">
        <is>
          <t>Marks</t>
        </is>
      </c>
      <c r="P166" t="inlineStr">
        <is>
          <t>P8</t>
        </is>
      </c>
    </row>
    <row r="167" ht="10" customHeight="1"/>
    <row r="168" ht="26" customHeight="1">
      <c r="A168" s="25" t="inlineStr">
        <is>
          <t>9</t>
        </is>
      </c>
      <c r="B168" s="26" t="inlineStr">
        <is>
          <t>Numerical methods</t>
        </is>
      </c>
      <c r="C168" s="27" t="n"/>
      <c r="D168" s="27" t="n"/>
      <c r="E168" s="28" t="inlineStr">
        <is>
          <t>5 topics  ·  Year 2: 5</t>
        </is>
      </c>
      <c r="F168" s="27" t="n"/>
      <c r="G168" s="27" t="n"/>
      <c r="H168" s="27" t="n"/>
      <c r="I168" s="27" t="n"/>
      <c r="J168" s="27" t="n"/>
      <c r="K168" s="27" t="n"/>
      <c r="L168" s="27" t="n"/>
      <c r="M168" s="27" t="n"/>
      <c r="N168" s="27" t="n"/>
      <c r="O168" s="27" t="n"/>
    </row>
    <row r="169" outlineLevel="1" ht="20" customHeight="1">
      <c r="A169" s="29" t="inlineStr">
        <is>
          <t>P9.1</t>
        </is>
      </c>
      <c r="B169" s="30" t="inlineStr">
        <is>
          <t>Locating roots (change of sign) and when it fails</t>
        </is>
      </c>
      <c r="C169" s="35" t="n">
        <v>2</v>
      </c>
      <c r="D169" s="32" t="n"/>
      <c r="E169" s="33" t="n"/>
      <c r="F169" s="34" t="inlineStr">
        <is>
          <t>▶ Watch</t>
        </is>
      </c>
      <c r="G169" s="34" t="inlineStr">
        <is>
          <t>Questions</t>
        </is>
      </c>
      <c r="H169" s="34" t="inlineStr">
        <is>
          <t>Answers</t>
        </is>
      </c>
      <c r="I169" s="33" t="inlineStr">
        <is>
          <t>Location of Roots (Yr 2)</t>
        </is>
      </c>
      <c r="J169" s="34" t="inlineStr">
        <is>
          <t>Questions</t>
        </is>
      </c>
      <c r="K169" s="34" t="inlineStr">
        <is>
          <t>Marks</t>
        </is>
      </c>
      <c r="L169" s="34" t="inlineStr">
        <is>
          <t>Answers</t>
        </is>
      </c>
      <c r="M169" s="29" t="inlineStr">
        <is>
          <t>Pure 2 Ch10</t>
        </is>
      </c>
      <c r="N169" s="34" t="inlineStr">
        <is>
          <t>Questions</t>
        </is>
      </c>
      <c r="O169" s="34" t="inlineStr">
        <is>
          <t>Marks</t>
        </is>
      </c>
      <c r="P169" t="inlineStr">
        <is>
          <t>P9</t>
        </is>
      </c>
    </row>
    <row r="170" outlineLevel="1" ht="32" customHeight="1">
      <c r="A170" s="29" t="inlineStr">
        <is>
          <t>P9.2</t>
        </is>
      </c>
      <c r="B170" s="30" t="inlineStr">
        <is>
          <t>Iteration xₙ₊₁ = g(xₙ), cobweb and staircase diagrams (incl. when it fails)</t>
        </is>
      </c>
      <c r="C170" s="35" t="n">
        <v>2</v>
      </c>
      <c r="D170" s="32" t="n"/>
      <c r="E170" s="33" t="n"/>
      <c r="F170" s="34" t="inlineStr">
        <is>
          <t>▶ Watch</t>
        </is>
      </c>
      <c r="G170" s="34" t="inlineStr">
        <is>
          <t>Questions</t>
        </is>
      </c>
      <c r="H170" s="34" t="inlineStr">
        <is>
          <t>Answers</t>
        </is>
      </c>
      <c r="I170" s="33" t="inlineStr">
        <is>
          <t>Iterative Equations (Yr 2)</t>
        </is>
      </c>
      <c r="J170" s="34" t="inlineStr">
        <is>
          <t>Questions</t>
        </is>
      </c>
      <c r="K170" s="34" t="inlineStr">
        <is>
          <t>Marks</t>
        </is>
      </c>
      <c r="L170" s="34" t="inlineStr">
        <is>
          <t>Answers</t>
        </is>
      </c>
      <c r="M170" s="29" t="inlineStr">
        <is>
          <t>Pure 2 Ch10</t>
        </is>
      </c>
      <c r="N170" s="34" t="inlineStr">
        <is>
          <t>Questions</t>
        </is>
      </c>
      <c r="O170" s="34" t="inlineStr">
        <is>
          <t>Marks</t>
        </is>
      </c>
      <c r="P170" t="inlineStr">
        <is>
          <t>P9</t>
        </is>
      </c>
    </row>
    <row r="171" outlineLevel="1" ht="20" customHeight="1">
      <c r="A171" s="29" t="inlineStr">
        <is>
          <t>P9.3</t>
        </is>
      </c>
      <c r="B171" s="30" t="inlineStr">
        <is>
          <t>The Newton-Raphson method</t>
        </is>
      </c>
      <c r="C171" s="35" t="n">
        <v>2</v>
      </c>
      <c r="D171" s="32" t="n"/>
      <c r="E171" s="33" t="n"/>
      <c r="F171" s="34" t="inlineStr">
        <is>
          <t>▶ Watch</t>
        </is>
      </c>
      <c r="G171" s="34" t="inlineStr">
        <is>
          <t>Questions</t>
        </is>
      </c>
      <c r="H171" s="34" t="inlineStr">
        <is>
          <t>Answers</t>
        </is>
      </c>
      <c r="I171" s="33" t="inlineStr">
        <is>
          <t>Newton Raphson (Yr 2)</t>
        </is>
      </c>
      <c r="J171" s="34" t="inlineStr">
        <is>
          <t>Questions</t>
        </is>
      </c>
      <c r="K171" s="34" t="inlineStr">
        <is>
          <t>Marks</t>
        </is>
      </c>
      <c r="L171" s="34" t="inlineStr">
        <is>
          <t>Answers</t>
        </is>
      </c>
      <c r="M171" s="29" t="inlineStr">
        <is>
          <t>Pure 2 Ch10</t>
        </is>
      </c>
      <c r="N171" s="34" t="inlineStr">
        <is>
          <t>Questions</t>
        </is>
      </c>
      <c r="O171" s="34" t="inlineStr">
        <is>
          <t>Marks</t>
        </is>
      </c>
      <c r="P171" t="inlineStr">
        <is>
          <t>P9</t>
        </is>
      </c>
    </row>
    <row r="172" outlineLevel="1" ht="20" customHeight="1">
      <c r="A172" s="29" t="inlineStr">
        <is>
          <t>P9.4</t>
        </is>
      </c>
      <c r="B172" s="30" t="inlineStr">
        <is>
          <t>The trapezium rule (over- and under-estimates)</t>
        </is>
      </c>
      <c r="C172" s="35" t="n">
        <v>2</v>
      </c>
      <c r="D172" s="32" t="n"/>
      <c r="E172" s="33" t="n"/>
      <c r="F172" s="34" t="inlineStr">
        <is>
          <t>▶ Watch</t>
        </is>
      </c>
      <c r="G172" s="34" t="inlineStr">
        <is>
          <t>Questions</t>
        </is>
      </c>
      <c r="H172" s="34" t="inlineStr">
        <is>
          <t>Answers</t>
        </is>
      </c>
      <c r="I172" s="33" t="inlineStr">
        <is>
          <t>Trapezium Rule (Yr 2)</t>
        </is>
      </c>
      <c r="J172" s="34" t="inlineStr">
        <is>
          <t>Questions</t>
        </is>
      </c>
      <c r="K172" s="34" t="inlineStr">
        <is>
          <t>Marks</t>
        </is>
      </c>
      <c r="L172" s="34" t="inlineStr">
        <is>
          <t>Answers</t>
        </is>
      </c>
      <c r="M172" s="29" t="inlineStr">
        <is>
          <t>Pure 2 Ch11</t>
        </is>
      </c>
      <c r="N172" s="34" t="inlineStr">
        <is>
          <t>Set 1 of 4</t>
        </is>
      </c>
      <c r="O172" s="34" t="inlineStr">
        <is>
          <t>Marks</t>
        </is>
      </c>
      <c r="P172" t="inlineStr">
        <is>
          <t>P9</t>
        </is>
      </c>
    </row>
    <row r="173" outlineLevel="1" ht="20" customHeight="1">
      <c r="A173" s="29" t="inlineStr">
        <is>
          <t>P9.5</t>
        </is>
      </c>
      <c r="B173" s="30" t="inlineStr">
        <is>
          <t>Numerical methods in context</t>
        </is>
      </c>
      <c r="C173" s="35" t="n">
        <v>2</v>
      </c>
      <c r="D173" s="32" t="n"/>
      <c r="E173" s="33" t="n"/>
      <c r="F173" s="34" t="inlineStr">
        <is>
          <t>▶ Watch</t>
        </is>
      </c>
      <c r="G173" s="34" t="inlineStr">
        <is>
          <t>Questions</t>
        </is>
      </c>
      <c r="H173" s="34" t="inlineStr">
        <is>
          <t>Answers</t>
        </is>
      </c>
      <c r="I173" s="33" t="inlineStr">
        <is>
          <t>Iterative Equations (Yr 2)</t>
        </is>
      </c>
      <c r="J173" s="34" t="inlineStr">
        <is>
          <t>Questions</t>
        </is>
      </c>
      <c r="K173" s="34" t="inlineStr">
        <is>
          <t>Marks</t>
        </is>
      </c>
      <c r="L173" s="34" t="inlineStr">
        <is>
          <t>Answers</t>
        </is>
      </c>
      <c r="M173" s="29" t="inlineStr">
        <is>
          <t>Pure 2 Ch10</t>
        </is>
      </c>
      <c r="N173" s="34" t="inlineStr">
        <is>
          <t>Questions</t>
        </is>
      </c>
      <c r="O173" s="34" t="inlineStr">
        <is>
          <t>Marks</t>
        </is>
      </c>
      <c r="P173" t="inlineStr">
        <is>
          <t>P9</t>
        </is>
      </c>
    </row>
    <row r="174" ht="10" customHeight="1"/>
    <row r="175" ht="26" customHeight="1">
      <c r="A175" s="25" t="inlineStr">
        <is>
          <t>10</t>
        </is>
      </c>
      <c r="B175" s="26" t="inlineStr">
        <is>
          <t>Vectors</t>
        </is>
      </c>
      <c r="C175" s="27" t="n"/>
      <c r="D175" s="27" t="n"/>
      <c r="E175" s="28" t="inlineStr">
        <is>
          <t>9 topics  ·  Year 1: 6  ·  Year 2: 3</t>
        </is>
      </c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</row>
    <row r="176" outlineLevel="1" ht="20" customHeight="1">
      <c r="A176" s="29" t="inlineStr">
        <is>
          <t>P10.1</t>
        </is>
      </c>
      <c r="B176" s="30" t="inlineStr">
        <is>
          <t>Vectors in 2D: i, j and column vector notation</t>
        </is>
      </c>
      <c r="C176" s="31" t="n">
        <v>1</v>
      </c>
      <c r="D176" s="32" t="n"/>
      <c r="E176" s="33" t="n"/>
      <c r="F176" s="34" t="inlineStr">
        <is>
          <t>▶ Watch</t>
        </is>
      </c>
      <c r="G176" s="34" t="inlineStr">
        <is>
          <t>Questions</t>
        </is>
      </c>
      <c r="H176" s="34" t="inlineStr">
        <is>
          <t>Answers</t>
        </is>
      </c>
      <c r="I176" s="33" t="inlineStr">
        <is>
          <t>Vectors</t>
        </is>
      </c>
      <c r="J176" s="34" t="inlineStr">
        <is>
          <t>Questions</t>
        </is>
      </c>
      <c r="K176" s="34" t="inlineStr">
        <is>
          <t>Marks</t>
        </is>
      </c>
      <c r="L176" s="34" t="inlineStr">
        <is>
          <t>Answers</t>
        </is>
      </c>
      <c r="M176" s="29" t="inlineStr">
        <is>
          <t>Pure 1 Ch11</t>
        </is>
      </c>
      <c r="N176" s="34" t="inlineStr">
        <is>
          <t>Questions</t>
        </is>
      </c>
      <c r="O176" s="34" t="inlineStr">
        <is>
          <t>Marks</t>
        </is>
      </c>
      <c r="P176" t="inlineStr">
        <is>
          <t>P10</t>
        </is>
      </c>
    </row>
    <row r="177" outlineLevel="1" ht="20" customHeight="1">
      <c r="A177" s="29" t="inlineStr">
        <is>
          <t>P10.3</t>
        </is>
      </c>
      <c r="B177" s="30" t="inlineStr">
        <is>
          <t>Adding vectors, scalar multiples and parallel vectors</t>
        </is>
      </c>
      <c r="C177" s="31" t="n">
        <v>1</v>
      </c>
      <c r="D177" s="32" t="n"/>
      <c r="E177" s="33" t="n"/>
      <c r="F177" s="34" t="inlineStr">
        <is>
          <t>▶ Watch</t>
        </is>
      </c>
      <c r="G177" s="34" t="inlineStr">
        <is>
          <t>Questions</t>
        </is>
      </c>
      <c r="H177" s="34" t="inlineStr">
        <is>
          <t>Answers</t>
        </is>
      </c>
      <c r="I177" s="33" t="inlineStr">
        <is>
          <t>Vectors</t>
        </is>
      </c>
      <c r="J177" s="34" t="inlineStr">
        <is>
          <t>Questions</t>
        </is>
      </c>
      <c r="K177" s="34" t="inlineStr">
        <is>
          <t>Marks</t>
        </is>
      </c>
      <c r="L177" s="34" t="inlineStr">
        <is>
          <t>Answers</t>
        </is>
      </c>
      <c r="M177" s="29" t="inlineStr">
        <is>
          <t>Pure 1 Ch11</t>
        </is>
      </c>
      <c r="N177" s="34" t="inlineStr">
        <is>
          <t>Questions</t>
        </is>
      </c>
      <c r="O177" s="34" t="inlineStr">
        <is>
          <t>Marks</t>
        </is>
      </c>
      <c r="P177" t="inlineStr">
        <is>
          <t>P10</t>
        </is>
      </c>
    </row>
    <row r="178" outlineLevel="1" ht="20" customHeight="1">
      <c r="A178" s="29" t="inlineStr">
        <is>
          <t>P10.2</t>
        </is>
      </c>
      <c r="B178" s="30" t="inlineStr">
        <is>
          <t>Magnitude and direction of a vector</t>
        </is>
      </c>
      <c r="C178" s="31" t="n">
        <v>1</v>
      </c>
      <c r="D178" s="32" t="n"/>
      <c r="E178" s="33" t="n"/>
      <c r="F178" s="34" t="inlineStr">
        <is>
          <t>▶ Watch</t>
        </is>
      </c>
      <c r="G178" s="34" t="inlineStr">
        <is>
          <t>Questions</t>
        </is>
      </c>
      <c r="H178" s="34" t="inlineStr">
        <is>
          <t>Answers</t>
        </is>
      </c>
      <c r="I178" s="33" t="inlineStr">
        <is>
          <t>Vectors</t>
        </is>
      </c>
      <c r="J178" s="34" t="inlineStr">
        <is>
          <t>Questions</t>
        </is>
      </c>
      <c r="K178" s="34" t="inlineStr">
        <is>
          <t>Marks</t>
        </is>
      </c>
      <c r="L178" s="34" t="inlineStr">
        <is>
          <t>Answers</t>
        </is>
      </c>
      <c r="M178" s="29" t="inlineStr">
        <is>
          <t>Pure 1 Ch11</t>
        </is>
      </c>
      <c r="N178" s="34" t="inlineStr">
        <is>
          <t>Questions</t>
        </is>
      </c>
      <c r="O178" s="34" t="inlineStr">
        <is>
          <t>Marks</t>
        </is>
      </c>
      <c r="P178" t="inlineStr">
        <is>
          <t>P10</t>
        </is>
      </c>
    </row>
    <row r="179" outlineLevel="1" ht="20" customHeight="1">
      <c r="A179" s="29" t="inlineStr">
        <is>
          <t>P10.4</t>
        </is>
      </c>
      <c r="B179" s="30" t="inlineStr">
        <is>
          <t>Position vectors and the distance between two points</t>
        </is>
      </c>
      <c r="C179" s="31" t="n">
        <v>1</v>
      </c>
      <c r="D179" s="32" t="n"/>
      <c r="E179" s="33" t="n"/>
      <c r="F179" s="34" t="inlineStr">
        <is>
          <t>▶ Watch</t>
        </is>
      </c>
      <c r="G179" s="34" t="inlineStr">
        <is>
          <t>Questions</t>
        </is>
      </c>
      <c r="H179" s="34" t="inlineStr">
        <is>
          <t>Answers</t>
        </is>
      </c>
      <c r="I179" s="33" t="inlineStr">
        <is>
          <t>Vectors</t>
        </is>
      </c>
      <c r="J179" s="34" t="inlineStr">
        <is>
          <t>Questions</t>
        </is>
      </c>
      <c r="K179" s="34" t="inlineStr">
        <is>
          <t>Marks</t>
        </is>
      </c>
      <c r="L179" s="34" t="inlineStr">
        <is>
          <t>Answers</t>
        </is>
      </c>
      <c r="M179" s="29" t="inlineStr">
        <is>
          <t>Pure 1 Ch11</t>
        </is>
      </c>
      <c r="N179" s="34" t="inlineStr">
        <is>
          <t>Questions</t>
        </is>
      </c>
      <c r="O179" s="34" t="inlineStr">
        <is>
          <t>Marks</t>
        </is>
      </c>
      <c r="P179" t="inlineStr">
        <is>
          <t>P10</t>
        </is>
      </c>
    </row>
    <row r="180" outlineLevel="1" ht="20" customHeight="1">
      <c r="A180" s="29" t="inlineStr">
        <is>
          <t>P10.5</t>
        </is>
      </c>
      <c r="B180" s="30" t="inlineStr">
        <is>
          <t>Solving geometric problems with vectors</t>
        </is>
      </c>
      <c r="C180" s="31" t="n">
        <v>1</v>
      </c>
      <c r="D180" s="32" t="n"/>
      <c r="E180" s="33" t="n"/>
      <c r="F180" s="34" t="inlineStr">
        <is>
          <t>▶ Watch</t>
        </is>
      </c>
      <c r="G180" s="34" t="inlineStr">
        <is>
          <t>Questions</t>
        </is>
      </c>
      <c r="H180" s="34" t="inlineStr">
        <is>
          <t>Answers</t>
        </is>
      </c>
      <c r="I180" s="33" t="inlineStr">
        <is>
          <t>Vectors</t>
        </is>
      </c>
      <c r="J180" s="34" t="inlineStr">
        <is>
          <t>Questions</t>
        </is>
      </c>
      <c r="K180" s="34" t="inlineStr">
        <is>
          <t>Marks</t>
        </is>
      </c>
      <c r="L180" s="34" t="inlineStr">
        <is>
          <t>Answers</t>
        </is>
      </c>
      <c r="M180" s="29" t="inlineStr">
        <is>
          <t>Pure 1 Ch11</t>
        </is>
      </c>
      <c r="N180" s="34" t="inlineStr">
        <is>
          <t>Questions</t>
        </is>
      </c>
      <c r="O180" s="34" t="inlineStr">
        <is>
          <t>Marks</t>
        </is>
      </c>
      <c r="P180" t="inlineStr">
        <is>
          <t>P10</t>
        </is>
      </c>
    </row>
    <row r="181" outlineLevel="1" ht="20" customHeight="1">
      <c r="A181" s="29" t="inlineStr">
        <is>
          <t>P10.5</t>
        </is>
      </c>
      <c r="B181" s="30" t="inlineStr">
        <is>
          <t>Modelling with vectors (e.g. velocity, forces)</t>
        </is>
      </c>
      <c r="C181" s="31" t="n">
        <v>1</v>
      </c>
      <c r="D181" s="32" t="n"/>
      <c r="E181" s="33" t="n"/>
      <c r="F181" s="34" t="inlineStr">
        <is>
          <t>▶ Watch</t>
        </is>
      </c>
      <c r="G181" s="34" t="inlineStr">
        <is>
          <t>Questions</t>
        </is>
      </c>
      <c r="H181" s="34" t="inlineStr">
        <is>
          <t>Answers</t>
        </is>
      </c>
      <c r="I181" s="33" t="inlineStr">
        <is>
          <t>Vectors</t>
        </is>
      </c>
      <c r="J181" s="34" t="inlineStr">
        <is>
          <t>Questions</t>
        </is>
      </c>
      <c r="K181" s="34" t="inlineStr">
        <is>
          <t>Marks</t>
        </is>
      </c>
      <c r="L181" s="34" t="inlineStr">
        <is>
          <t>Answers</t>
        </is>
      </c>
      <c r="M181" s="29" t="inlineStr">
        <is>
          <t>Pure 1 Ch11</t>
        </is>
      </c>
      <c r="N181" s="34" t="inlineStr">
        <is>
          <t>Questions</t>
        </is>
      </c>
      <c r="O181" s="34" t="inlineStr">
        <is>
          <t>Marks</t>
        </is>
      </c>
      <c r="P181" t="inlineStr">
        <is>
          <t>P10</t>
        </is>
      </c>
    </row>
    <row r="182" outlineLevel="1" ht="20" customHeight="1">
      <c r="A182" s="29" t="inlineStr">
        <is>
          <t>P10.1</t>
        </is>
      </c>
      <c r="B182" s="30" t="inlineStr">
        <is>
          <t>3D coordinates and vectors in 3D (i, j, k)</t>
        </is>
      </c>
      <c r="C182" s="35" t="n">
        <v>2</v>
      </c>
      <c r="D182" s="32" t="n"/>
      <c r="E182" s="33" t="n"/>
      <c r="F182" s="34" t="inlineStr">
        <is>
          <t>▶ Watch</t>
        </is>
      </c>
      <c r="G182" s="34" t="inlineStr">
        <is>
          <t>Questions</t>
        </is>
      </c>
      <c r="H182" s="34" t="inlineStr">
        <is>
          <t>Answers</t>
        </is>
      </c>
      <c r="I182" s="33" t="inlineStr">
        <is>
          <t>Vectors (Yr 2)</t>
        </is>
      </c>
      <c r="J182" s="34" t="inlineStr">
        <is>
          <t>Questions</t>
        </is>
      </c>
      <c r="K182" s="34" t="inlineStr">
        <is>
          <t>Marks</t>
        </is>
      </c>
      <c r="L182" s="34" t="inlineStr">
        <is>
          <t>Answers</t>
        </is>
      </c>
      <c r="M182" s="29" t="inlineStr">
        <is>
          <t>Pure 2 Ch12</t>
        </is>
      </c>
      <c r="N182" s="34" t="inlineStr">
        <is>
          <t>Questions</t>
        </is>
      </c>
      <c r="O182" s="34" t="inlineStr">
        <is>
          <t>Marks</t>
        </is>
      </c>
      <c r="P182" t="inlineStr">
        <is>
          <t>P10</t>
        </is>
      </c>
    </row>
    <row r="183" outlineLevel="1" ht="20" customHeight="1">
      <c r="A183" s="29" t="inlineStr">
        <is>
          <t>P10.5</t>
        </is>
      </c>
      <c r="B183" s="30" t="inlineStr">
        <is>
          <t>Solving geometric problems in 3D</t>
        </is>
      </c>
      <c r="C183" s="35" t="n">
        <v>2</v>
      </c>
      <c r="D183" s="32" t="n"/>
      <c r="E183" s="33" t="n"/>
      <c r="F183" s="34" t="inlineStr">
        <is>
          <t>▶ Watch</t>
        </is>
      </c>
      <c r="G183" s="34" t="inlineStr">
        <is>
          <t>Questions</t>
        </is>
      </c>
      <c r="H183" s="34" t="inlineStr">
        <is>
          <t>Answers</t>
        </is>
      </c>
      <c r="I183" s="33" t="inlineStr">
        <is>
          <t>Vectors (Yr 2)</t>
        </is>
      </c>
      <c r="J183" s="34" t="inlineStr">
        <is>
          <t>Questions</t>
        </is>
      </c>
      <c r="K183" s="34" t="inlineStr">
        <is>
          <t>Marks</t>
        </is>
      </c>
      <c r="L183" s="34" t="inlineStr">
        <is>
          <t>Answers</t>
        </is>
      </c>
      <c r="M183" s="29" t="inlineStr">
        <is>
          <t>Pure 2 Ch12</t>
        </is>
      </c>
      <c r="N183" s="34" t="inlineStr">
        <is>
          <t>Questions</t>
        </is>
      </c>
      <c r="O183" s="34" t="inlineStr">
        <is>
          <t>Marks</t>
        </is>
      </c>
      <c r="P183" t="inlineStr">
        <is>
          <t>P10</t>
        </is>
      </c>
    </row>
    <row r="184" outlineLevel="1" ht="20" customHeight="1">
      <c r="A184" s="29" t="inlineStr">
        <is>
          <t>P10.5</t>
        </is>
      </c>
      <c r="B184" s="30" t="inlineStr">
        <is>
          <t>3D vectors applied to mechanics</t>
        </is>
      </c>
      <c r="C184" s="35" t="n">
        <v>2</v>
      </c>
      <c r="D184" s="32" t="n"/>
      <c r="E184" s="33" t="n"/>
      <c r="F184" s="34" t="inlineStr">
        <is>
          <t>▶ Watch</t>
        </is>
      </c>
      <c r="G184" s="34" t="inlineStr">
        <is>
          <t>Questions</t>
        </is>
      </c>
      <c r="H184" s="34" t="inlineStr">
        <is>
          <t>Answers</t>
        </is>
      </c>
      <c r="I184" s="36" t="inlineStr">
        <is>
          <t>none for this topic</t>
        </is>
      </c>
      <c r="J184" s="37" t="n"/>
      <c r="K184" s="37" t="n"/>
      <c r="L184" s="37" t="n"/>
      <c r="M184" s="29" t="inlineStr">
        <is>
          <t>Pure 2 Ch12</t>
        </is>
      </c>
      <c r="N184" s="34" t="inlineStr">
        <is>
          <t>Questions</t>
        </is>
      </c>
      <c r="O184" s="34" t="inlineStr">
        <is>
          <t>Marks</t>
        </is>
      </c>
      <c r="P184" t="inlineStr">
        <is>
          <t>P10</t>
        </is>
      </c>
    </row>
  </sheetData>
  <mergeCells count="4">
    <mergeCell ref="M5:O5"/>
    <mergeCell ref="A5:E5"/>
    <mergeCell ref="F5:H5"/>
    <mergeCell ref="I5:L5"/>
  </mergeCells>
  <conditionalFormatting sqref="D7:D184">
    <cfRule type="cellIs" priority="1" operator="equal" dxfId="0">
      <formula>"R"</formula>
    </cfRule>
    <cfRule type="cellIs" priority="3" operator="equal" dxfId="1">
      <formula>"A"</formula>
    </cfRule>
    <cfRule type="cellIs" priority="5" operator="equal" dxfId="2">
      <formula>"G"</formula>
    </cfRule>
  </conditionalFormatting>
  <conditionalFormatting sqref="B7:B184">
    <cfRule type="expression" priority="2" dxfId="3">
      <formula>$D7="R"</formula>
    </cfRule>
    <cfRule type="expression" priority="4" dxfId="4">
      <formula>$D7="A"</formula>
    </cfRule>
    <cfRule type="expression" priority="6" dxfId="5">
      <formula>$D7="G"</formula>
    </cfRule>
  </conditionalFormatting>
  <dataValidations count="1">
    <dataValidation sqref="D7:D184" showDropDown="0" showInputMessage="0" showErrorMessage="1" allowBlank="1" errorTitle="R, A or G" error="Please pick R, A or G from the list." promptTitle="How confident are you?" prompt="R = can't do it yet&#10;A = getting there&#10;G = confident" type="list">
      <formula1>"R,A,G"</formula1>
    </dataValidation>
  </dataValidations>
  <hyperlinks>
    <hyperlink xmlns:r="http://schemas.openxmlformats.org/officeDocument/2006/relationships" ref="F9" r:id="rId1"/>
    <hyperlink xmlns:r="http://schemas.openxmlformats.org/officeDocument/2006/relationships" ref="G9" r:id="rId2"/>
    <hyperlink xmlns:r="http://schemas.openxmlformats.org/officeDocument/2006/relationships" ref="H9" r:id="rId3"/>
    <hyperlink xmlns:r="http://schemas.openxmlformats.org/officeDocument/2006/relationships" ref="J9" r:id="rId4"/>
    <hyperlink xmlns:r="http://schemas.openxmlformats.org/officeDocument/2006/relationships" ref="K9" r:id="rId5"/>
    <hyperlink xmlns:r="http://schemas.openxmlformats.org/officeDocument/2006/relationships" ref="L9" r:id="rId6"/>
    <hyperlink xmlns:r="http://schemas.openxmlformats.org/officeDocument/2006/relationships" ref="N9" r:id="rId7"/>
    <hyperlink xmlns:r="http://schemas.openxmlformats.org/officeDocument/2006/relationships" ref="O9" r:id="rId8"/>
    <hyperlink xmlns:r="http://schemas.openxmlformats.org/officeDocument/2006/relationships" ref="F10" r:id="rId9"/>
    <hyperlink xmlns:r="http://schemas.openxmlformats.org/officeDocument/2006/relationships" ref="G10" r:id="rId10"/>
    <hyperlink xmlns:r="http://schemas.openxmlformats.org/officeDocument/2006/relationships" ref="H10" r:id="rId11"/>
    <hyperlink xmlns:r="http://schemas.openxmlformats.org/officeDocument/2006/relationships" ref="J10" r:id="rId12"/>
    <hyperlink xmlns:r="http://schemas.openxmlformats.org/officeDocument/2006/relationships" ref="K10" r:id="rId13"/>
    <hyperlink xmlns:r="http://schemas.openxmlformats.org/officeDocument/2006/relationships" ref="L10" r:id="rId14"/>
    <hyperlink xmlns:r="http://schemas.openxmlformats.org/officeDocument/2006/relationships" ref="N10" r:id="rId15"/>
    <hyperlink xmlns:r="http://schemas.openxmlformats.org/officeDocument/2006/relationships" ref="O10" r:id="rId16"/>
    <hyperlink xmlns:r="http://schemas.openxmlformats.org/officeDocument/2006/relationships" ref="F11" r:id="rId17"/>
    <hyperlink xmlns:r="http://schemas.openxmlformats.org/officeDocument/2006/relationships" ref="G11" r:id="rId18"/>
    <hyperlink xmlns:r="http://schemas.openxmlformats.org/officeDocument/2006/relationships" ref="H11" r:id="rId19"/>
    <hyperlink xmlns:r="http://schemas.openxmlformats.org/officeDocument/2006/relationships" ref="J11" r:id="rId20"/>
    <hyperlink xmlns:r="http://schemas.openxmlformats.org/officeDocument/2006/relationships" ref="K11" r:id="rId21"/>
    <hyperlink xmlns:r="http://schemas.openxmlformats.org/officeDocument/2006/relationships" ref="L11" r:id="rId22"/>
    <hyperlink xmlns:r="http://schemas.openxmlformats.org/officeDocument/2006/relationships" ref="N11" r:id="rId23"/>
    <hyperlink xmlns:r="http://schemas.openxmlformats.org/officeDocument/2006/relationships" ref="O11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H14" r:id="rId27"/>
    <hyperlink xmlns:r="http://schemas.openxmlformats.org/officeDocument/2006/relationships" ref="N14" r:id="rId28"/>
    <hyperlink xmlns:r="http://schemas.openxmlformats.org/officeDocument/2006/relationships" ref="O14" r:id="rId29"/>
    <hyperlink xmlns:r="http://schemas.openxmlformats.org/officeDocument/2006/relationships" ref="F15" r:id="rId30"/>
    <hyperlink xmlns:r="http://schemas.openxmlformats.org/officeDocument/2006/relationships" ref="G15" r:id="rId31"/>
    <hyperlink xmlns:r="http://schemas.openxmlformats.org/officeDocument/2006/relationships" ref="H15" r:id="rId32"/>
    <hyperlink xmlns:r="http://schemas.openxmlformats.org/officeDocument/2006/relationships" ref="J15" r:id="rId33"/>
    <hyperlink xmlns:r="http://schemas.openxmlformats.org/officeDocument/2006/relationships" ref="K15" r:id="rId34"/>
    <hyperlink xmlns:r="http://schemas.openxmlformats.org/officeDocument/2006/relationships" ref="L15" r:id="rId35"/>
    <hyperlink xmlns:r="http://schemas.openxmlformats.org/officeDocument/2006/relationships" ref="N15" r:id="rId36"/>
    <hyperlink xmlns:r="http://schemas.openxmlformats.org/officeDocument/2006/relationships" ref="O15" r:id="rId37"/>
    <hyperlink xmlns:r="http://schemas.openxmlformats.org/officeDocument/2006/relationships" ref="F16" r:id="rId38"/>
    <hyperlink xmlns:r="http://schemas.openxmlformats.org/officeDocument/2006/relationships" ref="G16" r:id="rId39"/>
    <hyperlink xmlns:r="http://schemas.openxmlformats.org/officeDocument/2006/relationships" ref="H16" r:id="rId40"/>
    <hyperlink xmlns:r="http://schemas.openxmlformats.org/officeDocument/2006/relationships" ref="N16" r:id="rId41"/>
    <hyperlink xmlns:r="http://schemas.openxmlformats.org/officeDocument/2006/relationships" ref="O16" r:id="rId42"/>
    <hyperlink xmlns:r="http://schemas.openxmlformats.org/officeDocument/2006/relationships" ref="F17" r:id="rId43"/>
    <hyperlink xmlns:r="http://schemas.openxmlformats.org/officeDocument/2006/relationships" ref="G17" r:id="rId44"/>
    <hyperlink xmlns:r="http://schemas.openxmlformats.org/officeDocument/2006/relationships" ref="H17" r:id="rId45"/>
    <hyperlink xmlns:r="http://schemas.openxmlformats.org/officeDocument/2006/relationships" ref="J17" r:id="rId46"/>
    <hyperlink xmlns:r="http://schemas.openxmlformats.org/officeDocument/2006/relationships" ref="K17" r:id="rId47"/>
    <hyperlink xmlns:r="http://schemas.openxmlformats.org/officeDocument/2006/relationships" ref="L17" r:id="rId48"/>
    <hyperlink xmlns:r="http://schemas.openxmlformats.org/officeDocument/2006/relationships" ref="N17" r:id="rId49"/>
    <hyperlink xmlns:r="http://schemas.openxmlformats.org/officeDocument/2006/relationships" ref="O17" r:id="rId50"/>
    <hyperlink xmlns:r="http://schemas.openxmlformats.org/officeDocument/2006/relationships" ref="F18" r:id="rId51"/>
    <hyperlink xmlns:r="http://schemas.openxmlformats.org/officeDocument/2006/relationships" ref="G18" r:id="rId52"/>
    <hyperlink xmlns:r="http://schemas.openxmlformats.org/officeDocument/2006/relationships" ref="H18" r:id="rId53"/>
    <hyperlink xmlns:r="http://schemas.openxmlformats.org/officeDocument/2006/relationships" ref="J18" r:id="rId54"/>
    <hyperlink xmlns:r="http://schemas.openxmlformats.org/officeDocument/2006/relationships" ref="K18" r:id="rId55"/>
    <hyperlink xmlns:r="http://schemas.openxmlformats.org/officeDocument/2006/relationships" ref="L18" r:id="rId56"/>
    <hyperlink xmlns:r="http://schemas.openxmlformats.org/officeDocument/2006/relationships" ref="N18" r:id="rId57"/>
    <hyperlink xmlns:r="http://schemas.openxmlformats.org/officeDocument/2006/relationships" ref="O18" r:id="rId58"/>
    <hyperlink xmlns:r="http://schemas.openxmlformats.org/officeDocument/2006/relationships" ref="F19" r:id="rId59"/>
    <hyperlink xmlns:r="http://schemas.openxmlformats.org/officeDocument/2006/relationships" ref="G19" r:id="rId60"/>
    <hyperlink xmlns:r="http://schemas.openxmlformats.org/officeDocument/2006/relationships" ref="H19" r:id="rId61"/>
    <hyperlink xmlns:r="http://schemas.openxmlformats.org/officeDocument/2006/relationships" ref="J19" r:id="rId62"/>
    <hyperlink xmlns:r="http://schemas.openxmlformats.org/officeDocument/2006/relationships" ref="K19" r:id="rId63"/>
    <hyperlink xmlns:r="http://schemas.openxmlformats.org/officeDocument/2006/relationships" ref="L19" r:id="rId64"/>
    <hyperlink xmlns:r="http://schemas.openxmlformats.org/officeDocument/2006/relationships" ref="N19" r:id="rId65"/>
    <hyperlink xmlns:r="http://schemas.openxmlformats.org/officeDocument/2006/relationships" ref="O19" r:id="rId66"/>
    <hyperlink xmlns:r="http://schemas.openxmlformats.org/officeDocument/2006/relationships" ref="F20" r:id="rId67"/>
    <hyperlink xmlns:r="http://schemas.openxmlformats.org/officeDocument/2006/relationships" ref="G20" r:id="rId68"/>
    <hyperlink xmlns:r="http://schemas.openxmlformats.org/officeDocument/2006/relationships" ref="H20" r:id="rId69"/>
    <hyperlink xmlns:r="http://schemas.openxmlformats.org/officeDocument/2006/relationships" ref="J20" r:id="rId70"/>
    <hyperlink xmlns:r="http://schemas.openxmlformats.org/officeDocument/2006/relationships" ref="K20" r:id="rId71"/>
    <hyperlink xmlns:r="http://schemas.openxmlformats.org/officeDocument/2006/relationships" ref="L20" r:id="rId72"/>
    <hyperlink xmlns:r="http://schemas.openxmlformats.org/officeDocument/2006/relationships" ref="N20" r:id="rId73"/>
    <hyperlink xmlns:r="http://schemas.openxmlformats.org/officeDocument/2006/relationships" ref="O20" r:id="rId74"/>
    <hyperlink xmlns:r="http://schemas.openxmlformats.org/officeDocument/2006/relationships" ref="F21" r:id="rId75"/>
    <hyperlink xmlns:r="http://schemas.openxmlformats.org/officeDocument/2006/relationships" ref="G21" r:id="rId76"/>
    <hyperlink xmlns:r="http://schemas.openxmlformats.org/officeDocument/2006/relationships" ref="H21" r:id="rId77"/>
    <hyperlink xmlns:r="http://schemas.openxmlformats.org/officeDocument/2006/relationships" ref="J21" r:id="rId78"/>
    <hyperlink xmlns:r="http://schemas.openxmlformats.org/officeDocument/2006/relationships" ref="K21" r:id="rId79"/>
    <hyperlink xmlns:r="http://schemas.openxmlformats.org/officeDocument/2006/relationships" ref="L21" r:id="rId80"/>
    <hyperlink xmlns:r="http://schemas.openxmlformats.org/officeDocument/2006/relationships" ref="N21" r:id="rId81"/>
    <hyperlink xmlns:r="http://schemas.openxmlformats.org/officeDocument/2006/relationships" ref="O21" r:id="rId82"/>
    <hyperlink xmlns:r="http://schemas.openxmlformats.org/officeDocument/2006/relationships" ref="F22" r:id="rId83"/>
    <hyperlink xmlns:r="http://schemas.openxmlformats.org/officeDocument/2006/relationships" ref="G22" r:id="rId84"/>
    <hyperlink xmlns:r="http://schemas.openxmlformats.org/officeDocument/2006/relationships" ref="H22" r:id="rId85"/>
    <hyperlink xmlns:r="http://schemas.openxmlformats.org/officeDocument/2006/relationships" ref="J22" r:id="rId86"/>
    <hyperlink xmlns:r="http://schemas.openxmlformats.org/officeDocument/2006/relationships" ref="K22" r:id="rId87"/>
    <hyperlink xmlns:r="http://schemas.openxmlformats.org/officeDocument/2006/relationships" ref="L22" r:id="rId88"/>
    <hyperlink xmlns:r="http://schemas.openxmlformats.org/officeDocument/2006/relationships" ref="N22" r:id="rId89"/>
    <hyperlink xmlns:r="http://schemas.openxmlformats.org/officeDocument/2006/relationships" ref="O22" r:id="rId90"/>
    <hyperlink xmlns:r="http://schemas.openxmlformats.org/officeDocument/2006/relationships" ref="F23" r:id="rId91"/>
    <hyperlink xmlns:r="http://schemas.openxmlformats.org/officeDocument/2006/relationships" ref="G23" r:id="rId92"/>
    <hyperlink xmlns:r="http://schemas.openxmlformats.org/officeDocument/2006/relationships" ref="H23" r:id="rId93"/>
    <hyperlink xmlns:r="http://schemas.openxmlformats.org/officeDocument/2006/relationships" ref="J23" r:id="rId94"/>
    <hyperlink xmlns:r="http://schemas.openxmlformats.org/officeDocument/2006/relationships" ref="K23" r:id="rId95"/>
    <hyperlink xmlns:r="http://schemas.openxmlformats.org/officeDocument/2006/relationships" ref="L23" r:id="rId96"/>
    <hyperlink xmlns:r="http://schemas.openxmlformats.org/officeDocument/2006/relationships" ref="N23" r:id="rId97"/>
    <hyperlink xmlns:r="http://schemas.openxmlformats.org/officeDocument/2006/relationships" ref="O23" r:id="rId98"/>
    <hyperlink xmlns:r="http://schemas.openxmlformats.org/officeDocument/2006/relationships" ref="F24" r:id="rId99"/>
    <hyperlink xmlns:r="http://schemas.openxmlformats.org/officeDocument/2006/relationships" ref="G24" r:id="rId100"/>
    <hyperlink xmlns:r="http://schemas.openxmlformats.org/officeDocument/2006/relationships" ref="H24" r:id="rId101"/>
    <hyperlink xmlns:r="http://schemas.openxmlformats.org/officeDocument/2006/relationships" ref="N24" r:id="rId102"/>
    <hyperlink xmlns:r="http://schemas.openxmlformats.org/officeDocument/2006/relationships" ref="O24" r:id="rId103"/>
    <hyperlink xmlns:r="http://schemas.openxmlformats.org/officeDocument/2006/relationships" ref="F25" r:id="rId104"/>
    <hyperlink xmlns:r="http://schemas.openxmlformats.org/officeDocument/2006/relationships" ref="G25" r:id="rId105"/>
    <hyperlink xmlns:r="http://schemas.openxmlformats.org/officeDocument/2006/relationships" ref="H25" r:id="rId106"/>
    <hyperlink xmlns:r="http://schemas.openxmlformats.org/officeDocument/2006/relationships" ref="J25" r:id="rId107"/>
    <hyperlink xmlns:r="http://schemas.openxmlformats.org/officeDocument/2006/relationships" ref="K25" r:id="rId108"/>
    <hyperlink xmlns:r="http://schemas.openxmlformats.org/officeDocument/2006/relationships" ref="L25" r:id="rId109"/>
    <hyperlink xmlns:r="http://schemas.openxmlformats.org/officeDocument/2006/relationships" ref="N25" r:id="rId110"/>
    <hyperlink xmlns:r="http://schemas.openxmlformats.org/officeDocument/2006/relationships" ref="O25" r:id="rId111"/>
    <hyperlink xmlns:r="http://schemas.openxmlformats.org/officeDocument/2006/relationships" ref="F26" r:id="rId112"/>
    <hyperlink xmlns:r="http://schemas.openxmlformats.org/officeDocument/2006/relationships" ref="G26" r:id="rId113"/>
    <hyperlink xmlns:r="http://schemas.openxmlformats.org/officeDocument/2006/relationships" ref="H26" r:id="rId114"/>
    <hyperlink xmlns:r="http://schemas.openxmlformats.org/officeDocument/2006/relationships" ref="J26" r:id="rId115"/>
    <hyperlink xmlns:r="http://schemas.openxmlformats.org/officeDocument/2006/relationships" ref="K26" r:id="rId116"/>
    <hyperlink xmlns:r="http://schemas.openxmlformats.org/officeDocument/2006/relationships" ref="L26" r:id="rId117"/>
    <hyperlink xmlns:r="http://schemas.openxmlformats.org/officeDocument/2006/relationships" ref="N26" r:id="rId118"/>
    <hyperlink xmlns:r="http://schemas.openxmlformats.org/officeDocument/2006/relationships" ref="O26" r:id="rId119"/>
    <hyperlink xmlns:r="http://schemas.openxmlformats.org/officeDocument/2006/relationships" ref="F27" r:id="rId120"/>
    <hyperlink xmlns:r="http://schemas.openxmlformats.org/officeDocument/2006/relationships" ref="G27" r:id="rId121"/>
    <hyperlink xmlns:r="http://schemas.openxmlformats.org/officeDocument/2006/relationships" ref="H27" r:id="rId122"/>
    <hyperlink xmlns:r="http://schemas.openxmlformats.org/officeDocument/2006/relationships" ref="N27" r:id="rId123"/>
    <hyperlink xmlns:r="http://schemas.openxmlformats.org/officeDocument/2006/relationships" ref="O27" r:id="rId124"/>
    <hyperlink xmlns:r="http://schemas.openxmlformats.org/officeDocument/2006/relationships" ref="F28" r:id="rId125"/>
    <hyperlink xmlns:r="http://schemas.openxmlformats.org/officeDocument/2006/relationships" ref="G28" r:id="rId126"/>
    <hyperlink xmlns:r="http://schemas.openxmlformats.org/officeDocument/2006/relationships" ref="H28" r:id="rId127"/>
    <hyperlink xmlns:r="http://schemas.openxmlformats.org/officeDocument/2006/relationships" ref="J28" r:id="rId128"/>
    <hyperlink xmlns:r="http://schemas.openxmlformats.org/officeDocument/2006/relationships" ref="K28" r:id="rId129"/>
    <hyperlink xmlns:r="http://schemas.openxmlformats.org/officeDocument/2006/relationships" ref="L28" r:id="rId130"/>
    <hyperlink xmlns:r="http://schemas.openxmlformats.org/officeDocument/2006/relationships" ref="N28" r:id="rId131"/>
    <hyperlink xmlns:r="http://schemas.openxmlformats.org/officeDocument/2006/relationships" ref="O28" r:id="rId132"/>
    <hyperlink xmlns:r="http://schemas.openxmlformats.org/officeDocument/2006/relationships" ref="F29" r:id="rId133"/>
    <hyperlink xmlns:r="http://schemas.openxmlformats.org/officeDocument/2006/relationships" ref="G29" r:id="rId134"/>
    <hyperlink xmlns:r="http://schemas.openxmlformats.org/officeDocument/2006/relationships" ref="H29" r:id="rId135"/>
    <hyperlink xmlns:r="http://schemas.openxmlformats.org/officeDocument/2006/relationships" ref="N29" r:id="rId136"/>
    <hyperlink xmlns:r="http://schemas.openxmlformats.org/officeDocument/2006/relationships" ref="O29" r:id="rId137"/>
    <hyperlink xmlns:r="http://schemas.openxmlformats.org/officeDocument/2006/relationships" ref="F30" r:id="rId138"/>
    <hyperlink xmlns:r="http://schemas.openxmlformats.org/officeDocument/2006/relationships" ref="G30" r:id="rId139"/>
    <hyperlink xmlns:r="http://schemas.openxmlformats.org/officeDocument/2006/relationships" ref="H30" r:id="rId140"/>
    <hyperlink xmlns:r="http://schemas.openxmlformats.org/officeDocument/2006/relationships" ref="J30" r:id="rId141"/>
    <hyperlink xmlns:r="http://schemas.openxmlformats.org/officeDocument/2006/relationships" ref="K30" r:id="rId142"/>
    <hyperlink xmlns:r="http://schemas.openxmlformats.org/officeDocument/2006/relationships" ref="L30" r:id="rId143"/>
    <hyperlink xmlns:r="http://schemas.openxmlformats.org/officeDocument/2006/relationships" ref="N30" r:id="rId144"/>
    <hyperlink xmlns:r="http://schemas.openxmlformats.org/officeDocument/2006/relationships" ref="O30" r:id="rId145"/>
    <hyperlink xmlns:r="http://schemas.openxmlformats.org/officeDocument/2006/relationships" ref="F31" r:id="rId146"/>
    <hyperlink xmlns:r="http://schemas.openxmlformats.org/officeDocument/2006/relationships" ref="G31" r:id="rId147"/>
    <hyperlink xmlns:r="http://schemas.openxmlformats.org/officeDocument/2006/relationships" ref="H31" r:id="rId148"/>
    <hyperlink xmlns:r="http://schemas.openxmlformats.org/officeDocument/2006/relationships" ref="J31" r:id="rId149"/>
    <hyperlink xmlns:r="http://schemas.openxmlformats.org/officeDocument/2006/relationships" ref="K31" r:id="rId150"/>
    <hyperlink xmlns:r="http://schemas.openxmlformats.org/officeDocument/2006/relationships" ref="L31" r:id="rId151"/>
    <hyperlink xmlns:r="http://schemas.openxmlformats.org/officeDocument/2006/relationships" ref="N31" r:id="rId152"/>
    <hyperlink xmlns:r="http://schemas.openxmlformats.org/officeDocument/2006/relationships" ref="O31" r:id="rId153"/>
    <hyperlink xmlns:r="http://schemas.openxmlformats.org/officeDocument/2006/relationships" ref="F32" r:id="rId154"/>
    <hyperlink xmlns:r="http://schemas.openxmlformats.org/officeDocument/2006/relationships" ref="G32" r:id="rId155"/>
    <hyperlink xmlns:r="http://schemas.openxmlformats.org/officeDocument/2006/relationships" ref="H32" r:id="rId156"/>
    <hyperlink xmlns:r="http://schemas.openxmlformats.org/officeDocument/2006/relationships" ref="N32" r:id="rId157"/>
    <hyperlink xmlns:r="http://schemas.openxmlformats.org/officeDocument/2006/relationships" ref="O32" r:id="rId158"/>
    <hyperlink xmlns:r="http://schemas.openxmlformats.org/officeDocument/2006/relationships" ref="F33" r:id="rId159"/>
    <hyperlink xmlns:r="http://schemas.openxmlformats.org/officeDocument/2006/relationships" ref="G33" r:id="rId160"/>
    <hyperlink xmlns:r="http://schemas.openxmlformats.org/officeDocument/2006/relationships" ref="H33" r:id="rId161"/>
    <hyperlink xmlns:r="http://schemas.openxmlformats.org/officeDocument/2006/relationships" ref="J33" r:id="rId162"/>
    <hyperlink xmlns:r="http://schemas.openxmlformats.org/officeDocument/2006/relationships" ref="K33" r:id="rId163"/>
    <hyperlink xmlns:r="http://schemas.openxmlformats.org/officeDocument/2006/relationships" ref="L33" r:id="rId164"/>
    <hyperlink xmlns:r="http://schemas.openxmlformats.org/officeDocument/2006/relationships" ref="N33" r:id="rId165"/>
    <hyperlink xmlns:r="http://schemas.openxmlformats.org/officeDocument/2006/relationships" ref="O33" r:id="rId166"/>
    <hyperlink xmlns:r="http://schemas.openxmlformats.org/officeDocument/2006/relationships" ref="F34" r:id="rId167"/>
    <hyperlink xmlns:r="http://schemas.openxmlformats.org/officeDocument/2006/relationships" ref="G34" r:id="rId168"/>
    <hyperlink xmlns:r="http://schemas.openxmlformats.org/officeDocument/2006/relationships" ref="H34" r:id="rId169"/>
    <hyperlink xmlns:r="http://schemas.openxmlformats.org/officeDocument/2006/relationships" ref="J34" r:id="rId170"/>
    <hyperlink xmlns:r="http://schemas.openxmlformats.org/officeDocument/2006/relationships" ref="K34" r:id="rId171"/>
    <hyperlink xmlns:r="http://schemas.openxmlformats.org/officeDocument/2006/relationships" ref="L34" r:id="rId172"/>
    <hyperlink xmlns:r="http://schemas.openxmlformats.org/officeDocument/2006/relationships" ref="N34" r:id="rId173"/>
    <hyperlink xmlns:r="http://schemas.openxmlformats.org/officeDocument/2006/relationships" ref="O34" r:id="rId174"/>
    <hyperlink xmlns:r="http://schemas.openxmlformats.org/officeDocument/2006/relationships" ref="F35" r:id="rId175"/>
    <hyperlink xmlns:r="http://schemas.openxmlformats.org/officeDocument/2006/relationships" ref="G35" r:id="rId176"/>
    <hyperlink xmlns:r="http://schemas.openxmlformats.org/officeDocument/2006/relationships" ref="H35" r:id="rId177"/>
    <hyperlink xmlns:r="http://schemas.openxmlformats.org/officeDocument/2006/relationships" ref="N35" r:id="rId178"/>
    <hyperlink xmlns:r="http://schemas.openxmlformats.org/officeDocument/2006/relationships" ref="O35" r:id="rId179"/>
    <hyperlink xmlns:r="http://schemas.openxmlformats.org/officeDocument/2006/relationships" ref="F36" r:id="rId180"/>
    <hyperlink xmlns:r="http://schemas.openxmlformats.org/officeDocument/2006/relationships" ref="G36" r:id="rId181"/>
    <hyperlink xmlns:r="http://schemas.openxmlformats.org/officeDocument/2006/relationships" ref="H36" r:id="rId182"/>
    <hyperlink xmlns:r="http://schemas.openxmlformats.org/officeDocument/2006/relationships" ref="J36" r:id="rId183"/>
    <hyperlink xmlns:r="http://schemas.openxmlformats.org/officeDocument/2006/relationships" ref="K36" r:id="rId184"/>
    <hyperlink xmlns:r="http://schemas.openxmlformats.org/officeDocument/2006/relationships" ref="L36" r:id="rId185"/>
    <hyperlink xmlns:r="http://schemas.openxmlformats.org/officeDocument/2006/relationships" ref="N36" r:id="rId186"/>
    <hyperlink xmlns:r="http://schemas.openxmlformats.org/officeDocument/2006/relationships" ref="O36" r:id="rId187"/>
    <hyperlink xmlns:r="http://schemas.openxmlformats.org/officeDocument/2006/relationships" ref="F37" r:id="rId188"/>
    <hyperlink xmlns:r="http://schemas.openxmlformats.org/officeDocument/2006/relationships" ref="G37" r:id="rId189"/>
    <hyperlink xmlns:r="http://schemas.openxmlformats.org/officeDocument/2006/relationships" ref="H37" r:id="rId190"/>
    <hyperlink xmlns:r="http://schemas.openxmlformats.org/officeDocument/2006/relationships" ref="J37" r:id="rId191"/>
    <hyperlink xmlns:r="http://schemas.openxmlformats.org/officeDocument/2006/relationships" ref="K37" r:id="rId192"/>
    <hyperlink xmlns:r="http://schemas.openxmlformats.org/officeDocument/2006/relationships" ref="L37" r:id="rId193"/>
    <hyperlink xmlns:r="http://schemas.openxmlformats.org/officeDocument/2006/relationships" ref="N37" r:id="rId194"/>
    <hyperlink xmlns:r="http://schemas.openxmlformats.org/officeDocument/2006/relationships" ref="O37" r:id="rId195"/>
    <hyperlink xmlns:r="http://schemas.openxmlformats.org/officeDocument/2006/relationships" ref="F38" r:id="rId196"/>
    <hyperlink xmlns:r="http://schemas.openxmlformats.org/officeDocument/2006/relationships" ref="G38" r:id="rId197"/>
    <hyperlink xmlns:r="http://schemas.openxmlformats.org/officeDocument/2006/relationships" ref="H38" r:id="rId198"/>
    <hyperlink xmlns:r="http://schemas.openxmlformats.org/officeDocument/2006/relationships" ref="N38" r:id="rId199"/>
    <hyperlink xmlns:r="http://schemas.openxmlformats.org/officeDocument/2006/relationships" ref="O38" r:id="rId200"/>
    <hyperlink xmlns:r="http://schemas.openxmlformats.org/officeDocument/2006/relationships" ref="F39" r:id="rId201"/>
    <hyperlink xmlns:r="http://schemas.openxmlformats.org/officeDocument/2006/relationships" ref="G39" r:id="rId202"/>
    <hyperlink xmlns:r="http://schemas.openxmlformats.org/officeDocument/2006/relationships" ref="H39" r:id="rId203"/>
    <hyperlink xmlns:r="http://schemas.openxmlformats.org/officeDocument/2006/relationships" ref="J39" r:id="rId204"/>
    <hyperlink xmlns:r="http://schemas.openxmlformats.org/officeDocument/2006/relationships" ref="K39" r:id="rId205"/>
    <hyperlink xmlns:r="http://schemas.openxmlformats.org/officeDocument/2006/relationships" ref="L39" r:id="rId206"/>
    <hyperlink xmlns:r="http://schemas.openxmlformats.org/officeDocument/2006/relationships" ref="N39" r:id="rId207"/>
    <hyperlink xmlns:r="http://schemas.openxmlformats.org/officeDocument/2006/relationships" ref="O39" r:id="rId208"/>
    <hyperlink xmlns:r="http://schemas.openxmlformats.org/officeDocument/2006/relationships" ref="F40" r:id="rId209"/>
    <hyperlink xmlns:r="http://schemas.openxmlformats.org/officeDocument/2006/relationships" ref="G40" r:id="rId210"/>
    <hyperlink xmlns:r="http://schemas.openxmlformats.org/officeDocument/2006/relationships" ref="H40" r:id="rId211"/>
    <hyperlink xmlns:r="http://schemas.openxmlformats.org/officeDocument/2006/relationships" ref="J40" r:id="rId212"/>
    <hyperlink xmlns:r="http://schemas.openxmlformats.org/officeDocument/2006/relationships" ref="K40" r:id="rId213"/>
    <hyperlink xmlns:r="http://schemas.openxmlformats.org/officeDocument/2006/relationships" ref="L40" r:id="rId214"/>
    <hyperlink xmlns:r="http://schemas.openxmlformats.org/officeDocument/2006/relationships" ref="N40" r:id="rId215"/>
    <hyperlink xmlns:r="http://schemas.openxmlformats.org/officeDocument/2006/relationships" ref="O40" r:id="rId216"/>
    <hyperlink xmlns:r="http://schemas.openxmlformats.org/officeDocument/2006/relationships" ref="F41" r:id="rId217"/>
    <hyperlink xmlns:r="http://schemas.openxmlformats.org/officeDocument/2006/relationships" ref="G41" r:id="rId218"/>
    <hyperlink xmlns:r="http://schemas.openxmlformats.org/officeDocument/2006/relationships" ref="H41" r:id="rId219"/>
    <hyperlink xmlns:r="http://schemas.openxmlformats.org/officeDocument/2006/relationships" ref="J41" r:id="rId220"/>
    <hyperlink xmlns:r="http://schemas.openxmlformats.org/officeDocument/2006/relationships" ref="K41" r:id="rId221"/>
    <hyperlink xmlns:r="http://schemas.openxmlformats.org/officeDocument/2006/relationships" ref="L41" r:id="rId222"/>
    <hyperlink xmlns:r="http://schemas.openxmlformats.org/officeDocument/2006/relationships" ref="N41" r:id="rId223"/>
    <hyperlink xmlns:r="http://schemas.openxmlformats.org/officeDocument/2006/relationships" ref="O41" r:id="rId224"/>
    <hyperlink xmlns:r="http://schemas.openxmlformats.org/officeDocument/2006/relationships" ref="F42" r:id="rId225"/>
    <hyperlink xmlns:r="http://schemas.openxmlformats.org/officeDocument/2006/relationships" ref="G42" r:id="rId226"/>
    <hyperlink xmlns:r="http://schemas.openxmlformats.org/officeDocument/2006/relationships" ref="H42" r:id="rId227"/>
    <hyperlink xmlns:r="http://schemas.openxmlformats.org/officeDocument/2006/relationships" ref="J42" r:id="rId228"/>
    <hyperlink xmlns:r="http://schemas.openxmlformats.org/officeDocument/2006/relationships" ref="K42" r:id="rId229"/>
    <hyperlink xmlns:r="http://schemas.openxmlformats.org/officeDocument/2006/relationships" ref="L42" r:id="rId230"/>
    <hyperlink xmlns:r="http://schemas.openxmlformats.org/officeDocument/2006/relationships" ref="N42" r:id="rId231"/>
    <hyperlink xmlns:r="http://schemas.openxmlformats.org/officeDocument/2006/relationships" ref="O42" r:id="rId232"/>
    <hyperlink xmlns:r="http://schemas.openxmlformats.org/officeDocument/2006/relationships" ref="F43" r:id="rId233"/>
    <hyperlink xmlns:r="http://schemas.openxmlformats.org/officeDocument/2006/relationships" ref="G43" r:id="rId234"/>
    <hyperlink xmlns:r="http://schemas.openxmlformats.org/officeDocument/2006/relationships" ref="H43" r:id="rId235"/>
    <hyperlink xmlns:r="http://schemas.openxmlformats.org/officeDocument/2006/relationships" ref="J43" r:id="rId236"/>
    <hyperlink xmlns:r="http://schemas.openxmlformats.org/officeDocument/2006/relationships" ref="K43" r:id="rId237"/>
    <hyperlink xmlns:r="http://schemas.openxmlformats.org/officeDocument/2006/relationships" ref="L43" r:id="rId238"/>
    <hyperlink xmlns:r="http://schemas.openxmlformats.org/officeDocument/2006/relationships" ref="N43" r:id="rId239"/>
    <hyperlink xmlns:r="http://schemas.openxmlformats.org/officeDocument/2006/relationships" ref="O43" r:id="rId240"/>
    <hyperlink xmlns:r="http://schemas.openxmlformats.org/officeDocument/2006/relationships" ref="F44" r:id="rId241"/>
    <hyperlink xmlns:r="http://schemas.openxmlformats.org/officeDocument/2006/relationships" ref="G44" r:id="rId242"/>
    <hyperlink xmlns:r="http://schemas.openxmlformats.org/officeDocument/2006/relationships" ref="H44" r:id="rId243"/>
    <hyperlink xmlns:r="http://schemas.openxmlformats.org/officeDocument/2006/relationships" ref="J44" r:id="rId244"/>
    <hyperlink xmlns:r="http://schemas.openxmlformats.org/officeDocument/2006/relationships" ref="K44" r:id="rId245"/>
    <hyperlink xmlns:r="http://schemas.openxmlformats.org/officeDocument/2006/relationships" ref="L44" r:id="rId246"/>
    <hyperlink xmlns:r="http://schemas.openxmlformats.org/officeDocument/2006/relationships" ref="N44" r:id="rId247"/>
    <hyperlink xmlns:r="http://schemas.openxmlformats.org/officeDocument/2006/relationships" ref="O44" r:id="rId248"/>
    <hyperlink xmlns:r="http://schemas.openxmlformats.org/officeDocument/2006/relationships" ref="F45" r:id="rId249"/>
    <hyperlink xmlns:r="http://schemas.openxmlformats.org/officeDocument/2006/relationships" ref="G45" r:id="rId250"/>
    <hyperlink xmlns:r="http://schemas.openxmlformats.org/officeDocument/2006/relationships" ref="H45" r:id="rId251"/>
    <hyperlink xmlns:r="http://schemas.openxmlformats.org/officeDocument/2006/relationships" ref="J45" r:id="rId252"/>
    <hyperlink xmlns:r="http://schemas.openxmlformats.org/officeDocument/2006/relationships" ref="K45" r:id="rId253"/>
    <hyperlink xmlns:r="http://schemas.openxmlformats.org/officeDocument/2006/relationships" ref="L45" r:id="rId254"/>
    <hyperlink xmlns:r="http://schemas.openxmlformats.org/officeDocument/2006/relationships" ref="N45" r:id="rId255"/>
    <hyperlink xmlns:r="http://schemas.openxmlformats.org/officeDocument/2006/relationships" ref="O45" r:id="rId256"/>
    <hyperlink xmlns:r="http://schemas.openxmlformats.org/officeDocument/2006/relationships" ref="F46" r:id="rId257"/>
    <hyperlink xmlns:r="http://schemas.openxmlformats.org/officeDocument/2006/relationships" ref="G46" r:id="rId258"/>
    <hyperlink xmlns:r="http://schemas.openxmlformats.org/officeDocument/2006/relationships" ref="H46" r:id="rId259"/>
    <hyperlink xmlns:r="http://schemas.openxmlformats.org/officeDocument/2006/relationships" ref="J46" r:id="rId260"/>
    <hyperlink xmlns:r="http://schemas.openxmlformats.org/officeDocument/2006/relationships" ref="K46" r:id="rId261"/>
    <hyperlink xmlns:r="http://schemas.openxmlformats.org/officeDocument/2006/relationships" ref="L46" r:id="rId262"/>
    <hyperlink xmlns:r="http://schemas.openxmlformats.org/officeDocument/2006/relationships" ref="N46" r:id="rId263"/>
    <hyperlink xmlns:r="http://schemas.openxmlformats.org/officeDocument/2006/relationships" ref="O46" r:id="rId264"/>
    <hyperlink xmlns:r="http://schemas.openxmlformats.org/officeDocument/2006/relationships" ref="F47" r:id="rId265"/>
    <hyperlink xmlns:r="http://schemas.openxmlformats.org/officeDocument/2006/relationships" ref="G47" r:id="rId266"/>
    <hyperlink xmlns:r="http://schemas.openxmlformats.org/officeDocument/2006/relationships" ref="H47" r:id="rId267"/>
    <hyperlink xmlns:r="http://schemas.openxmlformats.org/officeDocument/2006/relationships" ref="N47" r:id="rId268"/>
    <hyperlink xmlns:r="http://schemas.openxmlformats.org/officeDocument/2006/relationships" ref="O47" r:id="rId269"/>
    <hyperlink xmlns:r="http://schemas.openxmlformats.org/officeDocument/2006/relationships" ref="F48" r:id="rId270"/>
    <hyperlink xmlns:r="http://schemas.openxmlformats.org/officeDocument/2006/relationships" ref="G48" r:id="rId271"/>
    <hyperlink xmlns:r="http://schemas.openxmlformats.org/officeDocument/2006/relationships" ref="H48" r:id="rId272"/>
    <hyperlink xmlns:r="http://schemas.openxmlformats.org/officeDocument/2006/relationships" ref="J48" r:id="rId273"/>
    <hyperlink xmlns:r="http://schemas.openxmlformats.org/officeDocument/2006/relationships" ref="K48" r:id="rId274"/>
    <hyperlink xmlns:r="http://schemas.openxmlformats.org/officeDocument/2006/relationships" ref="L48" r:id="rId275"/>
    <hyperlink xmlns:r="http://schemas.openxmlformats.org/officeDocument/2006/relationships" ref="N48" r:id="rId276"/>
    <hyperlink xmlns:r="http://schemas.openxmlformats.org/officeDocument/2006/relationships" ref="O48" r:id="rId277"/>
    <hyperlink xmlns:r="http://schemas.openxmlformats.org/officeDocument/2006/relationships" ref="F49" r:id="rId278"/>
    <hyperlink xmlns:r="http://schemas.openxmlformats.org/officeDocument/2006/relationships" ref="G49" r:id="rId279"/>
    <hyperlink xmlns:r="http://schemas.openxmlformats.org/officeDocument/2006/relationships" ref="H49" r:id="rId280"/>
    <hyperlink xmlns:r="http://schemas.openxmlformats.org/officeDocument/2006/relationships" ref="J49" r:id="rId281"/>
    <hyperlink xmlns:r="http://schemas.openxmlformats.org/officeDocument/2006/relationships" ref="K49" r:id="rId282"/>
    <hyperlink xmlns:r="http://schemas.openxmlformats.org/officeDocument/2006/relationships" ref="L49" r:id="rId283"/>
    <hyperlink xmlns:r="http://schemas.openxmlformats.org/officeDocument/2006/relationships" ref="N49" r:id="rId284"/>
    <hyperlink xmlns:r="http://schemas.openxmlformats.org/officeDocument/2006/relationships" ref="O49" r:id="rId285"/>
    <hyperlink xmlns:r="http://schemas.openxmlformats.org/officeDocument/2006/relationships" ref="F50" r:id="rId286"/>
    <hyperlink xmlns:r="http://schemas.openxmlformats.org/officeDocument/2006/relationships" ref="G50" r:id="rId287"/>
    <hyperlink xmlns:r="http://schemas.openxmlformats.org/officeDocument/2006/relationships" ref="H50" r:id="rId288"/>
    <hyperlink xmlns:r="http://schemas.openxmlformats.org/officeDocument/2006/relationships" ref="J50" r:id="rId289"/>
    <hyperlink xmlns:r="http://schemas.openxmlformats.org/officeDocument/2006/relationships" ref="K50" r:id="rId290"/>
    <hyperlink xmlns:r="http://schemas.openxmlformats.org/officeDocument/2006/relationships" ref="L50" r:id="rId291"/>
    <hyperlink xmlns:r="http://schemas.openxmlformats.org/officeDocument/2006/relationships" ref="N50" r:id="rId292"/>
    <hyperlink xmlns:r="http://schemas.openxmlformats.org/officeDocument/2006/relationships" ref="O50" r:id="rId293"/>
    <hyperlink xmlns:r="http://schemas.openxmlformats.org/officeDocument/2006/relationships" ref="F51" r:id="rId294"/>
    <hyperlink xmlns:r="http://schemas.openxmlformats.org/officeDocument/2006/relationships" ref="G51" r:id="rId295"/>
    <hyperlink xmlns:r="http://schemas.openxmlformats.org/officeDocument/2006/relationships" ref="H51" r:id="rId296"/>
    <hyperlink xmlns:r="http://schemas.openxmlformats.org/officeDocument/2006/relationships" ref="J51" r:id="rId297"/>
    <hyperlink xmlns:r="http://schemas.openxmlformats.org/officeDocument/2006/relationships" ref="K51" r:id="rId298"/>
    <hyperlink xmlns:r="http://schemas.openxmlformats.org/officeDocument/2006/relationships" ref="L51" r:id="rId299"/>
    <hyperlink xmlns:r="http://schemas.openxmlformats.org/officeDocument/2006/relationships" ref="N51" r:id="rId300"/>
    <hyperlink xmlns:r="http://schemas.openxmlformats.org/officeDocument/2006/relationships" ref="O51" r:id="rId301"/>
    <hyperlink xmlns:r="http://schemas.openxmlformats.org/officeDocument/2006/relationships" ref="F54" r:id="rId302"/>
    <hyperlink xmlns:r="http://schemas.openxmlformats.org/officeDocument/2006/relationships" ref="G54" r:id="rId303"/>
    <hyperlink xmlns:r="http://schemas.openxmlformats.org/officeDocument/2006/relationships" ref="H54" r:id="rId304"/>
    <hyperlink xmlns:r="http://schemas.openxmlformats.org/officeDocument/2006/relationships" ref="J54" r:id="rId305"/>
    <hyperlink xmlns:r="http://schemas.openxmlformats.org/officeDocument/2006/relationships" ref="K54" r:id="rId306"/>
    <hyperlink xmlns:r="http://schemas.openxmlformats.org/officeDocument/2006/relationships" ref="L54" r:id="rId307"/>
    <hyperlink xmlns:r="http://schemas.openxmlformats.org/officeDocument/2006/relationships" ref="N54" r:id="rId308"/>
    <hyperlink xmlns:r="http://schemas.openxmlformats.org/officeDocument/2006/relationships" ref="O54" r:id="rId309"/>
    <hyperlink xmlns:r="http://schemas.openxmlformats.org/officeDocument/2006/relationships" ref="F55" r:id="rId310"/>
    <hyperlink xmlns:r="http://schemas.openxmlformats.org/officeDocument/2006/relationships" ref="G55" r:id="rId311"/>
    <hyperlink xmlns:r="http://schemas.openxmlformats.org/officeDocument/2006/relationships" ref="H55" r:id="rId312"/>
    <hyperlink xmlns:r="http://schemas.openxmlformats.org/officeDocument/2006/relationships" ref="J55" r:id="rId313"/>
    <hyperlink xmlns:r="http://schemas.openxmlformats.org/officeDocument/2006/relationships" ref="K55" r:id="rId314"/>
    <hyperlink xmlns:r="http://schemas.openxmlformats.org/officeDocument/2006/relationships" ref="L55" r:id="rId315"/>
    <hyperlink xmlns:r="http://schemas.openxmlformats.org/officeDocument/2006/relationships" ref="N55" r:id="rId316"/>
    <hyperlink xmlns:r="http://schemas.openxmlformats.org/officeDocument/2006/relationships" ref="O55" r:id="rId317"/>
    <hyperlink xmlns:r="http://schemas.openxmlformats.org/officeDocument/2006/relationships" ref="F56" r:id="rId318"/>
    <hyperlink xmlns:r="http://schemas.openxmlformats.org/officeDocument/2006/relationships" ref="G56" r:id="rId319"/>
    <hyperlink xmlns:r="http://schemas.openxmlformats.org/officeDocument/2006/relationships" ref="H56" r:id="rId320"/>
    <hyperlink xmlns:r="http://schemas.openxmlformats.org/officeDocument/2006/relationships" ref="J56" r:id="rId321"/>
    <hyperlink xmlns:r="http://schemas.openxmlformats.org/officeDocument/2006/relationships" ref="K56" r:id="rId322"/>
    <hyperlink xmlns:r="http://schemas.openxmlformats.org/officeDocument/2006/relationships" ref="L56" r:id="rId323"/>
    <hyperlink xmlns:r="http://schemas.openxmlformats.org/officeDocument/2006/relationships" ref="N56" r:id="rId324"/>
    <hyperlink xmlns:r="http://schemas.openxmlformats.org/officeDocument/2006/relationships" ref="O56" r:id="rId325"/>
    <hyperlink xmlns:r="http://schemas.openxmlformats.org/officeDocument/2006/relationships" ref="F57" r:id="rId326"/>
    <hyperlink xmlns:r="http://schemas.openxmlformats.org/officeDocument/2006/relationships" ref="G57" r:id="rId327"/>
    <hyperlink xmlns:r="http://schemas.openxmlformats.org/officeDocument/2006/relationships" ref="H57" r:id="rId328"/>
    <hyperlink xmlns:r="http://schemas.openxmlformats.org/officeDocument/2006/relationships" ref="J57" r:id="rId329"/>
    <hyperlink xmlns:r="http://schemas.openxmlformats.org/officeDocument/2006/relationships" ref="K57" r:id="rId330"/>
    <hyperlink xmlns:r="http://schemas.openxmlformats.org/officeDocument/2006/relationships" ref="L57" r:id="rId331"/>
    <hyperlink xmlns:r="http://schemas.openxmlformats.org/officeDocument/2006/relationships" ref="N57" r:id="rId332"/>
    <hyperlink xmlns:r="http://schemas.openxmlformats.org/officeDocument/2006/relationships" ref="O57" r:id="rId333"/>
    <hyperlink xmlns:r="http://schemas.openxmlformats.org/officeDocument/2006/relationships" ref="F58" r:id="rId334"/>
    <hyperlink xmlns:r="http://schemas.openxmlformats.org/officeDocument/2006/relationships" ref="G58" r:id="rId335"/>
    <hyperlink xmlns:r="http://schemas.openxmlformats.org/officeDocument/2006/relationships" ref="H58" r:id="rId336"/>
    <hyperlink xmlns:r="http://schemas.openxmlformats.org/officeDocument/2006/relationships" ref="J58" r:id="rId337"/>
    <hyperlink xmlns:r="http://schemas.openxmlformats.org/officeDocument/2006/relationships" ref="K58" r:id="rId338"/>
    <hyperlink xmlns:r="http://schemas.openxmlformats.org/officeDocument/2006/relationships" ref="L58" r:id="rId339"/>
    <hyperlink xmlns:r="http://schemas.openxmlformats.org/officeDocument/2006/relationships" ref="N58" r:id="rId340"/>
    <hyperlink xmlns:r="http://schemas.openxmlformats.org/officeDocument/2006/relationships" ref="O58" r:id="rId341"/>
    <hyperlink xmlns:r="http://schemas.openxmlformats.org/officeDocument/2006/relationships" ref="F59" r:id="rId342"/>
    <hyperlink xmlns:r="http://schemas.openxmlformats.org/officeDocument/2006/relationships" ref="G59" r:id="rId343"/>
    <hyperlink xmlns:r="http://schemas.openxmlformats.org/officeDocument/2006/relationships" ref="H59" r:id="rId344"/>
    <hyperlink xmlns:r="http://schemas.openxmlformats.org/officeDocument/2006/relationships" ref="N59" r:id="rId345"/>
    <hyperlink xmlns:r="http://schemas.openxmlformats.org/officeDocument/2006/relationships" ref="O59" r:id="rId346"/>
    <hyperlink xmlns:r="http://schemas.openxmlformats.org/officeDocument/2006/relationships" ref="F60" r:id="rId347"/>
    <hyperlink xmlns:r="http://schemas.openxmlformats.org/officeDocument/2006/relationships" ref="G60" r:id="rId348"/>
    <hyperlink xmlns:r="http://schemas.openxmlformats.org/officeDocument/2006/relationships" ref="H60" r:id="rId349"/>
    <hyperlink xmlns:r="http://schemas.openxmlformats.org/officeDocument/2006/relationships" ref="J60" r:id="rId350"/>
    <hyperlink xmlns:r="http://schemas.openxmlformats.org/officeDocument/2006/relationships" ref="K60" r:id="rId351"/>
    <hyperlink xmlns:r="http://schemas.openxmlformats.org/officeDocument/2006/relationships" ref="L60" r:id="rId352"/>
    <hyperlink xmlns:r="http://schemas.openxmlformats.org/officeDocument/2006/relationships" ref="N60" r:id="rId353"/>
    <hyperlink xmlns:r="http://schemas.openxmlformats.org/officeDocument/2006/relationships" ref="O60" r:id="rId354"/>
    <hyperlink xmlns:r="http://schemas.openxmlformats.org/officeDocument/2006/relationships" ref="F61" r:id="rId355"/>
    <hyperlink xmlns:r="http://schemas.openxmlformats.org/officeDocument/2006/relationships" ref="G61" r:id="rId356"/>
    <hyperlink xmlns:r="http://schemas.openxmlformats.org/officeDocument/2006/relationships" ref="H61" r:id="rId357"/>
    <hyperlink xmlns:r="http://schemas.openxmlformats.org/officeDocument/2006/relationships" ref="J61" r:id="rId358"/>
    <hyperlink xmlns:r="http://schemas.openxmlformats.org/officeDocument/2006/relationships" ref="K61" r:id="rId359"/>
    <hyperlink xmlns:r="http://schemas.openxmlformats.org/officeDocument/2006/relationships" ref="L61" r:id="rId360"/>
    <hyperlink xmlns:r="http://schemas.openxmlformats.org/officeDocument/2006/relationships" ref="N61" r:id="rId361"/>
    <hyperlink xmlns:r="http://schemas.openxmlformats.org/officeDocument/2006/relationships" ref="O61" r:id="rId362"/>
    <hyperlink xmlns:r="http://schemas.openxmlformats.org/officeDocument/2006/relationships" ref="F62" r:id="rId363"/>
    <hyperlink xmlns:r="http://schemas.openxmlformats.org/officeDocument/2006/relationships" ref="G62" r:id="rId364"/>
    <hyperlink xmlns:r="http://schemas.openxmlformats.org/officeDocument/2006/relationships" ref="H62" r:id="rId365"/>
    <hyperlink xmlns:r="http://schemas.openxmlformats.org/officeDocument/2006/relationships" ref="J62" r:id="rId366"/>
    <hyperlink xmlns:r="http://schemas.openxmlformats.org/officeDocument/2006/relationships" ref="K62" r:id="rId367"/>
    <hyperlink xmlns:r="http://schemas.openxmlformats.org/officeDocument/2006/relationships" ref="L62" r:id="rId368"/>
    <hyperlink xmlns:r="http://schemas.openxmlformats.org/officeDocument/2006/relationships" ref="N62" r:id="rId369"/>
    <hyperlink xmlns:r="http://schemas.openxmlformats.org/officeDocument/2006/relationships" ref="O62" r:id="rId370"/>
    <hyperlink xmlns:r="http://schemas.openxmlformats.org/officeDocument/2006/relationships" ref="F63" r:id="rId371"/>
    <hyperlink xmlns:r="http://schemas.openxmlformats.org/officeDocument/2006/relationships" ref="G63" r:id="rId372"/>
    <hyperlink xmlns:r="http://schemas.openxmlformats.org/officeDocument/2006/relationships" ref="H63" r:id="rId373"/>
    <hyperlink xmlns:r="http://schemas.openxmlformats.org/officeDocument/2006/relationships" ref="N63" r:id="rId374"/>
    <hyperlink xmlns:r="http://schemas.openxmlformats.org/officeDocument/2006/relationships" ref="O63" r:id="rId375"/>
    <hyperlink xmlns:r="http://schemas.openxmlformats.org/officeDocument/2006/relationships" ref="F64" r:id="rId376"/>
    <hyperlink xmlns:r="http://schemas.openxmlformats.org/officeDocument/2006/relationships" ref="G64" r:id="rId377"/>
    <hyperlink xmlns:r="http://schemas.openxmlformats.org/officeDocument/2006/relationships" ref="H64" r:id="rId378"/>
    <hyperlink xmlns:r="http://schemas.openxmlformats.org/officeDocument/2006/relationships" ref="J64" r:id="rId379"/>
    <hyperlink xmlns:r="http://schemas.openxmlformats.org/officeDocument/2006/relationships" ref="K64" r:id="rId380"/>
    <hyperlink xmlns:r="http://schemas.openxmlformats.org/officeDocument/2006/relationships" ref="L64" r:id="rId381"/>
    <hyperlink xmlns:r="http://schemas.openxmlformats.org/officeDocument/2006/relationships" ref="N64" r:id="rId382"/>
    <hyperlink xmlns:r="http://schemas.openxmlformats.org/officeDocument/2006/relationships" ref="O64" r:id="rId383"/>
    <hyperlink xmlns:r="http://schemas.openxmlformats.org/officeDocument/2006/relationships" ref="F65" r:id="rId384"/>
    <hyperlink xmlns:r="http://schemas.openxmlformats.org/officeDocument/2006/relationships" ref="G65" r:id="rId385"/>
    <hyperlink xmlns:r="http://schemas.openxmlformats.org/officeDocument/2006/relationships" ref="H65" r:id="rId386"/>
    <hyperlink xmlns:r="http://schemas.openxmlformats.org/officeDocument/2006/relationships" ref="J65" r:id="rId387"/>
    <hyperlink xmlns:r="http://schemas.openxmlformats.org/officeDocument/2006/relationships" ref="K65" r:id="rId388"/>
    <hyperlink xmlns:r="http://schemas.openxmlformats.org/officeDocument/2006/relationships" ref="L65" r:id="rId389"/>
    <hyperlink xmlns:r="http://schemas.openxmlformats.org/officeDocument/2006/relationships" ref="N65" r:id="rId390"/>
    <hyperlink xmlns:r="http://schemas.openxmlformats.org/officeDocument/2006/relationships" ref="O65" r:id="rId391"/>
    <hyperlink xmlns:r="http://schemas.openxmlformats.org/officeDocument/2006/relationships" ref="F66" r:id="rId392"/>
    <hyperlink xmlns:r="http://schemas.openxmlformats.org/officeDocument/2006/relationships" ref="G66" r:id="rId393"/>
    <hyperlink xmlns:r="http://schemas.openxmlformats.org/officeDocument/2006/relationships" ref="H66" r:id="rId394"/>
    <hyperlink xmlns:r="http://schemas.openxmlformats.org/officeDocument/2006/relationships" ref="N66" r:id="rId395"/>
    <hyperlink xmlns:r="http://schemas.openxmlformats.org/officeDocument/2006/relationships" ref="O66" r:id="rId396"/>
    <hyperlink xmlns:r="http://schemas.openxmlformats.org/officeDocument/2006/relationships" ref="F67" r:id="rId397"/>
    <hyperlink xmlns:r="http://schemas.openxmlformats.org/officeDocument/2006/relationships" ref="G67" r:id="rId398"/>
    <hyperlink xmlns:r="http://schemas.openxmlformats.org/officeDocument/2006/relationships" ref="H67" r:id="rId399"/>
    <hyperlink xmlns:r="http://schemas.openxmlformats.org/officeDocument/2006/relationships" ref="J67" r:id="rId400"/>
    <hyperlink xmlns:r="http://schemas.openxmlformats.org/officeDocument/2006/relationships" ref="K67" r:id="rId401"/>
    <hyperlink xmlns:r="http://schemas.openxmlformats.org/officeDocument/2006/relationships" ref="L67" r:id="rId402"/>
    <hyperlink xmlns:r="http://schemas.openxmlformats.org/officeDocument/2006/relationships" ref="N67" r:id="rId403"/>
    <hyperlink xmlns:r="http://schemas.openxmlformats.org/officeDocument/2006/relationships" ref="O67" r:id="rId404"/>
    <hyperlink xmlns:r="http://schemas.openxmlformats.org/officeDocument/2006/relationships" ref="F68" r:id="rId405"/>
    <hyperlink xmlns:r="http://schemas.openxmlformats.org/officeDocument/2006/relationships" ref="G68" r:id="rId406"/>
    <hyperlink xmlns:r="http://schemas.openxmlformats.org/officeDocument/2006/relationships" ref="H68" r:id="rId407"/>
    <hyperlink xmlns:r="http://schemas.openxmlformats.org/officeDocument/2006/relationships" ref="N68" r:id="rId408"/>
    <hyperlink xmlns:r="http://schemas.openxmlformats.org/officeDocument/2006/relationships" ref="O68" r:id="rId409"/>
    <hyperlink xmlns:r="http://schemas.openxmlformats.org/officeDocument/2006/relationships" ref="F71" r:id="rId410"/>
    <hyperlink xmlns:r="http://schemas.openxmlformats.org/officeDocument/2006/relationships" ref="G71" r:id="rId411"/>
    <hyperlink xmlns:r="http://schemas.openxmlformats.org/officeDocument/2006/relationships" ref="H71" r:id="rId412"/>
    <hyperlink xmlns:r="http://schemas.openxmlformats.org/officeDocument/2006/relationships" ref="J71" r:id="rId413"/>
    <hyperlink xmlns:r="http://schemas.openxmlformats.org/officeDocument/2006/relationships" ref="K71" r:id="rId414"/>
    <hyperlink xmlns:r="http://schemas.openxmlformats.org/officeDocument/2006/relationships" ref="L71" r:id="rId415"/>
    <hyperlink xmlns:r="http://schemas.openxmlformats.org/officeDocument/2006/relationships" ref="N71" r:id="rId416"/>
    <hyperlink xmlns:r="http://schemas.openxmlformats.org/officeDocument/2006/relationships" ref="O71" r:id="rId417"/>
    <hyperlink xmlns:r="http://schemas.openxmlformats.org/officeDocument/2006/relationships" ref="F72" r:id="rId418"/>
    <hyperlink xmlns:r="http://schemas.openxmlformats.org/officeDocument/2006/relationships" ref="G72" r:id="rId419"/>
    <hyperlink xmlns:r="http://schemas.openxmlformats.org/officeDocument/2006/relationships" ref="H72" r:id="rId420"/>
    <hyperlink xmlns:r="http://schemas.openxmlformats.org/officeDocument/2006/relationships" ref="J72" r:id="rId421"/>
    <hyperlink xmlns:r="http://schemas.openxmlformats.org/officeDocument/2006/relationships" ref="K72" r:id="rId422"/>
    <hyperlink xmlns:r="http://schemas.openxmlformats.org/officeDocument/2006/relationships" ref="L72" r:id="rId423"/>
    <hyperlink xmlns:r="http://schemas.openxmlformats.org/officeDocument/2006/relationships" ref="N72" r:id="rId424"/>
    <hyperlink xmlns:r="http://schemas.openxmlformats.org/officeDocument/2006/relationships" ref="O72" r:id="rId425"/>
    <hyperlink xmlns:r="http://schemas.openxmlformats.org/officeDocument/2006/relationships" ref="F73" r:id="rId426"/>
    <hyperlink xmlns:r="http://schemas.openxmlformats.org/officeDocument/2006/relationships" ref="G73" r:id="rId427"/>
    <hyperlink xmlns:r="http://schemas.openxmlformats.org/officeDocument/2006/relationships" ref="H73" r:id="rId428"/>
    <hyperlink xmlns:r="http://schemas.openxmlformats.org/officeDocument/2006/relationships" ref="J73" r:id="rId429"/>
    <hyperlink xmlns:r="http://schemas.openxmlformats.org/officeDocument/2006/relationships" ref="K73" r:id="rId430"/>
    <hyperlink xmlns:r="http://schemas.openxmlformats.org/officeDocument/2006/relationships" ref="L73" r:id="rId431"/>
    <hyperlink xmlns:r="http://schemas.openxmlformats.org/officeDocument/2006/relationships" ref="N73" r:id="rId432"/>
    <hyperlink xmlns:r="http://schemas.openxmlformats.org/officeDocument/2006/relationships" ref="O73" r:id="rId433"/>
    <hyperlink xmlns:r="http://schemas.openxmlformats.org/officeDocument/2006/relationships" ref="F74" r:id="rId434"/>
    <hyperlink xmlns:r="http://schemas.openxmlformats.org/officeDocument/2006/relationships" ref="G74" r:id="rId435"/>
    <hyperlink xmlns:r="http://schemas.openxmlformats.org/officeDocument/2006/relationships" ref="H74" r:id="rId436"/>
    <hyperlink xmlns:r="http://schemas.openxmlformats.org/officeDocument/2006/relationships" ref="J74" r:id="rId437"/>
    <hyperlink xmlns:r="http://schemas.openxmlformats.org/officeDocument/2006/relationships" ref="K74" r:id="rId438"/>
    <hyperlink xmlns:r="http://schemas.openxmlformats.org/officeDocument/2006/relationships" ref="L74" r:id="rId439"/>
    <hyperlink xmlns:r="http://schemas.openxmlformats.org/officeDocument/2006/relationships" ref="N74" r:id="rId440"/>
    <hyperlink xmlns:r="http://schemas.openxmlformats.org/officeDocument/2006/relationships" ref="O74" r:id="rId441"/>
    <hyperlink xmlns:r="http://schemas.openxmlformats.org/officeDocument/2006/relationships" ref="F75" r:id="rId442"/>
    <hyperlink xmlns:r="http://schemas.openxmlformats.org/officeDocument/2006/relationships" ref="G75" r:id="rId443"/>
    <hyperlink xmlns:r="http://schemas.openxmlformats.org/officeDocument/2006/relationships" ref="H75" r:id="rId444"/>
    <hyperlink xmlns:r="http://schemas.openxmlformats.org/officeDocument/2006/relationships" ref="J75" r:id="rId445"/>
    <hyperlink xmlns:r="http://schemas.openxmlformats.org/officeDocument/2006/relationships" ref="K75" r:id="rId446"/>
    <hyperlink xmlns:r="http://schemas.openxmlformats.org/officeDocument/2006/relationships" ref="L75" r:id="rId447"/>
    <hyperlink xmlns:r="http://schemas.openxmlformats.org/officeDocument/2006/relationships" ref="N75" r:id="rId448"/>
    <hyperlink xmlns:r="http://schemas.openxmlformats.org/officeDocument/2006/relationships" ref="F76" r:id="rId449"/>
    <hyperlink xmlns:r="http://schemas.openxmlformats.org/officeDocument/2006/relationships" ref="G76" r:id="rId450"/>
    <hyperlink xmlns:r="http://schemas.openxmlformats.org/officeDocument/2006/relationships" ref="H76" r:id="rId451"/>
    <hyperlink xmlns:r="http://schemas.openxmlformats.org/officeDocument/2006/relationships" ref="J76" r:id="rId452"/>
    <hyperlink xmlns:r="http://schemas.openxmlformats.org/officeDocument/2006/relationships" ref="K76" r:id="rId453"/>
    <hyperlink xmlns:r="http://schemas.openxmlformats.org/officeDocument/2006/relationships" ref="L76" r:id="rId454"/>
    <hyperlink xmlns:r="http://schemas.openxmlformats.org/officeDocument/2006/relationships" ref="N76" r:id="rId455"/>
    <hyperlink xmlns:r="http://schemas.openxmlformats.org/officeDocument/2006/relationships" ref="F77" r:id="rId456"/>
    <hyperlink xmlns:r="http://schemas.openxmlformats.org/officeDocument/2006/relationships" ref="G77" r:id="rId457"/>
    <hyperlink xmlns:r="http://schemas.openxmlformats.org/officeDocument/2006/relationships" ref="H77" r:id="rId458"/>
    <hyperlink xmlns:r="http://schemas.openxmlformats.org/officeDocument/2006/relationships" ref="J77" r:id="rId459"/>
    <hyperlink xmlns:r="http://schemas.openxmlformats.org/officeDocument/2006/relationships" ref="K77" r:id="rId460"/>
    <hyperlink xmlns:r="http://schemas.openxmlformats.org/officeDocument/2006/relationships" ref="L77" r:id="rId461"/>
    <hyperlink xmlns:r="http://schemas.openxmlformats.org/officeDocument/2006/relationships" ref="N77" r:id="rId462"/>
    <hyperlink xmlns:r="http://schemas.openxmlformats.org/officeDocument/2006/relationships" ref="F78" r:id="rId463"/>
    <hyperlink xmlns:r="http://schemas.openxmlformats.org/officeDocument/2006/relationships" ref="G78" r:id="rId464"/>
    <hyperlink xmlns:r="http://schemas.openxmlformats.org/officeDocument/2006/relationships" ref="H78" r:id="rId465"/>
    <hyperlink xmlns:r="http://schemas.openxmlformats.org/officeDocument/2006/relationships" ref="J78" r:id="rId466"/>
    <hyperlink xmlns:r="http://schemas.openxmlformats.org/officeDocument/2006/relationships" ref="K78" r:id="rId467"/>
    <hyperlink xmlns:r="http://schemas.openxmlformats.org/officeDocument/2006/relationships" ref="L78" r:id="rId468"/>
    <hyperlink xmlns:r="http://schemas.openxmlformats.org/officeDocument/2006/relationships" ref="N78" r:id="rId469"/>
    <hyperlink xmlns:r="http://schemas.openxmlformats.org/officeDocument/2006/relationships" ref="O78" r:id="rId470"/>
    <hyperlink xmlns:r="http://schemas.openxmlformats.org/officeDocument/2006/relationships" ref="F79" r:id="rId471"/>
    <hyperlink xmlns:r="http://schemas.openxmlformats.org/officeDocument/2006/relationships" ref="G79" r:id="rId472"/>
    <hyperlink xmlns:r="http://schemas.openxmlformats.org/officeDocument/2006/relationships" ref="H79" r:id="rId473"/>
    <hyperlink xmlns:r="http://schemas.openxmlformats.org/officeDocument/2006/relationships" ref="J79" r:id="rId474"/>
    <hyperlink xmlns:r="http://schemas.openxmlformats.org/officeDocument/2006/relationships" ref="K79" r:id="rId475"/>
    <hyperlink xmlns:r="http://schemas.openxmlformats.org/officeDocument/2006/relationships" ref="L79" r:id="rId476"/>
    <hyperlink xmlns:r="http://schemas.openxmlformats.org/officeDocument/2006/relationships" ref="N79" r:id="rId477"/>
    <hyperlink xmlns:r="http://schemas.openxmlformats.org/officeDocument/2006/relationships" ref="O79" r:id="rId478"/>
    <hyperlink xmlns:r="http://schemas.openxmlformats.org/officeDocument/2006/relationships" ref="F80" r:id="rId479"/>
    <hyperlink xmlns:r="http://schemas.openxmlformats.org/officeDocument/2006/relationships" ref="G80" r:id="rId480"/>
    <hyperlink xmlns:r="http://schemas.openxmlformats.org/officeDocument/2006/relationships" ref="H80" r:id="rId481"/>
    <hyperlink xmlns:r="http://schemas.openxmlformats.org/officeDocument/2006/relationships" ref="J80" r:id="rId482"/>
    <hyperlink xmlns:r="http://schemas.openxmlformats.org/officeDocument/2006/relationships" ref="K80" r:id="rId483"/>
    <hyperlink xmlns:r="http://schemas.openxmlformats.org/officeDocument/2006/relationships" ref="L80" r:id="rId484"/>
    <hyperlink xmlns:r="http://schemas.openxmlformats.org/officeDocument/2006/relationships" ref="N80" r:id="rId485"/>
    <hyperlink xmlns:r="http://schemas.openxmlformats.org/officeDocument/2006/relationships" ref="O80" r:id="rId486"/>
    <hyperlink xmlns:r="http://schemas.openxmlformats.org/officeDocument/2006/relationships" ref="F81" r:id="rId487"/>
    <hyperlink xmlns:r="http://schemas.openxmlformats.org/officeDocument/2006/relationships" ref="G81" r:id="rId488"/>
    <hyperlink xmlns:r="http://schemas.openxmlformats.org/officeDocument/2006/relationships" ref="H81" r:id="rId489"/>
    <hyperlink xmlns:r="http://schemas.openxmlformats.org/officeDocument/2006/relationships" ref="J81" r:id="rId490"/>
    <hyperlink xmlns:r="http://schemas.openxmlformats.org/officeDocument/2006/relationships" ref="K81" r:id="rId491"/>
    <hyperlink xmlns:r="http://schemas.openxmlformats.org/officeDocument/2006/relationships" ref="L81" r:id="rId492"/>
    <hyperlink xmlns:r="http://schemas.openxmlformats.org/officeDocument/2006/relationships" ref="N81" r:id="rId493"/>
    <hyperlink xmlns:r="http://schemas.openxmlformats.org/officeDocument/2006/relationships" ref="O81" r:id="rId494"/>
    <hyperlink xmlns:r="http://schemas.openxmlformats.org/officeDocument/2006/relationships" ref="F82" r:id="rId495"/>
    <hyperlink xmlns:r="http://schemas.openxmlformats.org/officeDocument/2006/relationships" ref="G82" r:id="rId496"/>
    <hyperlink xmlns:r="http://schemas.openxmlformats.org/officeDocument/2006/relationships" ref="H82" r:id="rId497"/>
    <hyperlink xmlns:r="http://schemas.openxmlformats.org/officeDocument/2006/relationships" ref="J82" r:id="rId498"/>
    <hyperlink xmlns:r="http://schemas.openxmlformats.org/officeDocument/2006/relationships" ref="K82" r:id="rId499"/>
    <hyperlink xmlns:r="http://schemas.openxmlformats.org/officeDocument/2006/relationships" ref="L82" r:id="rId500"/>
    <hyperlink xmlns:r="http://schemas.openxmlformats.org/officeDocument/2006/relationships" ref="N82" r:id="rId501"/>
    <hyperlink xmlns:r="http://schemas.openxmlformats.org/officeDocument/2006/relationships" ref="O82" r:id="rId502"/>
    <hyperlink xmlns:r="http://schemas.openxmlformats.org/officeDocument/2006/relationships" ref="F83" r:id="rId503"/>
    <hyperlink xmlns:r="http://schemas.openxmlformats.org/officeDocument/2006/relationships" ref="G83" r:id="rId504"/>
    <hyperlink xmlns:r="http://schemas.openxmlformats.org/officeDocument/2006/relationships" ref="H83" r:id="rId505"/>
    <hyperlink xmlns:r="http://schemas.openxmlformats.org/officeDocument/2006/relationships" ref="J83" r:id="rId506"/>
    <hyperlink xmlns:r="http://schemas.openxmlformats.org/officeDocument/2006/relationships" ref="K83" r:id="rId507"/>
    <hyperlink xmlns:r="http://schemas.openxmlformats.org/officeDocument/2006/relationships" ref="L83" r:id="rId508"/>
    <hyperlink xmlns:r="http://schemas.openxmlformats.org/officeDocument/2006/relationships" ref="N83" r:id="rId509"/>
    <hyperlink xmlns:r="http://schemas.openxmlformats.org/officeDocument/2006/relationships" ref="O83" r:id="rId510"/>
    <hyperlink xmlns:r="http://schemas.openxmlformats.org/officeDocument/2006/relationships" ref="F84" r:id="rId511"/>
    <hyperlink xmlns:r="http://schemas.openxmlformats.org/officeDocument/2006/relationships" ref="G84" r:id="rId512"/>
    <hyperlink xmlns:r="http://schemas.openxmlformats.org/officeDocument/2006/relationships" ref="H84" r:id="rId513"/>
    <hyperlink xmlns:r="http://schemas.openxmlformats.org/officeDocument/2006/relationships" ref="J84" r:id="rId514"/>
    <hyperlink xmlns:r="http://schemas.openxmlformats.org/officeDocument/2006/relationships" ref="K84" r:id="rId515"/>
    <hyperlink xmlns:r="http://schemas.openxmlformats.org/officeDocument/2006/relationships" ref="L84" r:id="rId516"/>
    <hyperlink xmlns:r="http://schemas.openxmlformats.org/officeDocument/2006/relationships" ref="N84" r:id="rId517"/>
    <hyperlink xmlns:r="http://schemas.openxmlformats.org/officeDocument/2006/relationships" ref="O84" r:id="rId518"/>
    <hyperlink xmlns:r="http://schemas.openxmlformats.org/officeDocument/2006/relationships" ref="F85" r:id="rId519"/>
    <hyperlink xmlns:r="http://schemas.openxmlformats.org/officeDocument/2006/relationships" ref="G85" r:id="rId520"/>
    <hyperlink xmlns:r="http://schemas.openxmlformats.org/officeDocument/2006/relationships" ref="H85" r:id="rId521"/>
    <hyperlink xmlns:r="http://schemas.openxmlformats.org/officeDocument/2006/relationships" ref="J85" r:id="rId522"/>
    <hyperlink xmlns:r="http://schemas.openxmlformats.org/officeDocument/2006/relationships" ref="K85" r:id="rId523"/>
    <hyperlink xmlns:r="http://schemas.openxmlformats.org/officeDocument/2006/relationships" ref="L85" r:id="rId524"/>
    <hyperlink xmlns:r="http://schemas.openxmlformats.org/officeDocument/2006/relationships" ref="N85" r:id="rId525"/>
    <hyperlink xmlns:r="http://schemas.openxmlformats.org/officeDocument/2006/relationships" ref="O85" r:id="rId526"/>
    <hyperlink xmlns:r="http://schemas.openxmlformats.org/officeDocument/2006/relationships" ref="F86" r:id="rId527"/>
    <hyperlink xmlns:r="http://schemas.openxmlformats.org/officeDocument/2006/relationships" ref="G86" r:id="rId528"/>
    <hyperlink xmlns:r="http://schemas.openxmlformats.org/officeDocument/2006/relationships" ref="H86" r:id="rId529"/>
    <hyperlink xmlns:r="http://schemas.openxmlformats.org/officeDocument/2006/relationships" ref="J86" r:id="rId530"/>
    <hyperlink xmlns:r="http://schemas.openxmlformats.org/officeDocument/2006/relationships" ref="K86" r:id="rId531"/>
    <hyperlink xmlns:r="http://schemas.openxmlformats.org/officeDocument/2006/relationships" ref="L86" r:id="rId532"/>
    <hyperlink xmlns:r="http://schemas.openxmlformats.org/officeDocument/2006/relationships" ref="N86" r:id="rId533"/>
    <hyperlink xmlns:r="http://schemas.openxmlformats.org/officeDocument/2006/relationships" ref="O86" r:id="rId534"/>
    <hyperlink xmlns:r="http://schemas.openxmlformats.org/officeDocument/2006/relationships" ref="F89" r:id="rId535"/>
    <hyperlink xmlns:r="http://schemas.openxmlformats.org/officeDocument/2006/relationships" ref="G89" r:id="rId536"/>
    <hyperlink xmlns:r="http://schemas.openxmlformats.org/officeDocument/2006/relationships" ref="H89" r:id="rId537"/>
    <hyperlink xmlns:r="http://schemas.openxmlformats.org/officeDocument/2006/relationships" ref="J89" r:id="rId538"/>
    <hyperlink xmlns:r="http://schemas.openxmlformats.org/officeDocument/2006/relationships" ref="K89" r:id="rId539"/>
    <hyperlink xmlns:r="http://schemas.openxmlformats.org/officeDocument/2006/relationships" ref="L89" r:id="rId540"/>
    <hyperlink xmlns:r="http://schemas.openxmlformats.org/officeDocument/2006/relationships" ref="N89" r:id="rId541"/>
    <hyperlink xmlns:r="http://schemas.openxmlformats.org/officeDocument/2006/relationships" ref="O89" r:id="rId542"/>
    <hyperlink xmlns:r="http://schemas.openxmlformats.org/officeDocument/2006/relationships" ref="F90" r:id="rId543"/>
    <hyperlink xmlns:r="http://schemas.openxmlformats.org/officeDocument/2006/relationships" ref="G90" r:id="rId544"/>
    <hyperlink xmlns:r="http://schemas.openxmlformats.org/officeDocument/2006/relationships" ref="H90" r:id="rId545"/>
    <hyperlink xmlns:r="http://schemas.openxmlformats.org/officeDocument/2006/relationships" ref="J90" r:id="rId546"/>
    <hyperlink xmlns:r="http://schemas.openxmlformats.org/officeDocument/2006/relationships" ref="K90" r:id="rId547"/>
    <hyperlink xmlns:r="http://schemas.openxmlformats.org/officeDocument/2006/relationships" ref="L90" r:id="rId548"/>
    <hyperlink xmlns:r="http://schemas.openxmlformats.org/officeDocument/2006/relationships" ref="N90" r:id="rId549"/>
    <hyperlink xmlns:r="http://schemas.openxmlformats.org/officeDocument/2006/relationships" ref="O90" r:id="rId550"/>
    <hyperlink xmlns:r="http://schemas.openxmlformats.org/officeDocument/2006/relationships" ref="F91" r:id="rId551"/>
    <hyperlink xmlns:r="http://schemas.openxmlformats.org/officeDocument/2006/relationships" ref="G91" r:id="rId552"/>
    <hyperlink xmlns:r="http://schemas.openxmlformats.org/officeDocument/2006/relationships" ref="H91" r:id="rId553"/>
    <hyperlink xmlns:r="http://schemas.openxmlformats.org/officeDocument/2006/relationships" ref="J91" r:id="rId554"/>
    <hyperlink xmlns:r="http://schemas.openxmlformats.org/officeDocument/2006/relationships" ref="K91" r:id="rId555"/>
    <hyperlink xmlns:r="http://schemas.openxmlformats.org/officeDocument/2006/relationships" ref="L91" r:id="rId556"/>
    <hyperlink xmlns:r="http://schemas.openxmlformats.org/officeDocument/2006/relationships" ref="N91" r:id="rId557"/>
    <hyperlink xmlns:r="http://schemas.openxmlformats.org/officeDocument/2006/relationships" ref="O91" r:id="rId558"/>
    <hyperlink xmlns:r="http://schemas.openxmlformats.org/officeDocument/2006/relationships" ref="F92" r:id="rId559"/>
    <hyperlink xmlns:r="http://schemas.openxmlformats.org/officeDocument/2006/relationships" ref="G92" r:id="rId560"/>
    <hyperlink xmlns:r="http://schemas.openxmlformats.org/officeDocument/2006/relationships" ref="H92" r:id="rId561"/>
    <hyperlink xmlns:r="http://schemas.openxmlformats.org/officeDocument/2006/relationships" ref="J92" r:id="rId562"/>
    <hyperlink xmlns:r="http://schemas.openxmlformats.org/officeDocument/2006/relationships" ref="K92" r:id="rId563"/>
    <hyperlink xmlns:r="http://schemas.openxmlformats.org/officeDocument/2006/relationships" ref="L92" r:id="rId564"/>
    <hyperlink xmlns:r="http://schemas.openxmlformats.org/officeDocument/2006/relationships" ref="N92" r:id="rId565"/>
    <hyperlink xmlns:r="http://schemas.openxmlformats.org/officeDocument/2006/relationships" ref="O92" r:id="rId566"/>
    <hyperlink xmlns:r="http://schemas.openxmlformats.org/officeDocument/2006/relationships" ref="F93" r:id="rId567"/>
    <hyperlink xmlns:r="http://schemas.openxmlformats.org/officeDocument/2006/relationships" ref="G93" r:id="rId568"/>
    <hyperlink xmlns:r="http://schemas.openxmlformats.org/officeDocument/2006/relationships" ref="H93" r:id="rId569"/>
    <hyperlink xmlns:r="http://schemas.openxmlformats.org/officeDocument/2006/relationships" ref="N93" r:id="rId570"/>
    <hyperlink xmlns:r="http://schemas.openxmlformats.org/officeDocument/2006/relationships" ref="O93" r:id="rId571"/>
    <hyperlink xmlns:r="http://schemas.openxmlformats.org/officeDocument/2006/relationships" ref="F94" r:id="rId572"/>
    <hyperlink xmlns:r="http://schemas.openxmlformats.org/officeDocument/2006/relationships" ref="G94" r:id="rId573"/>
    <hyperlink xmlns:r="http://schemas.openxmlformats.org/officeDocument/2006/relationships" ref="H94" r:id="rId574"/>
    <hyperlink xmlns:r="http://schemas.openxmlformats.org/officeDocument/2006/relationships" ref="J94" r:id="rId575"/>
    <hyperlink xmlns:r="http://schemas.openxmlformats.org/officeDocument/2006/relationships" ref="K94" r:id="rId576"/>
    <hyperlink xmlns:r="http://schemas.openxmlformats.org/officeDocument/2006/relationships" ref="L94" r:id="rId577"/>
    <hyperlink xmlns:r="http://schemas.openxmlformats.org/officeDocument/2006/relationships" ref="N94" r:id="rId578"/>
    <hyperlink xmlns:r="http://schemas.openxmlformats.org/officeDocument/2006/relationships" ref="O94" r:id="rId579"/>
    <hyperlink xmlns:r="http://schemas.openxmlformats.org/officeDocument/2006/relationships" ref="F95" r:id="rId580"/>
    <hyperlink xmlns:r="http://schemas.openxmlformats.org/officeDocument/2006/relationships" ref="G95" r:id="rId581"/>
    <hyperlink xmlns:r="http://schemas.openxmlformats.org/officeDocument/2006/relationships" ref="H95" r:id="rId582"/>
    <hyperlink xmlns:r="http://schemas.openxmlformats.org/officeDocument/2006/relationships" ref="J95" r:id="rId583"/>
    <hyperlink xmlns:r="http://schemas.openxmlformats.org/officeDocument/2006/relationships" ref="K95" r:id="rId584"/>
    <hyperlink xmlns:r="http://schemas.openxmlformats.org/officeDocument/2006/relationships" ref="L95" r:id="rId585"/>
    <hyperlink xmlns:r="http://schemas.openxmlformats.org/officeDocument/2006/relationships" ref="N95" r:id="rId586"/>
    <hyperlink xmlns:r="http://schemas.openxmlformats.org/officeDocument/2006/relationships" ref="O95" r:id="rId587"/>
    <hyperlink xmlns:r="http://schemas.openxmlformats.org/officeDocument/2006/relationships" ref="F96" r:id="rId588"/>
    <hyperlink xmlns:r="http://schemas.openxmlformats.org/officeDocument/2006/relationships" ref="G96" r:id="rId589"/>
    <hyperlink xmlns:r="http://schemas.openxmlformats.org/officeDocument/2006/relationships" ref="H96" r:id="rId590"/>
    <hyperlink xmlns:r="http://schemas.openxmlformats.org/officeDocument/2006/relationships" ref="N96" r:id="rId591"/>
    <hyperlink xmlns:r="http://schemas.openxmlformats.org/officeDocument/2006/relationships" ref="O96" r:id="rId592"/>
    <hyperlink xmlns:r="http://schemas.openxmlformats.org/officeDocument/2006/relationships" ref="F97" r:id="rId593"/>
    <hyperlink xmlns:r="http://schemas.openxmlformats.org/officeDocument/2006/relationships" ref="G97" r:id="rId594"/>
    <hyperlink xmlns:r="http://schemas.openxmlformats.org/officeDocument/2006/relationships" ref="H97" r:id="rId595"/>
    <hyperlink xmlns:r="http://schemas.openxmlformats.org/officeDocument/2006/relationships" ref="J97" r:id="rId596"/>
    <hyperlink xmlns:r="http://schemas.openxmlformats.org/officeDocument/2006/relationships" ref="K97" r:id="rId597"/>
    <hyperlink xmlns:r="http://schemas.openxmlformats.org/officeDocument/2006/relationships" ref="L97" r:id="rId598"/>
    <hyperlink xmlns:r="http://schemas.openxmlformats.org/officeDocument/2006/relationships" ref="N97" r:id="rId599"/>
    <hyperlink xmlns:r="http://schemas.openxmlformats.org/officeDocument/2006/relationships" ref="O97" r:id="rId600"/>
    <hyperlink xmlns:r="http://schemas.openxmlformats.org/officeDocument/2006/relationships" ref="F98" r:id="rId601"/>
    <hyperlink xmlns:r="http://schemas.openxmlformats.org/officeDocument/2006/relationships" ref="G98" r:id="rId602"/>
    <hyperlink xmlns:r="http://schemas.openxmlformats.org/officeDocument/2006/relationships" ref="H98" r:id="rId603"/>
    <hyperlink xmlns:r="http://schemas.openxmlformats.org/officeDocument/2006/relationships" ref="N98" r:id="rId604"/>
    <hyperlink xmlns:r="http://schemas.openxmlformats.org/officeDocument/2006/relationships" ref="O98" r:id="rId605"/>
    <hyperlink xmlns:r="http://schemas.openxmlformats.org/officeDocument/2006/relationships" ref="F99" r:id="rId606"/>
    <hyperlink xmlns:r="http://schemas.openxmlformats.org/officeDocument/2006/relationships" ref="G99" r:id="rId607"/>
    <hyperlink xmlns:r="http://schemas.openxmlformats.org/officeDocument/2006/relationships" ref="H99" r:id="rId608"/>
    <hyperlink xmlns:r="http://schemas.openxmlformats.org/officeDocument/2006/relationships" ref="J99" r:id="rId609"/>
    <hyperlink xmlns:r="http://schemas.openxmlformats.org/officeDocument/2006/relationships" ref="K99" r:id="rId610"/>
    <hyperlink xmlns:r="http://schemas.openxmlformats.org/officeDocument/2006/relationships" ref="L99" r:id="rId611"/>
    <hyperlink xmlns:r="http://schemas.openxmlformats.org/officeDocument/2006/relationships" ref="N99" r:id="rId612"/>
    <hyperlink xmlns:r="http://schemas.openxmlformats.org/officeDocument/2006/relationships" ref="O99" r:id="rId613"/>
    <hyperlink xmlns:r="http://schemas.openxmlformats.org/officeDocument/2006/relationships" ref="F100" r:id="rId614"/>
    <hyperlink xmlns:r="http://schemas.openxmlformats.org/officeDocument/2006/relationships" ref="G100" r:id="rId615"/>
    <hyperlink xmlns:r="http://schemas.openxmlformats.org/officeDocument/2006/relationships" ref="H100" r:id="rId616"/>
    <hyperlink xmlns:r="http://schemas.openxmlformats.org/officeDocument/2006/relationships" ref="N100" r:id="rId617"/>
    <hyperlink xmlns:r="http://schemas.openxmlformats.org/officeDocument/2006/relationships" ref="O100" r:id="rId618"/>
    <hyperlink xmlns:r="http://schemas.openxmlformats.org/officeDocument/2006/relationships" ref="F101" r:id="rId619"/>
    <hyperlink xmlns:r="http://schemas.openxmlformats.org/officeDocument/2006/relationships" ref="G101" r:id="rId620"/>
    <hyperlink xmlns:r="http://schemas.openxmlformats.org/officeDocument/2006/relationships" ref="H101" r:id="rId621"/>
    <hyperlink xmlns:r="http://schemas.openxmlformats.org/officeDocument/2006/relationships" ref="N101" r:id="rId622"/>
    <hyperlink xmlns:r="http://schemas.openxmlformats.org/officeDocument/2006/relationships" ref="O101" r:id="rId623"/>
    <hyperlink xmlns:r="http://schemas.openxmlformats.org/officeDocument/2006/relationships" ref="F102" r:id="rId624"/>
    <hyperlink xmlns:r="http://schemas.openxmlformats.org/officeDocument/2006/relationships" ref="G102" r:id="rId625"/>
    <hyperlink xmlns:r="http://schemas.openxmlformats.org/officeDocument/2006/relationships" ref="H102" r:id="rId626"/>
    <hyperlink xmlns:r="http://schemas.openxmlformats.org/officeDocument/2006/relationships" ref="N102" r:id="rId627"/>
    <hyperlink xmlns:r="http://schemas.openxmlformats.org/officeDocument/2006/relationships" ref="O102" r:id="rId628"/>
    <hyperlink xmlns:r="http://schemas.openxmlformats.org/officeDocument/2006/relationships" ref="F103" r:id="rId629"/>
    <hyperlink xmlns:r="http://schemas.openxmlformats.org/officeDocument/2006/relationships" ref="G103" r:id="rId630"/>
    <hyperlink xmlns:r="http://schemas.openxmlformats.org/officeDocument/2006/relationships" ref="H103" r:id="rId631"/>
    <hyperlink xmlns:r="http://schemas.openxmlformats.org/officeDocument/2006/relationships" ref="N103" r:id="rId632"/>
    <hyperlink xmlns:r="http://schemas.openxmlformats.org/officeDocument/2006/relationships" ref="O103" r:id="rId633"/>
    <hyperlink xmlns:r="http://schemas.openxmlformats.org/officeDocument/2006/relationships" ref="F104" r:id="rId634"/>
    <hyperlink xmlns:r="http://schemas.openxmlformats.org/officeDocument/2006/relationships" ref="G104" r:id="rId635"/>
    <hyperlink xmlns:r="http://schemas.openxmlformats.org/officeDocument/2006/relationships" ref="H104" r:id="rId636"/>
    <hyperlink xmlns:r="http://schemas.openxmlformats.org/officeDocument/2006/relationships" ref="J104" r:id="rId637"/>
    <hyperlink xmlns:r="http://schemas.openxmlformats.org/officeDocument/2006/relationships" ref="K104" r:id="rId638"/>
    <hyperlink xmlns:r="http://schemas.openxmlformats.org/officeDocument/2006/relationships" ref="L104" r:id="rId639"/>
    <hyperlink xmlns:r="http://schemas.openxmlformats.org/officeDocument/2006/relationships" ref="N104" r:id="rId640"/>
    <hyperlink xmlns:r="http://schemas.openxmlformats.org/officeDocument/2006/relationships" ref="O104" r:id="rId641"/>
    <hyperlink xmlns:r="http://schemas.openxmlformats.org/officeDocument/2006/relationships" ref="F105" r:id="rId642"/>
    <hyperlink xmlns:r="http://schemas.openxmlformats.org/officeDocument/2006/relationships" ref="G105" r:id="rId643"/>
    <hyperlink xmlns:r="http://schemas.openxmlformats.org/officeDocument/2006/relationships" ref="H105" r:id="rId644"/>
    <hyperlink xmlns:r="http://schemas.openxmlformats.org/officeDocument/2006/relationships" ref="J105" r:id="rId645"/>
    <hyperlink xmlns:r="http://schemas.openxmlformats.org/officeDocument/2006/relationships" ref="K105" r:id="rId646"/>
    <hyperlink xmlns:r="http://schemas.openxmlformats.org/officeDocument/2006/relationships" ref="L105" r:id="rId647"/>
    <hyperlink xmlns:r="http://schemas.openxmlformats.org/officeDocument/2006/relationships" ref="N105" r:id="rId648"/>
    <hyperlink xmlns:r="http://schemas.openxmlformats.org/officeDocument/2006/relationships" ref="O105" r:id="rId649"/>
    <hyperlink xmlns:r="http://schemas.openxmlformats.org/officeDocument/2006/relationships" ref="F106" r:id="rId650"/>
    <hyperlink xmlns:r="http://schemas.openxmlformats.org/officeDocument/2006/relationships" ref="G106" r:id="rId651"/>
    <hyperlink xmlns:r="http://schemas.openxmlformats.org/officeDocument/2006/relationships" ref="H106" r:id="rId652"/>
    <hyperlink xmlns:r="http://schemas.openxmlformats.org/officeDocument/2006/relationships" ref="J106" r:id="rId653"/>
    <hyperlink xmlns:r="http://schemas.openxmlformats.org/officeDocument/2006/relationships" ref="K106" r:id="rId654"/>
    <hyperlink xmlns:r="http://schemas.openxmlformats.org/officeDocument/2006/relationships" ref="L106" r:id="rId655"/>
    <hyperlink xmlns:r="http://schemas.openxmlformats.org/officeDocument/2006/relationships" ref="N106" r:id="rId656"/>
    <hyperlink xmlns:r="http://schemas.openxmlformats.org/officeDocument/2006/relationships" ref="O106" r:id="rId657"/>
    <hyperlink xmlns:r="http://schemas.openxmlformats.org/officeDocument/2006/relationships" ref="F107" r:id="rId658"/>
    <hyperlink xmlns:r="http://schemas.openxmlformats.org/officeDocument/2006/relationships" ref="G107" r:id="rId659"/>
    <hyperlink xmlns:r="http://schemas.openxmlformats.org/officeDocument/2006/relationships" ref="H107" r:id="rId660"/>
    <hyperlink xmlns:r="http://schemas.openxmlformats.org/officeDocument/2006/relationships" ref="J107" r:id="rId661"/>
    <hyperlink xmlns:r="http://schemas.openxmlformats.org/officeDocument/2006/relationships" ref="K107" r:id="rId662"/>
    <hyperlink xmlns:r="http://schemas.openxmlformats.org/officeDocument/2006/relationships" ref="L107" r:id="rId663"/>
    <hyperlink xmlns:r="http://schemas.openxmlformats.org/officeDocument/2006/relationships" ref="N107" r:id="rId664"/>
    <hyperlink xmlns:r="http://schemas.openxmlformats.org/officeDocument/2006/relationships" ref="O107" r:id="rId665"/>
    <hyperlink xmlns:r="http://schemas.openxmlformats.org/officeDocument/2006/relationships" ref="F108" r:id="rId666"/>
    <hyperlink xmlns:r="http://schemas.openxmlformats.org/officeDocument/2006/relationships" ref="G108" r:id="rId667"/>
    <hyperlink xmlns:r="http://schemas.openxmlformats.org/officeDocument/2006/relationships" ref="H108" r:id="rId668"/>
    <hyperlink xmlns:r="http://schemas.openxmlformats.org/officeDocument/2006/relationships" ref="J108" r:id="rId669"/>
    <hyperlink xmlns:r="http://schemas.openxmlformats.org/officeDocument/2006/relationships" ref="K108" r:id="rId670"/>
    <hyperlink xmlns:r="http://schemas.openxmlformats.org/officeDocument/2006/relationships" ref="L108" r:id="rId671"/>
    <hyperlink xmlns:r="http://schemas.openxmlformats.org/officeDocument/2006/relationships" ref="N108" r:id="rId672"/>
    <hyperlink xmlns:r="http://schemas.openxmlformats.org/officeDocument/2006/relationships" ref="O108" r:id="rId673"/>
    <hyperlink xmlns:r="http://schemas.openxmlformats.org/officeDocument/2006/relationships" ref="F109" r:id="rId674"/>
    <hyperlink xmlns:r="http://schemas.openxmlformats.org/officeDocument/2006/relationships" ref="G109" r:id="rId675"/>
    <hyperlink xmlns:r="http://schemas.openxmlformats.org/officeDocument/2006/relationships" ref="H109" r:id="rId676"/>
    <hyperlink xmlns:r="http://schemas.openxmlformats.org/officeDocument/2006/relationships" ref="J109" r:id="rId677"/>
    <hyperlink xmlns:r="http://schemas.openxmlformats.org/officeDocument/2006/relationships" ref="K109" r:id="rId678"/>
    <hyperlink xmlns:r="http://schemas.openxmlformats.org/officeDocument/2006/relationships" ref="L109" r:id="rId679"/>
    <hyperlink xmlns:r="http://schemas.openxmlformats.org/officeDocument/2006/relationships" ref="N109" r:id="rId680"/>
    <hyperlink xmlns:r="http://schemas.openxmlformats.org/officeDocument/2006/relationships" ref="O109" r:id="rId681"/>
    <hyperlink xmlns:r="http://schemas.openxmlformats.org/officeDocument/2006/relationships" ref="F110" r:id="rId682"/>
    <hyperlink xmlns:r="http://schemas.openxmlformats.org/officeDocument/2006/relationships" ref="G110" r:id="rId683"/>
    <hyperlink xmlns:r="http://schemas.openxmlformats.org/officeDocument/2006/relationships" ref="H110" r:id="rId684"/>
    <hyperlink xmlns:r="http://schemas.openxmlformats.org/officeDocument/2006/relationships" ref="J110" r:id="rId685"/>
    <hyperlink xmlns:r="http://schemas.openxmlformats.org/officeDocument/2006/relationships" ref="K110" r:id="rId686"/>
    <hyperlink xmlns:r="http://schemas.openxmlformats.org/officeDocument/2006/relationships" ref="L110" r:id="rId687"/>
    <hyperlink xmlns:r="http://schemas.openxmlformats.org/officeDocument/2006/relationships" ref="N110" r:id="rId688"/>
    <hyperlink xmlns:r="http://schemas.openxmlformats.org/officeDocument/2006/relationships" ref="O110" r:id="rId689"/>
    <hyperlink xmlns:r="http://schemas.openxmlformats.org/officeDocument/2006/relationships" ref="F111" r:id="rId690"/>
    <hyperlink xmlns:r="http://schemas.openxmlformats.org/officeDocument/2006/relationships" ref="G111" r:id="rId691"/>
    <hyperlink xmlns:r="http://schemas.openxmlformats.org/officeDocument/2006/relationships" ref="H111" r:id="rId692"/>
    <hyperlink xmlns:r="http://schemas.openxmlformats.org/officeDocument/2006/relationships" ref="J111" r:id="rId693"/>
    <hyperlink xmlns:r="http://schemas.openxmlformats.org/officeDocument/2006/relationships" ref="K111" r:id="rId694"/>
    <hyperlink xmlns:r="http://schemas.openxmlformats.org/officeDocument/2006/relationships" ref="L111" r:id="rId695"/>
    <hyperlink xmlns:r="http://schemas.openxmlformats.org/officeDocument/2006/relationships" ref="N111" r:id="rId696"/>
    <hyperlink xmlns:r="http://schemas.openxmlformats.org/officeDocument/2006/relationships" ref="O111" r:id="rId697"/>
    <hyperlink xmlns:r="http://schemas.openxmlformats.org/officeDocument/2006/relationships" ref="F112" r:id="rId698"/>
    <hyperlink xmlns:r="http://schemas.openxmlformats.org/officeDocument/2006/relationships" ref="G112" r:id="rId699"/>
    <hyperlink xmlns:r="http://schemas.openxmlformats.org/officeDocument/2006/relationships" ref="H112" r:id="rId700"/>
    <hyperlink xmlns:r="http://schemas.openxmlformats.org/officeDocument/2006/relationships" ref="J112" r:id="rId701"/>
    <hyperlink xmlns:r="http://schemas.openxmlformats.org/officeDocument/2006/relationships" ref="K112" r:id="rId702"/>
    <hyperlink xmlns:r="http://schemas.openxmlformats.org/officeDocument/2006/relationships" ref="L112" r:id="rId703"/>
    <hyperlink xmlns:r="http://schemas.openxmlformats.org/officeDocument/2006/relationships" ref="N112" r:id="rId704"/>
    <hyperlink xmlns:r="http://schemas.openxmlformats.org/officeDocument/2006/relationships" ref="O112" r:id="rId705"/>
    <hyperlink xmlns:r="http://schemas.openxmlformats.org/officeDocument/2006/relationships" ref="F113" r:id="rId706"/>
    <hyperlink xmlns:r="http://schemas.openxmlformats.org/officeDocument/2006/relationships" ref="G113" r:id="rId707"/>
    <hyperlink xmlns:r="http://schemas.openxmlformats.org/officeDocument/2006/relationships" ref="H113" r:id="rId708"/>
    <hyperlink xmlns:r="http://schemas.openxmlformats.org/officeDocument/2006/relationships" ref="J113" r:id="rId709"/>
    <hyperlink xmlns:r="http://schemas.openxmlformats.org/officeDocument/2006/relationships" ref="K113" r:id="rId710"/>
    <hyperlink xmlns:r="http://schemas.openxmlformats.org/officeDocument/2006/relationships" ref="L113" r:id="rId711"/>
    <hyperlink xmlns:r="http://schemas.openxmlformats.org/officeDocument/2006/relationships" ref="N113" r:id="rId712"/>
    <hyperlink xmlns:r="http://schemas.openxmlformats.org/officeDocument/2006/relationships" ref="O113" r:id="rId713"/>
    <hyperlink xmlns:r="http://schemas.openxmlformats.org/officeDocument/2006/relationships" ref="F116" r:id="rId714"/>
    <hyperlink xmlns:r="http://schemas.openxmlformats.org/officeDocument/2006/relationships" ref="G116" r:id="rId715"/>
    <hyperlink xmlns:r="http://schemas.openxmlformats.org/officeDocument/2006/relationships" ref="H116" r:id="rId716"/>
    <hyperlink xmlns:r="http://schemas.openxmlformats.org/officeDocument/2006/relationships" ref="J116" r:id="rId717"/>
    <hyperlink xmlns:r="http://schemas.openxmlformats.org/officeDocument/2006/relationships" ref="K116" r:id="rId718"/>
    <hyperlink xmlns:r="http://schemas.openxmlformats.org/officeDocument/2006/relationships" ref="L116" r:id="rId719"/>
    <hyperlink xmlns:r="http://schemas.openxmlformats.org/officeDocument/2006/relationships" ref="N116" r:id="rId720"/>
    <hyperlink xmlns:r="http://schemas.openxmlformats.org/officeDocument/2006/relationships" ref="O116" r:id="rId721"/>
    <hyperlink xmlns:r="http://schemas.openxmlformats.org/officeDocument/2006/relationships" ref="F117" r:id="rId722"/>
    <hyperlink xmlns:r="http://schemas.openxmlformats.org/officeDocument/2006/relationships" ref="G117" r:id="rId723"/>
    <hyperlink xmlns:r="http://schemas.openxmlformats.org/officeDocument/2006/relationships" ref="H117" r:id="rId724"/>
    <hyperlink xmlns:r="http://schemas.openxmlformats.org/officeDocument/2006/relationships" ref="J117" r:id="rId725"/>
    <hyperlink xmlns:r="http://schemas.openxmlformats.org/officeDocument/2006/relationships" ref="K117" r:id="rId726"/>
    <hyperlink xmlns:r="http://schemas.openxmlformats.org/officeDocument/2006/relationships" ref="L117" r:id="rId727"/>
    <hyperlink xmlns:r="http://schemas.openxmlformats.org/officeDocument/2006/relationships" ref="N117" r:id="rId728"/>
    <hyperlink xmlns:r="http://schemas.openxmlformats.org/officeDocument/2006/relationships" ref="O117" r:id="rId729"/>
    <hyperlink xmlns:r="http://schemas.openxmlformats.org/officeDocument/2006/relationships" ref="F118" r:id="rId730"/>
    <hyperlink xmlns:r="http://schemas.openxmlformats.org/officeDocument/2006/relationships" ref="G118" r:id="rId731"/>
    <hyperlink xmlns:r="http://schemas.openxmlformats.org/officeDocument/2006/relationships" ref="H118" r:id="rId732"/>
    <hyperlink xmlns:r="http://schemas.openxmlformats.org/officeDocument/2006/relationships" ref="J118" r:id="rId733"/>
    <hyperlink xmlns:r="http://schemas.openxmlformats.org/officeDocument/2006/relationships" ref="K118" r:id="rId734"/>
    <hyperlink xmlns:r="http://schemas.openxmlformats.org/officeDocument/2006/relationships" ref="L118" r:id="rId735"/>
    <hyperlink xmlns:r="http://schemas.openxmlformats.org/officeDocument/2006/relationships" ref="N118" r:id="rId736"/>
    <hyperlink xmlns:r="http://schemas.openxmlformats.org/officeDocument/2006/relationships" ref="O118" r:id="rId737"/>
    <hyperlink xmlns:r="http://schemas.openxmlformats.org/officeDocument/2006/relationships" ref="F119" r:id="rId738"/>
    <hyperlink xmlns:r="http://schemas.openxmlformats.org/officeDocument/2006/relationships" ref="G119" r:id="rId739"/>
    <hyperlink xmlns:r="http://schemas.openxmlformats.org/officeDocument/2006/relationships" ref="H119" r:id="rId740"/>
    <hyperlink xmlns:r="http://schemas.openxmlformats.org/officeDocument/2006/relationships" ref="J119" r:id="rId741"/>
    <hyperlink xmlns:r="http://schemas.openxmlformats.org/officeDocument/2006/relationships" ref="K119" r:id="rId742"/>
    <hyperlink xmlns:r="http://schemas.openxmlformats.org/officeDocument/2006/relationships" ref="L119" r:id="rId743"/>
    <hyperlink xmlns:r="http://schemas.openxmlformats.org/officeDocument/2006/relationships" ref="N119" r:id="rId744"/>
    <hyperlink xmlns:r="http://schemas.openxmlformats.org/officeDocument/2006/relationships" ref="O119" r:id="rId745"/>
    <hyperlink xmlns:r="http://schemas.openxmlformats.org/officeDocument/2006/relationships" ref="F120" r:id="rId746"/>
    <hyperlink xmlns:r="http://schemas.openxmlformats.org/officeDocument/2006/relationships" ref="G120" r:id="rId747"/>
    <hyperlink xmlns:r="http://schemas.openxmlformats.org/officeDocument/2006/relationships" ref="H120" r:id="rId748"/>
    <hyperlink xmlns:r="http://schemas.openxmlformats.org/officeDocument/2006/relationships" ref="J120" r:id="rId749"/>
    <hyperlink xmlns:r="http://schemas.openxmlformats.org/officeDocument/2006/relationships" ref="K120" r:id="rId750"/>
    <hyperlink xmlns:r="http://schemas.openxmlformats.org/officeDocument/2006/relationships" ref="L120" r:id="rId751"/>
    <hyperlink xmlns:r="http://schemas.openxmlformats.org/officeDocument/2006/relationships" ref="N120" r:id="rId752"/>
    <hyperlink xmlns:r="http://schemas.openxmlformats.org/officeDocument/2006/relationships" ref="O120" r:id="rId753"/>
    <hyperlink xmlns:r="http://schemas.openxmlformats.org/officeDocument/2006/relationships" ref="F121" r:id="rId754"/>
    <hyperlink xmlns:r="http://schemas.openxmlformats.org/officeDocument/2006/relationships" ref="G121" r:id="rId755"/>
    <hyperlink xmlns:r="http://schemas.openxmlformats.org/officeDocument/2006/relationships" ref="H121" r:id="rId756"/>
    <hyperlink xmlns:r="http://schemas.openxmlformats.org/officeDocument/2006/relationships" ref="J121" r:id="rId757"/>
    <hyperlink xmlns:r="http://schemas.openxmlformats.org/officeDocument/2006/relationships" ref="K121" r:id="rId758"/>
    <hyperlink xmlns:r="http://schemas.openxmlformats.org/officeDocument/2006/relationships" ref="L121" r:id="rId759"/>
    <hyperlink xmlns:r="http://schemas.openxmlformats.org/officeDocument/2006/relationships" ref="N121" r:id="rId760"/>
    <hyperlink xmlns:r="http://schemas.openxmlformats.org/officeDocument/2006/relationships" ref="O121" r:id="rId761"/>
    <hyperlink xmlns:r="http://schemas.openxmlformats.org/officeDocument/2006/relationships" ref="F122" r:id="rId762"/>
    <hyperlink xmlns:r="http://schemas.openxmlformats.org/officeDocument/2006/relationships" ref="G122" r:id="rId763"/>
    <hyperlink xmlns:r="http://schemas.openxmlformats.org/officeDocument/2006/relationships" ref="H122" r:id="rId764"/>
    <hyperlink xmlns:r="http://schemas.openxmlformats.org/officeDocument/2006/relationships" ref="J122" r:id="rId765"/>
    <hyperlink xmlns:r="http://schemas.openxmlformats.org/officeDocument/2006/relationships" ref="K122" r:id="rId766"/>
    <hyperlink xmlns:r="http://schemas.openxmlformats.org/officeDocument/2006/relationships" ref="L122" r:id="rId767"/>
    <hyperlink xmlns:r="http://schemas.openxmlformats.org/officeDocument/2006/relationships" ref="N122" r:id="rId768"/>
    <hyperlink xmlns:r="http://schemas.openxmlformats.org/officeDocument/2006/relationships" ref="O122" r:id="rId769"/>
    <hyperlink xmlns:r="http://schemas.openxmlformats.org/officeDocument/2006/relationships" ref="F123" r:id="rId770"/>
    <hyperlink xmlns:r="http://schemas.openxmlformats.org/officeDocument/2006/relationships" ref="G123" r:id="rId771"/>
    <hyperlink xmlns:r="http://schemas.openxmlformats.org/officeDocument/2006/relationships" ref="H123" r:id="rId772"/>
    <hyperlink xmlns:r="http://schemas.openxmlformats.org/officeDocument/2006/relationships" ref="J123" r:id="rId773"/>
    <hyperlink xmlns:r="http://schemas.openxmlformats.org/officeDocument/2006/relationships" ref="K123" r:id="rId774"/>
    <hyperlink xmlns:r="http://schemas.openxmlformats.org/officeDocument/2006/relationships" ref="L123" r:id="rId775"/>
    <hyperlink xmlns:r="http://schemas.openxmlformats.org/officeDocument/2006/relationships" ref="N123" r:id="rId776"/>
    <hyperlink xmlns:r="http://schemas.openxmlformats.org/officeDocument/2006/relationships" ref="O123" r:id="rId777"/>
    <hyperlink xmlns:r="http://schemas.openxmlformats.org/officeDocument/2006/relationships" ref="F126" r:id="rId778"/>
    <hyperlink xmlns:r="http://schemas.openxmlformats.org/officeDocument/2006/relationships" ref="G126" r:id="rId779"/>
    <hyperlink xmlns:r="http://schemas.openxmlformats.org/officeDocument/2006/relationships" ref="H126" r:id="rId780"/>
    <hyperlink xmlns:r="http://schemas.openxmlformats.org/officeDocument/2006/relationships" ref="J126" r:id="rId781"/>
    <hyperlink xmlns:r="http://schemas.openxmlformats.org/officeDocument/2006/relationships" ref="K126" r:id="rId782"/>
    <hyperlink xmlns:r="http://schemas.openxmlformats.org/officeDocument/2006/relationships" ref="L126" r:id="rId783"/>
    <hyperlink xmlns:r="http://schemas.openxmlformats.org/officeDocument/2006/relationships" ref="N126" r:id="rId784"/>
    <hyperlink xmlns:r="http://schemas.openxmlformats.org/officeDocument/2006/relationships" ref="O126" r:id="rId785"/>
    <hyperlink xmlns:r="http://schemas.openxmlformats.org/officeDocument/2006/relationships" ref="F127" r:id="rId786"/>
    <hyperlink xmlns:r="http://schemas.openxmlformats.org/officeDocument/2006/relationships" ref="G127" r:id="rId787"/>
    <hyperlink xmlns:r="http://schemas.openxmlformats.org/officeDocument/2006/relationships" ref="H127" r:id="rId788"/>
    <hyperlink xmlns:r="http://schemas.openxmlformats.org/officeDocument/2006/relationships" ref="J127" r:id="rId789"/>
    <hyperlink xmlns:r="http://schemas.openxmlformats.org/officeDocument/2006/relationships" ref="K127" r:id="rId790"/>
    <hyperlink xmlns:r="http://schemas.openxmlformats.org/officeDocument/2006/relationships" ref="L127" r:id="rId791"/>
    <hyperlink xmlns:r="http://schemas.openxmlformats.org/officeDocument/2006/relationships" ref="N127" r:id="rId792"/>
    <hyperlink xmlns:r="http://schemas.openxmlformats.org/officeDocument/2006/relationships" ref="O127" r:id="rId793"/>
    <hyperlink xmlns:r="http://schemas.openxmlformats.org/officeDocument/2006/relationships" ref="F128" r:id="rId794"/>
    <hyperlink xmlns:r="http://schemas.openxmlformats.org/officeDocument/2006/relationships" ref="G128" r:id="rId795"/>
    <hyperlink xmlns:r="http://schemas.openxmlformats.org/officeDocument/2006/relationships" ref="H128" r:id="rId796"/>
    <hyperlink xmlns:r="http://schemas.openxmlformats.org/officeDocument/2006/relationships" ref="J128" r:id="rId797"/>
    <hyperlink xmlns:r="http://schemas.openxmlformats.org/officeDocument/2006/relationships" ref="K128" r:id="rId798"/>
    <hyperlink xmlns:r="http://schemas.openxmlformats.org/officeDocument/2006/relationships" ref="L128" r:id="rId799"/>
    <hyperlink xmlns:r="http://schemas.openxmlformats.org/officeDocument/2006/relationships" ref="N128" r:id="rId800"/>
    <hyperlink xmlns:r="http://schemas.openxmlformats.org/officeDocument/2006/relationships" ref="O128" r:id="rId801"/>
    <hyperlink xmlns:r="http://schemas.openxmlformats.org/officeDocument/2006/relationships" ref="F129" r:id="rId802"/>
    <hyperlink xmlns:r="http://schemas.openxmlformats.org/officeDocument/2006/relationships" ref="G129" r:id="rId803"/>
    <hyperlink xmlns:r="http://schemas.openxmlformats.org/officeDocument/2006/relationships" ref="H129" r:id="rId804"/>
    <hyperlink xmlns:r="http://schemas.openxmlformats.org/officeDocument/2006/relationships" ref="N129" r:id="rId805"/>
    <hyperlink xmlns:r="http://schemas.openxmlformats.org/officeDocument/2006/relationships" ref="O129" r:id="rId806"/>
    <hyperlink xmlns:r="http://schemas.openxmlformats.org/officeDocument/2006/relationships" ref="F130" r:id="rId807"/>
    <hyperlink xmlns:r="http://schemas.openxmlformats.org/officeDocument/2006/relationships" ref="G130" r:id="rId808"/>
    <hyperlink xmlns:r="http://schemas.openxmlformats.org/officeDocument/2006/relationships" ref="H130" r:id="rId809"/>
    <hyperlink xmlns:r="http://schemas.openxmlformats.org/officeDocument/2006/relationships" ref="J130" r:id="rId810"/>
    <hyperlink xmlns:r="http://schemas.openxmlformats.org/officeDocument/2006/relationships" ref="K130" r:id="rId811"/>
    <hyperlink xmlns:r="http://schemas.openxmlformats.org/officeDocument/2006/relationships" ref="L130" r:id="rId812"/>
    <hyperlink xmlns:r="http://schemas.openxmlformats.org/officeDocument/2006/relationships" ref="N130" r:id="rId813"/>
    <hyperlink xmlns:r="http://schemas.openxmlformats.org/officeDocument/2006/relationships" ref="O130" r:id="rId814"/>
    <hyperlink xmlns:r="http://schemas.openxmlformats.org/officeDocument/2006/relationships" ref="F131" r:id="rId815"/>
    <hyperlink xmlns:r="http://schemas.openxmlformats.org/officeDocument/2006/relationships" ref="G131" r:id="rId816"/>
    <hyperlink xmlns:r="http://schemas.openxmlformats.org/officeDocument/2006/relationships" ref="H131" r:id="rId817"/>
    <hyperlink xmlns:r="http://schemas.openxmlformats.org/officeDocument/2006/relationships" ref="J131" r:id="rId818"/>
    <hyperlink xmlns:r="http://schemas.openxmlformats.org/officeDocument/2006/relationships" ref="K131" r:id="rId819"/>
    <hyperlink xmlns:r="http://schemas.openxmlformats.org/officeDocument/2006/relationships" ref="L131" r:id="rId820"/>
    <hyperlink xmlns:r="http://schemas.openxmlformats.org/officeDocument/2006/relationships" ref="N131" r:id="rId821"/>
    <hyperlink xmlns:r="http://schemas.openxmlformats.org/officeDocument/2006/relationships" ref="O131" r:id="rId822"/>
    <hyperlink xmlns:r="http://schemas.openxmlformats.org/officeDocument/2006/relationships" ref="F132" r:id="rId823"/>
    <hyperlink xmlns:r="http://schemas.openxmlformats.org/officeDocument/2006/relationships" ref="G132" r:id="rId824"/>
    <hyperlink xmlns:r="http://schemas.openxmlformats.org/officeDocument/2006/relationships" ref="H132" r:id="rId825"/>
    <hyperlink xmlns:r="http://schemas.openxmlformats.org/officeDocument/2006/relationships" ref="J132" r:id="rId826"/>
    <hyperlink xmlns:r="http://schemas.openxmlformats.org/officeDocument/2006/relationships" ref="K132" r:id="rId827"/>
    <hyperlink xmlns:r="http://schemas.openxmlformats.org/officeDocument/2006/relationships" ref="L132" r:id="rId828"/>
    <hyperlink xmlns:r="http://schemas.openxmlformats.org/officeDocument/2006/relationships" ref="N132" r:id="rId829"/>
    <hyperlink xmlns:r="http://schemas.openxmlformats.org/officeDocument/2006/relationships" ref="O132" r:id="rId830"/>
    <hyperlink xmlns:r="http://schemas.openxmlformats.org/officeDocument/2006/relationships" ref="F133" r:id="rId831"/>
    <hyperlink xmlns:r="http://schemas.openxmlformats.org/officeDocument/2006/relationships" ref="G133" r:id="rId832"/>
    <hyperlink xmlns:r="http://schemas.openxmlformats.org/officeDocument/2006/relationships" ref="H133" r:id="rId833"/>
    <hyperlink xmlns:r="http://schemas.openxmlformats.org/officeDocument/2006/relationships" ref="N133" r:id="rId834"/>
    <hyperlink xmlns:r="http://schemas.openxmlformats.org/officeDocument/2006/relationships" ref="O133" r:id="rId835"/>
    <hyperlink xmlns:r="http://schemas.openxmlformats.org/officeDocument/2006/relationships" ref="F134" r:id="rId836"/>
    <hyperlink xmlns:r="http://schemas.openxmlformats.org/officeDocument/2006/relationships" ref="G134" r:id="rId837"/>
    <hyperlink xmlns:r="http://schemas.openxmlformats.org/officeDocument/2006/relationships" ref="H134" r:id="rId838"/>
    <hyperlink xmlns:r="http://schemas.openxmlformats.org/officeDocument/2006/relationships" ref="J134" r:id="rId839"/>
    <hyperlink xmlns:r="http://schemas.openxmlformats.org/officeDocument/2006/relationships" ref="K134" r:id="rId840"/>
    <hyperlink xmlns:r="http://schemas.openxmlformats.org/officeDocument/2006/relationships" ref="L134" r:id="rId841"/>
    <hyperlink xmlns:r="http://schemas.openxmlformats.org/officeDocument/2006/relationships" ref="N134" r:id="rId842"/>
    <hyperlink xmlns:r="http://schemas.openxmlformats.org/officeDocument/2006/relationships" ref="O134" r:id="rId843"/>
    <hyperlink xmlns:r="http://schemas.openxmlformats.org/officeDocument/2006/relationships" ref="F135" r:id="rId844"/>
    <hyperlink xmlns:r="http://schemas.openxmlformats.org/officeDocument/2006/relationships" ref="G135" r:id="rId845"/>
    <hyperlink xmlns:r="http://schemas.openxmlformats.org/officeDocument/2006/relationships" ref="H135" r:id="rId846"/>
    <hyperlink xmlns:r="http://schemas.openxmlformats.org/officeDocument/2006/relationships" ref="J135" r:id="rId847"/>
    <hyperlink xmlns:r="http://schemas.openxmlformats.org/officeDocument/2006/relationships" ref="K135" r:id="rId848"/>
    <hyperlink xmlns:r="http://schemas.openxmlformats.org/officeDocument/2006/relationships" ref="L135" r:id="rId849"/>
    <hyperlink xmlns:r="http://schemas.openxmlformats.org/officeDocument/2006/relationships" ref="N135" r:id="rId850"/>
    <hyperlink xmlns:r="http://schemas.openxmlformats.org/officeDocument/2006/relationships" ref="O135" r:id="rId851"/>
    <hyperlink xmlns:r="http://schemas.openxmlformats.org/officeDocument/2006/relationships" ref="F136" r:id="rId852"/>
    <hyperlink xmlns:r="http://schemas.openxmlformats.org/officeDocument/2006/relationships" ref="G136" r:id="rId853"/>
    <hyperlink xmlns:r="http://schemas.openxmlformats.org/officeDocument/2006/relationships" ref="H136" r:id="rId854"/>
    <hyperlink xmlns:r="http://schemas.openxmlformats.org/officeDocument/2006/relationships" ref="J136" r:id="rId855"/>
    <hyperlink xmlns:r="http://schemas.openxmlformats.org/officeDocument/2006/relationships" ref="K136" r:id="rId856"/>
    <hyperlink xmlns:r="http://schemas.openxmlformats.org/officeDocument/2006/relationships" ref="L136" r:id="rId857"/>
    <hyperlink xmlns:r="http://schemas.openxmlformats.org/officeDocument/2006/relationships" ref="N136" r:id="rId858"/>
    <hyperlink xmlns:r="http://schemas.openxmlformats.org/officeDocument/2006/relationships" ref="O136" r:id="rId859"/>
    <hyperlink xmlns:r="http://schemas.openxmlformats.org/officeDocument/2006/relationships" ref="F137" r:id="rId860"/>
    <hyperlink xmlns:r="http://schemas.openxmlformats.org/officeDocument/2006/relationships" ref="G137" r:id="rId861"/>
    <hyperlink xmlns:r="http://schemas.openxmlformats.org/officeDocument/2006/relationships" ref="H137" r:id="rId862"/>
    <hyperlink xmlns:r="http://schemas.openxmlformats.org/officeDocument/2006/relationships" ref="J137" r:id="rId863"/>
    <hyperlink xmlns:r="http://schemas.openxmlformats.org/officeDocument/2006/relationships" ref="K137" r:id="rId864"/>
    <hyperlink xmlns:r="http://schemas.openxmlformats.org/officeDocument/2006/relationships" ref="L137" r:id="rId865"/>
    <hyperlink xmlns:r="http://schemas.openxmlformats.org/officeDocument/2006/relationships" ref="N137" r:id="rId866"/>
    <hyperlink xmlns:r="http://schemas.openxmlformats.org/officeDocument/2006/relationships" ref="O137" r:id="rId867"/>
    <hyperlink xmlns:r="http://schemas.openxmlformats.org/officeDocument/2006/relationships" ref="F138" r:id="rId868"/>
    <hyperlink xmlns:r="http://schemas.openxmlformats.org/officeDocument/2006/relationships" ref="G138" r:id="rId869"/>
    <hyperlink xmlns:r="http://schemas.openxmlformats.org/officeDocument/2006/relationships" ref="H138" r:id="rId870"/>
    <hyperlink xmlns:r="http://schemas.openxmlformats.org/officeDocument/2006/relationships" ref="J138" r:id="rId871"/>
    <hyperlink xmlns:r="http://schemas.openxmlformats.org/officeDocument/2006/relationships" ref="K138" r:id="rId872"/>
    <hyperlink xmlns:r="http://schemas.openxmlformats.org/officeDocument/2006/relationships" ref="L138" r:id="rId873"/>
    <hyperlink xmlns:r="http://schemas.openxmlformats.org/officeDocument/2006/relationships" ref="N138" r:id="rId874"/>
    <hyperlink xmlns:r="http://schemas.openxmlformats.org/officeDocument/2006/relationships" ref="O138" r:id="rId875"/>
    <hyperlink xmlns:r="http://schemas.openxmlformats.org/officeDocument/2006/relationships" ref="F139" r:id="rId876"/>
    <hyperlink xmlns:r="http://schemas.openxmlformats.org/officeDocument/2006/relationships" ref="G139" r:id="rId877"/>
    <hyperlink xmlns:r="http://schemas.openxmlformats.org/officeDocument/2006/relationships" ref="H139" r:id="rId878"/>
    <hyperlink xmlns:r="http://schemas.openxmlformats.org/officeDocument/2006/relationships" ref="J139" r:id="rId879"/>
    <hyperlink xmlns:r="http://schemas.openxmlformats.org/officeDocument/2006/relationships" ref="K139" r:id="rId880"/>
    <hyperlink xmlns:r="http://schemas.openxmlformats.org/officeDocument/2006/relationships" ref="L139" r:id="rId881"/>
    <hyperlink xmlns:r="http://schemas.openxmlformats.org/officeDocument/2006/relationships" ref="N139" r:id="rId882"/>
    <hyperlink xmlns:r="http://schemas.openxmlformats.org/officeDocument/2006/relationships" ref="O139" r:id="rId883"/>
    <hyperlink xmlns:r="http://schemas.openxmlformats.org/officeDocument/2006/relationships" ref="F140" r:id="rId884"/>
    <hyperlink xmlns:r="http://schemas.openxmlformats.org/officeDocument/2006/relationships" ref="G140" r:id="rId885"/>
    <hyperlink xmlns:r="http://schemas.openxmlformats.org/officeDocument/2006/relationships" ref="H140" r:id="rId886"/>
    <hyperlink xmlns:r="http://schemas.openxmlformats.org/officeDocument/2006/relationships" ref="J140" r:id="rId887"/>
    <hyperlink xmlns:r="http://schemas.openxmlformats.org/officeDocument/2006/relationships" ref="K140" r:id="rId888"/>
    <hyperlink xmlns:r="http://schemas.openxmlformats.org/officeDocument/2006/relationships" ref="L140" r:id="rId889"/>
    <hyperlink xmlns:r="http://schemas.openxmlformats.org/officeDocument/2006/relationships" ref="N140" r:id="rId890"/>
    <hyperlink xmlns:r="http://schemas.openxmlformats.org/officeDocument/2006/relationships" ref="O140" r:id="rId891"/>
    <hyperlink xmlns:r="http://schemas.openxmlformats.org/officeDocument/2006/relationships" ref="F141" r:id="rId892"/>
    <hyperlink xmlns:r="http://schemas.openxmlformats.org/officeDocument/2006/relationships" ref="G141" r:id="rId893"/>
    <hyperlink xmlns:r="http://schemas.openxmlformats.org/officeDocument/2006/relationships" ref="H141" r:id="rId894"/>
    <hyperlink xmlns:r="http://schemas.openxmlformats.org/officeDocument/2006/relationships" ref="J141" r:id="rId895"/>
    <hyperlink xmlns:r="http://schemas.openxmlformats.org/officeDocument/2006/relationships" ref="K141" r:id="rId896"/>
    <hyperlink xmlns:r="http://schemas.openxmlformats.org/officeDocument/2006/relationships" ref="L141" r:id="rId897"/>
    <hyperlink xmlns:r="http://schemas.openxmlformats.org/officeDocument/2006/relationships" ref="N141" r:id="rId898"/>
    <hyperlink xmlns:r="http://schemas.openxmlformats.org/officeDocument/2006/relationships" ref="O141" r:id="rId899"/>
    <hyperlink xmlns:r="http://schemas.openxmlformats.org/officeDocument/2006/relationships" ref="F142" r:id="rId900"/>
    <hyperlink xmlns:r="http://schemas.openxmlformats.org/officeDocument/2006/relationships" ref="G142" r:id="rId901"/>
    <hyperlink xmlns:r="http://schemas.openxmlformats.org/officeDocument/2006/relationships" ref="H142" r:id="rId902"/>
    <hyperlink xmlns:r="http://schemas.openxmlformats.org/officeDocument/2006/relationships" ref="N142" r:id="rId903"/>
    <hyperlink xmlns:r="http://schemas.openxmlformats.org/officeDocument/2006/relationships" ref="O142" r:id="rId904"/>
    <hyperlink xmlns:r="http://schemas.openxmlformats.org/officeDocument/2006/relationships" ref="F143" r:id="rId905"/>
    <hyperlink xmlns:r="http://schemas.openxmlformats.org/officeDocument/2006/relationships" ref="G143" r:id="rId906"/>
    <hyperlink xmlns:r="http://schemas.openxmlformats.org/officeDocument/2006/relationships" ref="H143" r:id="rId907"/>
    <hyperlink xmlns:r="http://schemas.openxmlformats.org/officeDocument/2006/relationships" ref="J143" r:id="rId908"/>
    <hyperlink xmlns:r="http://schemas.openxmlformats.org/officeDocument/2006/relationships" ref="K143" r:id="rId909"/>
    <hyperlink xmlns:r="http://schemas.openxmlformats.org/officeDocument/2006/relationships" ref="L143" r:id="rId910"/>
    <hyperlink xmlns:r="http://schemas.openxmlformats.org/officeDocument/2006/relationships" ref="N143" r:id="rId911"/>
    <hyperlink xmlns:r="http://schemas.openxmlformats.org/officeDocument/2006/relationships" ref="O143" r:id="rId912"/>
    <hyperlink xmlns:r="http://schemas.openxmlformats.org/officeDocument/2006/relationships" ref="F144" r:id="rId913"/>
    <hyperlink xmlns:r="http://schemas.openxmlformats.org/officeDocument/2006/relationships" ref="G144" r:id="rId914"/>
    <hyperlink xmlns:r="http://schemas.openxmlformats.org/officeDocument/2006/relationships" ref="H144" r:id="rId915"/>
    <hyperlink xmlns:r="http://schemas.openxmlformats.org/officeDocument/2006/relationships" ref="J144" r:id="rId916"/>
    <hyperlink xmlns:r="http://schemas.openxmlformats.org/officeDocument/2006/relationships" ref="K144" r:id="rId917"/>
    <hyperlink xmlns:r="http://schemas.openxmlformats.org/officeDocument/2006/relationships" ref="L144" r:id="rId918"/>
    <hyperlink xmlns:r="http://schemas.openxmlformats.org/officeDocument/2006/relationships" ref="N144" r:id="rId919"/>
    <hyperlink xmlns:r="http://schemas.openxmlformats.org/officeDocument/2006/relationships" ref="O144" r:id="rId920"/>
    <hyperlink xmlns:r="http://schemas.openxmlformats.org/officeDocument/2006/relationships" ref="F145" r:id="rId921"/>
    <hyperlink xmlns:r="http://schemas.openxmlformats.org/officeDocument/2006/relationships" ref="G145" r:id="rId922"/>
    <hyperlink xmlns:r="http://schemas.openxmlformats.org/officeDocument/2006/relationships" ref="H145" r:id="rId923"/>
    <hyperlink xmlns:r="http://schemas.openxmlformats.org/officeDocument/2006/relationships" ref="J145" r:id="rId924"/>
    <hyperlink xmlns:r="http://schemas.openxmlformats.org/officeDocument/2006/relationships" ref="K145" r:id="rId925"/>
    <hyperlink xmlns:r="http://schemas.openxmlformats.org/officeDocument/2006/relationships" ref="L145" r:id="rId926"/>
    <hyperlink xmlns:r="http://schemas.openxmlformats.org/officeDocument/2006/relationships" ref="N145" r:id="rId927"/>
    <hyperlink xmlns:r="http://schemas.openxmlformats.org/officeDocument/2006/relationships" ref="O145" r:id="rId928"/>
    <hyperlink xmlns:r="http://schemas.openxmlformats.org/officeDocument/2006/relationships" ref="F146" r:id="rId929"/>
    <hyperlink xmlns:r="http://schemas.openxmlformats.org/officeDocument/2006/relationships" ref="G146" r:id="rId930"/>
    <hyperlink xmlns:r="http://schemas.openxmlformats.org/officeDocument/2006/relationships" ref="H146" r:id="rId931"/>
    <hyperlink xmlns:r="http://schemas.openxmlformats.org/officeDocument/2006/relationships" ref="J146" r:id="rId932"/>
    <hyperlink xmlns:r="http://schemas.openxmlformats.org/officeDocument/2006/relationships" ref="K146" r:id="rId933"/>
    <hyperlink xmlns:r="http://schemas.openxmlformats.org/officeDocument/2006/relationships" ref="L146" r:id="rId934"/>
    <hyperlink xmlns:r="http://schemas.openxmlformats.org/officeDocument/2006/relationships" ref="N146" r:id="rId935"/>
    <hyperlink xmlns:r="http://schemas.openxmlformats.org/officeDocument/2006/relationships" ref="O146" r:id="rId936"/>
    <hyperlink xmlns:r="http://schemas.openxmlformats.org/officeDocument/2006/relationships" ref="F149" r:id="rId937"/>
    <hyperlink xmlns:r="http://schemas.openxmlformats.org/officeDocument/2006/relationships" ref="G149" r:id="rId938"/>
    <hyperlink xmlns:r="http://schemas.openxmlformats.org/officeDocument/2006/relationships" ref="H149" r:id="rId939"/>
    <hyperlink xmlns:r="http://schemas.openxmlformats.org/officeDocument/2006/relationships" ref="J149" r:id="rId940"/>
    <hyperlink xmlns:r="http://schemas.openxmlformats.org/officeDocument/2006/relationships" ref="K149" r:id="rId941"/>
    <hyperlink xmlns:r="http://schemas.openxmlformats.org/officeDocument/2006/relationships" ref="L149" r:id="rId942"/>
    <hyperlink xmlns:r="http://schemas.openxmlformats.org/officeDocument/2006/relationships" ref="N149" r:id="rId943"/>
    <hyperlink xmlns:r="http://schemas.openxmlformats.org/officeDocument/2006/relationships" ref="O149" r:id="rId944"/>
    <hyperlink xmlns:r="http://schemas.openxmlformats.org/officeDocument/2006/relationships" ref="F150" r:id="rId945"/>
    <hyperlink xmlns:r="http://schemas.openxmlformats.org/officeDocument/2006/relationships" ref="G150" r:id="rId946"/>
    <hyperlink xmlns:r="http://schemas.openxmlformats.org/officeDocument/2006/relationships" ref="H150" r:id="rId947"/>
    <hyperlink xmlns:r="http://schemas.openxmlformats.org/officeDocument/2006/relationships" ref="J150" r:id="rId948"/>
    <hyperlink xmlns:r="http://schemas.openxmlformats.org/officeDocument/2006/relationships" ref="K150" r:id="rId949"/>
    <hyperlink xmlns:r="http://schemas.openxmlformats.org/officeDocument/2006/relationships" ref="L150" r:id="rId950"/>
    <hyperlink xmlns:r="http://schemas.openxmlformats.org/officeDocument/2006/relationships" ref="N150" r:id="rId951"/>
    <hyperlink xmlns:r="http://schemas.openxmlformats.org/officeDocument/2006/relationships" ref="O150" r:id="rId952"/>
    <hyperlink xmlns:r="http://schemas.openxmlformats.org/officeDocument/2006/relationships" ref="F151" r:id="rId953"/>
    <hyperlink xmlns:r="http://schemas.openxmlformats.org/officeDocument/2006/relationships" ref="G151" r:id="rId954"/>
    <hyperlink xmlns:r="http://schemas.openxmlformats.org/officeDocument/2006/relationships" ref="H151" r:id="rId955"/>
    <hyperlink xmlns:r="http://schemas.openxmlformats.org/officeDocument/2006/relationships" ref="J151" r:id="rId956"/>
    <hyperlink xmlns:r="http://schemas.openxmlformats.org/officeDocument/2006/relationships" ref="K151" r:id="rId957"/>
    <hyperlink xmlns:r="http://schemas.openxmlformats.org/officeDocument/2006/relationships" ref="L151" r:id="rId958"/>
    <hyperlink xmlns:r="http://schemas.openxmlformats.org/officeDocument/2006/relationships" ref="N151" r:id="rId959"/>
    <hyperlink xmlns:r="http://schemas.openxmlformats.org/officeDocument/2006/relationships" ref="O151" r:id="rId960"/>
    <hyperlink xmlns:r="http://schemas.openxmlformats.org/officeDocument/2006/relationships" ref="F152" r:id="rId961"/>
    <hyperlink xmlns:r="http://schemas.openxmlformats.org/officeDocument/2006/relationships" ref="G152" r:id="rId962"/>
    <hyperlink xmlns:r="http://schemas.openxmlformats.org/officeDocument/2006/relationships" ref="H152" r:id="rId963"/>
    <hyperlink xmlns:r="http://schemas.openxmlformats.org/officeDocument/2006/relationships" ref="J152" r:id="rId964"/>
    <hyperlink xmlns:r="http://schemas.openxmlformats.org/officeDocument/2006/relationships" ref="K152" r:id="rId965"/>
    <hyperlink xmlns:r="http://schemas.openxmlformats.org/officeDocument/2006/relationships" ref="L152" r:id="rId966"/>
    <hyperlink xmlns:r="http://schemas.openxmlformats.org/officeDocument/2006/relationships" ref="N152" r:id="rId967"/>
    <hyperlink xmlns:r="http://schemas.openxmlformats.org/officeDocument/2006/relationships" ref="O152" r:id="rId968"/>
    <hyperlink xmlns:r="http://schemas.openxmlformats.org/officeDocument/2006/relationships" ref="F153" r:id="rId969"/>
    <hyperlink xmlns:r="http://schemas.openxmlformats.org/officeDocument/2006/relationships" ref="G153" r:id="rId970"/>
    <hyperlink xmlns:r="http://schemas.openxmlformats.org/officeDocument/2006/relationships" ref="H153" r:id="rId971"/>
    <hyperlink xmlns:r="http://schemas.openxmlformats.org/officeDocument/2006/relationships" ref="J153" r:id="rId972"/>
    <hyperlink xmlns:r="http://schemas.openxmlformats.org/officeDocument/2006/relationships" ref="K153" r:id="rId973"/>
    <hyperlink xmlns:r="http://schemas.openxmlformats.org/officeDocument/2006/relationships" ref="L153" r:id="rId974"/>
    <hyperlink xmlns:r="http://schemas.openxmlformats.org/officeDocument/2006/relationships" ref="N153" r:id="rId975"/>
    <hyperlink xmlns:r="http://schemas.openxmlformats.org/officeDocument/2006/relationships" ref="O153" r:id="rId976"/>
    <hyperlink xmlns:r="http://schemas.openxmlformats.org/officeDocument/2006/relationships" ref="F154" r:id="rId977"/>
    <hyperlink xmlns:r="http://schemas.openxmlformats.org/officeDocument/2006/relationships" ref="G154" r:id="rId978"/>
    <hyperlink xmlns:r="http://schemas.openxmlformats.org/officeDocument/2006/relationships" ref="H154" r:id="rId979"/>
    <hyperlink xmlns:r="http://schemas.openxmlformats.org/officeDocument/2006/relationships" ref="J154" r:id="rId980"/>
    <hyperlink xmlns:r="http://schemas.openxmlformats.org/officeDocument/2006/relationships" ref="K154" r:id="rId981"/>
    <hyperlink xmlns:r="http://schemas.openxmlformats.org/officeDocument/2006/relationships" ref="L154" r:id="rId982"/>
    <hyperlink xmlns:r="http://schemas.openxmlformats.org/officeDocument/2006/relationships" ref="N154" r:id="rId983"/>
    <hyperlink xmlns:r="http://schemas.openxmlformats.org/officeDocument/2006/relationships" ref="O154" r:id="rId984"/>
    <hyperlink xmlns:r="http://schemas.openxmlformats.org/officeDocument/2006/relationships" ref="F155" r:id="rId985"/>
    <hyperlink xmlns:r="http://schemas.openxmlformats.org/officeDocument/2006/relationships" ref="G155" r:id="rId986"/>
    <hyperlink xmlns:r="http://schemas.openxmlformats.org/officeDocument/2006/relationships" ref="H155" r:id="rId987"/>
    <hyperlink xmlns:r="http://schemas.openxmlformats.org/officeDocument/2006/relationships" ref="N155" r:id="rId988"/>
    <hyperlink xmlns:r="http://schemas.openxmlformats.org/officeDocument/2006/relationships" ref="O155" r:id="rId989"/>
    <hyperlink xmlns:r="http://schemas.openxmlformats.org/officeDocument/2006/relationships" ref="F156" r:id="rId990"/>
    <hyperlink xmlns:r="http://schemas.openxmlformats.org/officeDocument/2006/relationships" ref="G156" r:id="rId991"/>
    <hyperlink xmlns:r="http://schemas.openxmlformats.org/officeDocument/2006/relationships" ref="H156" r:id="rId992"/>
    <hyperlink xmlns:r="http://schemas.openxmlformats.org/officeDocument/2006/relationships" ref="J156" r:id="rId993"/>
    <hyperlink xmlns:r="http://schemas.openxmlformats.org/officeDocument/2006/relationships" ref="K156" r:id="rId994"/>
    <hyperlink xmlns:r="http://schemas.openxmlformats.org/officeDocument/2006/relationships" ref="L156" r:id="rId995"/>
    <hyperlink xmlns:r="http://schemas.openxmlformats.org/officeDocument/2006/relationships" ref="N156" r:id="rId996"/>
    <hyperlink xmlns:r="http://schemas.openxmlformats.org/officeDocument/2006/relationships" ref="O156" r:id="rId997"/>
    <hyperlink xmlns:r="http://schemas.openxmlformats.org/officeDocument/2006/relationships" ref="F157" r:id="rId998"/>
    <hyperlink xmlns:r="http://schemas.openxmlformats.org/officeDocument/2006/relationships" ref="G157" r:id="rId999"/>
    <hyperlink xmlns:r="http://schemas.openxmlformats.org/officeDocument/2006/relationships" ref="H157" r:id="rId1000"/>
    <hyperlink xmlns:r="http://schemas.openxmlformats.org/officeDocument/2006/relationships" ref="J157" r:id="rId1001"/>
    <hyperlink xmlns:r="http://schemas.openxmlformats.org/officeDocument/2006/relationships" ref="K157" r:id="rId1002"/>
    <hyperlink xmlns:r="http://schemas.openxmlformats.org/officeDocument/2006/relationships" ref="L157" r:id="rId1003"/>
    <hyperlink xmlns:r="http://schemas.openxmlformats.org/officeDocument/2006/relationships" ref="N157" r:id="rId1004"/>
    <hyperlink xmlns:r="http://schemas.openxmlformats.org/officeDocument/2006/relationships" ref="O157" r:id="rId1005"/>
    <hyperlink xmlns:r="http://schemas.openxmlformats.org/officeDocument/2006/relationships" ref="F158" r:id="rId1006"/>
    <hyperlink xmlns:r="http://schemas.openxmlformats.org/officeDocument/2006/relationships" ref="G158" r:id="rId1007"/>
    <hyperlink xmlns:r="http://schemas.openxmlformats.org/officeDocument/2006/relationships" ref="H158" r:id="rId1008"/>
    <hyperlink xmlns:r="http://schemas.openxmlformats.org/officeDocument/2006/relationships" ref="N158" r:id="rId1009"/>
    <hyperlink xmlns:r="http://schemas.openxmlformats.org/officeDocument/2006/relationships" ref="O158" r:id="rId1010"/>
    <hyperlink xmlns:r="http://schemas.openxmlformats.org/officeDocument/2006/relationships" ref="F159" r:id="rId1011"/>
    <hyperlink xmlns:r="http://schemas.openxmlformats.org/officeDocument/2006/relationships" ref="G159" r:id="rId1012"/>
    <hyperlink xmlns:r="http://schemas.openxmlformats.org/officeDocument/2006/relationships" ref="H159" r:id="rId1013"/>
    <hyperlink xmlns:r="http://schemas.openxmlformats.org/officeDocument/2006/relationships" ref="J159" r:id="rId1014"/>
    <hyperlink xmlns:r="http://schemas.openxmlformats.org/officeDocument/2006/relationships" ref="K159" r:id="rId1015"/>
    <hyperlink xmlns:r="http://schemas.openxmlformats.org/officeDocument/2006/relationships" ref="L159" r:id="rId1016"/>
    <hyperlink xmlns:r="http://schemas.openxmlformats.org/officeDocument/2006/relationships" ref="N159" r:id="rId1017"/>
    <hyperlink xmlns:r="http://schemas.openxmlformats.org/officeDocument/2006/relationships" ref="O159" r:id="rId1018"/>
    <hyperlink xmlns:r="http://schemas.openxmlformats.org/officeDocument/2006/relationships" ref="F160" r:id="rId1019"/>
    <hyperlink xmlns:r="http://schemas.openxmlformats.org/officeDocument/2006/relationships" ref="G160" r:id="rId1020"/>
    <hyperlink xmlns:r="http://schemas.openxmlformats.org/officeDocument/2006/relationships" ref="H160" r:id="rId1021"/>
    <hyperlink xmlns:r="http://schemas.openxmlformats.org/officeDocument/2006/relationships" ref="J160" r:id="rId1022"/>
    <hyperlink xmlns:r="http://schemas.openxmlformats.org/officeDocument/2006/relationships" ref="K160" r:id="rId1023"/>
    <hyperlink xmlns:r="http://schemas.openxmlformats.org/officeDocument/2006/relationships" ref="L160" r:id="rId1024"/>
    <hyperlink xmlns:r="http://schemas.openxmlformats.org/officeDocument/2006/relationships" ref="N160" r:id="rId1025"/>
    <hyperlink xmlns:r="http://schemas.openxmlformats.org/officeDocument/2006/relationships" ref="O160" r:id="rId1026"/>
    <hyperlink xmlns:r="http://schemas.openxmlformats.org/officeDocument/2006/relationships" ref="F161" r:id="rId1027"/>
    <hyperlink xmlns:r="http://schemas.openxmlformats.org/officeDocument/2006/relationships" ref="G161" r:id="rId1028"/>
    <hyperlink xmlns:r="http://schemas.openxmlformats.org/officeDocument/2006/relationships" ref="H161" r:id="rId1029"/>
    <hyperlink xmlns:r="http://schemas.openxmlformats.org/officeDocument/2006/relationships" ref="J161" r:id="rId1030"/>
    <hyperlink xmlns:r="http://schemas.openxmlformats.org/officeDocument/2006/relationships" ref="K161" r:id="rId1031"/>
    <hyperlink xmlns:r="http://schemas.openxmlformats.org/officeDocument/2006/relationships" ref="L161" r:id="rId1032"/>
    <hyperlink xmlns:r="http://schemas.openxmlformats.org/officeDocument/2006/relationships" ref="N161" r:id="rId1033"/>
    <hyperlink xmlns:r="http://schemas.openxmlformats.org/officeDocument/2006/relationships" ref="O161" r:id="rId1034"/>
    <hyperlink xmlns:r="http://schemas.openxmlformats.org/officeDocument/2006/relationships" ref="F162" r:id="rId1035"/>
    <hyperlink xmlns:r="http://schemas.openxmlformats.org/officeDocument/2006/relationships" ref="G162" r:id="rId1036"/>
    <hyperlink xmlns:r="http://schemas.openxmlformats.org/officeDocument/2006/relationships" ref="H162" r:id="rId1037"/>
    <hyperlink xmlns:r="http://schemas.openxmlformats.org/officeDocument/2006/relationships" ref="J162" r:id="rId1038"/>
    <hyperlink xmlns:r="http://schemas.openxmlformats.org/officeDocument/2006/relationships" ref="K162" r:id="rId1039"/>
    <hyperlink xmlns:r="http://schemas.openxmlformats.org/officeDocument/2006/relationships" ref="L162" r:id="rId1040"/>
    <hyperlink xmlns:r="http://schemas.openxmlformats.org/officeDocument/2006/relationships" ref="N162" r:id="rId1041"/>
    <hyperlink xmlns:r="http://schemas.openxmlformats.org/officeDocument/2006/relationships" ref="O162" r:id="rId1042"/>
    <hyperlink xmlns:r="http://schemas.openxmlformats.org/officeDocument/2006/relationships" ref="F163" r:id="rId1043"/>
    <hyperlink xmlns:r="http://schemas.openxmlformats.org/officeDocument/2006/relationships" ref="G163" r:id="rId1044"/>
    <hyperlink xmlns:r="http://schemas.openxmlformats.org/officeDocument/2006/relationships" ref="H163" r:id="rId1045"/>
    <hyperlink xmlns:r="http://schemas.openxmlformats.org/officeDocument/2006/relationships" ref="J163" r:id="rId1046"/>
    <hyperlink xmlns:r="http://schemas.openxmlformats.org/officeDocument/2006/relationships" ref="K163" r:id="rId1047"/>
    <hyperlink xmlns:r="http://schemas.openxmlformats.org/officeDocument/2006/relationships" ref="L163" r:id="rId1048"/>
    <hyperlink xmlns:r="http://schemas.openxmlformats.org/officeDocument/2006/relationships" ref="N163" r:id="rId1049"/>
    <hyperlink xmlns:r="http://schemas.openxmlformats.org/officeDocument/2006/relationships" ref="O163" r:id="rId1050"/>
    <hyperlink xmlns:r="http://schemas.openxmlformats.org/officeDocument/2006/relationships" ref="F164" r:id="rId1051"/>
    <hyperlink xmlns:r="http://schemas.openxmlformats.org/officeDocument/2006/relationships" ref="G164" r:id="rId1052"/>
    <hyperlink xmlns:r="http://schemas.openxmlformats.org/officeDocument/2006/relationships" ref="H164" r:id="rId1053"/>
    <hyperlink xmlns:r="http://schemas.openxmlformats.org/officeDocument/2006/relationships" ref="J164" r:id="rId1054"/>
    <hyperlink xmlns:r="http://schemas.openxmlformats.org/officeDocument/2006/relationships" ref="K164" r:id="rId1055"/>
    <hyperlink xmlns:r="http://schemas.openxmlformats.org/officeDocument/2006/relationships" ref="L164" r:id="rId1056"/>
    <hyperlink xmlns:r="http://schemas.openxmlformats.org/officeDocument/2006/relationships" ref="N164" r:id="rId1057"/>
    <hyperlink xmlns:r="http://schemas.openxmlformats.org/officeDocument/2006/relationships" ref="O164" r:id="rId1058"/>
    <hyperlink xmlns:r="http://schemas.openxmlformats.org/officeDocument/2006/relationships" ref="F165" r:id="rId1059"/>
    <hyperlink xmlns:r="http://schemas.openxmlformats.org/officeDocument/2006/relationships" ref="G165" r:id="rId1060"/>
    <hyperlink xmlns:r="http://schemas.openxmlformats.org/officeDocument/2006/relationships" ref="H165" r:id="rId1061"/>
    <hyperlink xmlns:r="http://schemas.openxmlformats.org/officeDocument/2006/relationships" ref="J165" r:id="rId1062"/>
    <hyperlink xmlns:r="http://schemas.openxmlformats.org/officeDocument/2006/relationships" ref="K165" r:id="rId1063"/>
    <hyperlink xmlns:r="http://schemas.openxmlformats.org/officeDocument/2006/relationships" ref="L165" r:id="rId1064"/>
    <hyperlink xmlns:r="http://schemas.openxmlformats.org/officeDocument/2006/relationships" ref="N165" r:id="rId1065"/>
    <hyperlink xmlns:r="http://schemas.openxmlformats.org/officeDocument/2006/relationships" ref="O165" r:id="rId1066"/>
    <hyperlink xmlns:r="http://schemas.openxmlformats.org/officeDocument/2006/relationships" ref="F166" r:id="rId1067"/>
    <hyperlink xmlns:r="http://schemas.openxmlformats.org/officeDocument/2006/relationships" ref="G166" r:id="rId1068"/>
    <hyperlink xmlns:r="http://schemas.openxmlformats.org/officeDocument/2006/relationships" ref="H166" r:id="rId1069"/>
    <hyperlink xmlns:r="http://schemas.openxmlformats.org/officeDocument/2006/relationships" ref="J166" r:id="rId1070"/>
    <hyperlink xmlns:r="http://schemas.openxmlformats.org/officeDocument/2006/relationships" ref="K166" r:id="rId1071"/>
    <hyperlink xmlns:r="http://schemas.openxmlformats.org/officeDocument/2006/relationships" ref="L166" r:id="rId1072"/>
    <hyperlink xmlns:r="http://schemas.openxmlformats.org/officeDocument/2006/relationships" ref="N166" r:id="rId1073"/>
    <hyperlink xmlns:r="http://schemas.openxmlformats.org/officeDocument/2006/relationships" ref="O166" r:id="rId1074"/>
    <hyperlink xmlns:r="http://schemas.openxmlformats.org/officeDocument/2006/relationships" ref="F169" r:id="rId1075"/>
    <hyperlink xmlns:r="http://schemas.openxmlformats.org/officeDocument/2006/relationships" ref="G169" r:id="rId1076"/>
    <hyperlink xmlns:r="http://schemas.openxmlformats.org/officeDocument/2006/relationships" ref="H169" r:id="rId1077"/>
    <hyperlink xmlns:r="http://schemas.openxmlformats.org/officeDocument/2006/relationships" ref="J169" r:id="rId1078"/>
    <hyperlink xmlns:r="http://schemas.openxmlformats.org/officeDocument/2006/relationships" ref="K169" r:id="rId1079"/>
    <hyperlink xmlns:r="http://schemas.openxmlformats.org/officeDocument/2006/relationships" ref="L169" r:id="rId1080"/>
    <hyperlink xmlns:r="http://schemas.openxmlformats.org/officeDocument/2006/relationships" ref="N169" r:id="rId1081"/>
    <hyperlink xmlns:r="http://schemas.openxmlformats.org/officeDocument/2006/relationships" ref="O169" r:id="rId1082"/>
    <hyperlink xmlns:r="http://schemas.openxmlformats.org/officeDocument/2006/relationships" ref="F170" r:id="rId1083"/>
    <hyperlink xmlns:r="http://schemas.openxmlformats.org/officeDocument/2006/relationships" ref="G170" r:id="rId1084"/>
    <hyperlink xmlns:r="http://schemas.openxmlformats.org/officeDocument/2006/relationships" ref="H170" r:id="rId1085"/>
    <hyperlink xmlns:r="http://schemas.openxmlformats.org/officeDocument/2006/relationships" ref="J170" r:id="rId1086"/>
    <hyperlink xmlns:r="http://schemas.openxmlformats.org/officeDocument/2006/relationships" ref="K170" r:id="rId1087"/>
    <hyperlink xmlns:r="http://schemas.openxmlformats.org/officeDocument/2006/relationships" ref="L170" r:id="rId1088"/>
    <hyperlink xmlns:r="http://schemas.openxmlformats.org/officeDocument/2006/relationships" ref="N170" r:id="rId1089"/>
    <hyperlink xmlns:r="http://schemas.openxmlformats.org/officeDocument/2006/relationships" ref="O170" r:id="rId1090"/>
    <hyperlink xmlns:r="http://schemas.openxmlformats.org/officeDocument/2006/relationships" ref="F171" r:id="rId1091"/>
    <hyperlink xmlns:r="http://schemas.openxmlformats.org/officeDocument/2006/relationships" ref="G171" r:id="rId1092"/>
    <hyperlink xmlns:r="http://schemas.openxmlformats.org/officeDocument/2006/relationships" ref="H171" r:id="rId1093"/>
    <hyperlink xmlns:r="http://schemas.openxmlformats.org/officeDocument/2006/relationships" ref="J171" r:id="rId1094"/>
    <hyperlink xmlns:r="http://schemas.openxmlformats.org/officeDocument/2006/relationships" ref="K171" r:id="rId1095"/>
    <hyperlink xmlns:r="http://schemas.openxmlformats.org/officeDocument/2006/relationships" ref="L171" r:id="rId1096"/>
    <hyperlink xmlns:r="http://schemas.openxmlformats.org/officeDocument/2006/relationships" ref="N171" r:id="rId1097"/>
    <hyperlink xmlns:r="http://schemas.openxmlformats.org/officeDocument/2006/relationships" ref="O171" r:id="rId1098"/>
    <hyperlink xmlns:r="http://schemas.openxmlformats.org/officeDocument/2006/relationships" ref="F172" r:id="rId1099"/>
    <hyperlink xmlns:r="http://schemas.openxmlformats.org/officeDocument/2006/relationships" ref="G172" r:id="rId1100"/>
    <hyperlink xmlns:r="http://schemas.openxmlformats.org/officeDocument/2006/relationships" ref="H172" r:id="rId1101"/>
    <hyperlink xmlns:r="http://schemas.openxmlformats.org/officeDocument/2006/relationships" ref="J172" r:id="rId1102"/>
    <hyperlink xmlns:r="http://schemas.openxmlformats.org/officeDocument/2006/relationships" ref="K172" r:id="rId1103"/>
    <hyperlink xmlns:r="http://schemas.openxmlformats.org/officeDocument/2006/relationships" ref="L172" r:id="rId1104"/>
    <hyperlink xmlns:r="http://schemas.openxmlformats.org/officeDocument/2006/relationships" ref="N172" r:id="rId1105"/>
    <hyperlink xmlns:r="http://schemas.openxmlformats.org/officeDocument/2006/relationships" ref="O172" r:id="rId1106"/>
    <hyperlink xmlns:r="http://schemas.openxmlformats.org/officeDocument/2006/relationships" ref="F173" r:id="rId1107"/>
    <hyperlink xmlns:r="http://schemas.openxmlformats.org/officeDocument/2006/relationships" ref="G173" r:id="rId1108"/>
    <hyperlink xmlns:r="http://schemas.openxmlformats.org/officeDocument/2006/relationships" ref="H173" r:id="rId1109"/>
    <hyperlink xmlns:r="http://schemas.openxmlformats.org/officeDocument/2006/relationships" ref="J173" r:id="rId1110"/>
    <hyperlink xmlns:r="http://schemas.openxmlformats.org/officeDocument/2006/relationships" ref="K173" r:id="rId1111"/>
    <hyperlink xmlns:r="http://schemas.openxmlformats.org/officeDocument/2006/relationships" ref="L173" r:id="rId1112"/>
    <hyperlink xmlns:r="http://schemas.openxmlformats.org/officeDocument/2006/relationships" ref="N173" r:id="rId1113"/>
    <hyperlink xmlns:r="http://schemas.openxmlformats.org/officeDocument/2006/relationships" ref="O173" r:id="rId1114"/>
    <hyperlink xmlns:r="http://schemas.openxmlformats.org/officeDocument/2006/relationships" ref="F176" r:id="rId1115"/>
    <hyperlink xmlns:r="http://schemas.openxmlformats.org/officeDocument/2006/relationships" ref="G176" r:id="rId1116"/>
    <hyperlink xmlns:r="http://schemas.openxmlformats.org/officeDocument/2006/relationships" ref="H176" r:id="rId1117"/>
    <hyperlink xmlns:r="http://schemas.openxmlformats.org/officeDocument/2006/relationships" ref="J176" r:id="rId1118"/>
    <hyperlink xmlns:r="http://schemas.openxmlformats.org/officeDocument/2006/relationships" ref="K176" r:id="rId1119"/>
    <hyperlink xmlns:r="http://schemas.openxmlformats.org/officeDocument/2006/relationships" ref="L176" r:id="rId1120"/>
    <hyperlink xmlns:r="http://schemas.openxmlformats.org/officeDocument/2006/relationships" ref="N176" r:id="rId1121"/>
    <hyperlink xmlns:r="http://schemas.openxmlformats.org/officeDocument/2006/relationships" ref="O176" r:id="rId1122"/>
    <hyperlink xmlns:r="http://schemas.openxmlformats.org/officeDocument/2006/relationships" ref="F177" r:id="rId1123"/>
    <hyperlink xmlns:r="http://schemas.openxmlformats.org/officeDocument/2006/relationships" ref="G177" r:id="rId1124"/>
    <hyperlink xmlns:r="http://schemas.openxmlformats.org/officeDocument/2006/relationships" ref="H177" r:id="rId1125"/>
    <hyperlink xmlns:r="http://schemas.openxmlformats.org/officeDocument/2006/relationships" ref="J177" r:id="rId1126"/>
    <hyperlink xmlns:r="http://schemas.openxmlformats.org/officeDocument/2006/relationships" ref="K177" r:id="rId1127"/>
    <hyperlink xmlns:r="http://schemas.openxmlformats.org/officeDocument/2006/relationships" ref="L177" r:id="rId1128"/>
    <hyperlink xmlns:r="http://schemas.openxmlformats.org/officeDocument/2006/relationships" ref="N177" r:id="rId1129"/>
    <hyperlink xmlns:r="http://schemas.openxmlformats.org/officeDocument/2006/relationships" ref="O177" r:id="rId1130"/>
    <hyperlink xmlns:r="http://schemas.openxmlformats.org/officeDocument/2006/relationships" ref="F178" r:id="rId1131"/>
    <hyperlink xmlns:r="http://schemas.openxmlformats.org/officeDocument/2006/relationships" ref="G178" r:id="rId1132"/>
    <hyperlink xmlns:r="http://schemas.openxmlformats.org/officeDocument/2006/relationships" ref="H178" r:id="rId1133"/>
    <hyperlink xmlns:r="http://schemas.openxmlformats.org/officeDocument/2006/relationships" ref="J178" r:id="rId1134"/>
    <hyperlink xmlns:r="http://schemas.openxmlformats.org/officeDocument/2006/relationships" ref="K178" r:id="rId1135"/>
    <hyperlink xmlns:r="http://schemas.openxmlformats.org/officeDocument/2006/relationships" ref="L178" r:id="rId1136"/>
    <hyperlink xmlns:r="http://schemas.openxmlformats.org/officeDocument/2006/relationships" ref="N178" r:id="rId1137"/>
    <hyperlink xmlns:r="http://schemas.openxmlformats.org/officeDocument/2006/relationships" ref="O178" r:id="rId1138"/>
    <hyperlink xmlns:r="http://schemas.openxmlformats.org/officeDocument/2006/relationships" ref="F179" r:id="rId1139"/>
    <hyperlink xmlns:r="http://schemas.openxmlformats.org/officeDocument/2006/relationships" ref="G179" r:id="rId1140"/>
    <hyperlink xmlns:r="http://schemas.openxmlformats.org/officeDocument/2006/relationships" ref="H179" r:id="rId1141"/>
    <hyperlink xmlns:r="http://schemas.openxmlformats.org/officeDocument/2006/relationships" ref="J179" r:id="rId1142"/>
    <hyperlink xmlns:r="http://schemas.openxmlformats.org/officeDocument/2006/relationships" ref="K179" r:id="rId1143"/>
    <hyperlink xmlns:r="http://schemas.openxmlformats.org/officeDocument/2006/relationships" ref="L179" r:id="rId1144"/>
    <hyperlink xmlns:r="http://schemas.openxmlformats.org/officeDocument/2006/relationships" ref="N179" r:id="rId1145"/>
    <hyperlink xmlns:r="http://schemas.openxmlformats.org/officeDocument/2006/relationships" ref="O179" r:id="rId1146"/>
    <hyperlink xmlns:r="http://schemas.openxmlformats.org/officeDocument/2006/relationships" ref="F180" r:id="rId1147"/>
    <hyperlink xmlns:r="http://schemas.openxmlformats.org/officeDocument/2006/relationships" ref="G180" r:id="rId1148"/>
    <hyperlink xmlns:r="http://schemas.openxmlformats.org/officeDocument/2006/relationships" ref="H180" r:id="rId1149"/>
    <hyperlink xmlns:r="http://schemas.openxmlformats.org/officeDocument/2006/relationships" ref="J180" r:id="rId1150"/>
    <hyperlink xmlns:r="http://schemas.openxmlformats.org/officeDocument/2006/relationships" ref="K180" r:id="rId1151"/>
    <hyperlink xmlns:r="http://schemas.openxmlformats.org/officeDocument/2006/relationships" ref="L180" r:id="rId1152"/>
    <hyperlink xmlns:r="http://schemas.openxmlformats.org/officeDocument/2006/relationships" ref="N180" r:id="rId1153"/>
    <hyperlink xmlns:r="http://schemas.openxmlformats.org/officeDocument/2006/relationships" ref="O180" r:id="rId1154"/>
    <hyperlink xmlns:r="http://schemas.openxmlformats.org/officeDocument/2006/relationships" ref="F181" r:id="rId1155"/>
    <hyperlink xmlns:r="http://schemas.openxmlformats.org/officeDocument/2006/relationships" ref="G181" r:id="rId1156"/>
    <hyperlink xmlns:r="http://schemas.openxmlformats.org/officeDocument/2006/relationships" ref="H181" r:id="rId1157"/>
    <hyperlink xmlns:r="http://schemas.openxmlformats.org/officeDocument/2006/relationships" ref="J181" r:id="rId1158"/>
    <hyperlink xmlns:r="http://schemas.openxmlformats.org/officeDocument/2006/relationships" ref="K181" r:id="rId1159"/>
    <hyperlink xmlns:r="http://schemas.openxmlformats.org/officeDocument/2006/relationships" ref="L181" r:id="rId1160"/>
    <hyperlink xmlns:r="http://schemas.openxmlformats.org/officeDocument/2006/relationships" ref="N181" r:id="rId1161"/>
    <hyperlink xmlns:r="http://schemas.openxmlformats.org/officeDocument/2006/relationships" ref="O181" r:id="rId1162"/>
    <hyperlink xmlns:r="http://schemas.openxmlformats.org/officeDocument/2006/relationships" ref="F182" r:id="rId1163"/>
    <hyperlink xmlns:r="http://schemas.openxmlformats.org/officeDocument/2006/relationships" ref="G182" r:id="rId1164"/>
    <hyperlink xmlns:r="http://schemas.openxmlformats.org/officeDocument/2006/relationships" ref="H182" r:id="rId1165"/>
    <hyperlink xmlns:r="http://schemas.openxmlformats.org/officeDocument/2006/relationships" ref="J182" r:id="rId1166"/>
    <hyperlink xmlns:r="http://schemas.openxmlformats.org/officeDocument/2006/relationships" ref="K182" r:id="rId1167"/>
    <hyperlink xmlns:r="http://schemas.openxmlformats.org/officeDocument/2006/relationships" ref="L182" r:id="rId1168"/>
    <hyperlink xmlns:r="http://schemas.openxmlformats.org/officeDocument/2006/relationships" ref="N182" r:id="rId1169"/>
    <hyperlink xmlns:r="http://schemas.openxmlformats.org/officeDocument/2006/relationships" ref="O182" r:id="rId1170"/>
    <hyperlink xmlns:r="http://schemas.openxmlformats.org/officeDocument/2006/relationships" ref="F183" r:id="rId1171"/>
    <hyperlink xmlns:r="http://schemas.openxmlformats.org/officeDocument/2006/relationships" ref="G183" r:id="rId1172"/>
    <hyperlink xmlns:r="http://schemas.openxmlformats.org/officeDocument/2006/relationships" ref="H183" r:id="rId1173"/>
    <hyperlink xmlns:r="http://schemas.openxmlformats.org/officeDocument/2006/relationships" ref="J183" r:id="rId1174"/>
    <hyperlink xmlns:r="http://schemas.openxmlformats.org/officeDocument/2006/relationships" ref="K183" r:id="rId1175"/>
    <hyperlink xmlns:r="http://schemas.openxmlformats.org/officeDocument/2006/relationships" ref="L183" r:id="rId1176"/>
    <hyperlink xmlns:r="http://schemas.openxmlformats.org/officeDocument/2006/relationships" ref="N183" r:id="rId1177"/>
    <hyperlink xmlns:r="http://schemas.openxmlformats.org/officeDocument/2006/relationships" ref="O183" r:id="rId1178"/>
    <hyperlink xmlns:r="http://schemas.openxmlformats.org/officeDocument/2006/relationships" ref="F184" r:id="rId1179"/>
    <hyperlink xmlns:r="http://schemas.openxmlformats.org/officeDocument/2006/relationships" ref="G184" r:id="rId1180"/>
    <hyperlink xmlns:r="http://schemas.openxmlformats.org/officeDocument/2006/relationships" ref="H184" r:id="rId1181"/>
    <hyperlink xmlns:r="http://schemas.openxmlformats.org/officeDocument/2006/relationships" ref="N184" r:id="rId1182"/>
    <hyperlink xmlns:r="http://schemas.openxmlformats.org/officeDocument/2006/relationships" ref="O184" r:id="rId1183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G45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50" customWidth="1" min="3" max="3"/>
    <col width="11" customWidth="1" min="4" max="4"/>
    <col width="11" customWidth="1" min="5" max="5"/>
    <col width="11" customWidth="1" min="6" max="6"/>
    <col width="32" customWidth="1" min="7" max="7"/>
  </cols>
  <sheetData>
    <row r="1" ht="34" customHeight="1">
      <c r="A1" s="39" t="inlineStr">
        <is>
          <t>Chapter tests</t>
        </is>
      </c>
    </row>
    <row r="2">
      <c r="A2" s="18" t="inlineStr">
        <is>
          <t>Real Edexcel exam questions for each textbook chapter, plus the textbook review exercises. Try one once every topic in it is Amber or Green.</t>
        </is>
      </c>
    </row>
    <row r="4" ht="22" customHeight="1">
      <c r="A4" s="40" t="inlineStr">
        <is>
          <t>Book</t>
        </is>
      </c>
      <c r="B4" s="40" t="inlineStr">
        <is>
          <t>Chapters</t>
        </is>
      </c>
      <c r="C4" s="40" t="inlineStr">
        <is>
          <t>Test</t>
        </is>
      </c>
      <c r="D4" s="41" t="inlineStr">
        <is>
          <t>Questions</t>
        </is>
      </c>
      <c r="E4" s="41" t="inlineStr">
        <is>
          <t>Mark scheme</t>
        </is>
      </c>
      <c r="F4" s="41" t="inlineStr">
        <is>
          <t>Done?</t>
        </is>
      </c>
      <c r="G4" s="40" t="inlineStr">
        <is>
          <t>Score / notes</t>
        </is>
      </c>
    </row>
    <row r="5" ht="10" customHeight="1"/>
    <row r="6" ht="26" customHeight="1">
      <c r="A6" s="42" t="inlineStr">
        <is>
          <t>Pure maths</t>
        </is>
      </c>
      <c r="B6" s="43" t="n"/>
      <c r="C6" s="44" t="inlineStr">
        <is>
          <t>Paper 1 and Paper 2</t>
        </is>
      </c>
      <c r="D6" s="43" t="n"/>
      <c r="E6" s="43" t="n"/>
      <c r="F6" s="43" t="n"/>
      <c r="G6" s="43" t="n"/>
    </row>
    <row r="7" ht="30" customHeight="1">
      <c r="A7" s="45" t="inlineStr">
        <is>
          <t>Pure 1</t>
        </is>
      </c>
      <c r="B7" s="33" t="inlineStr">
        <is>
          <t>Ch1 Algebraic Expression</t>
        </is>
      </c>
      <c r="C7" s="33" t="inlineStr">
        <is>
          <t>Ch1 Algebraic Expression Exam Questions</t>
        </is>
      </c>
      <c r="D7" s="34" t="inlineStr">
        <is>
          <t>Questions</t>
        </is>
      </c>
      <c r="E7" s="34" t="inlineStr">
        <is>
          <t>Marks</t>
        </is>
      </c>
      <c r="F7" s="46" t="n"/>
      <c r="G7" s="37" t="n"/>
    </row>
    <row r="8" ht="30" customHeight="1">
      <c r="A8" s="45" t="inlineStr">
        <is>
          <t>Pure 1</t>
        </is>
      </c>
      <c r="B8" s="33" t="inlineStr">
        <is>
          <t>Ch2 Quadratics, Ch3 Equations and Inequalities</t>
        </is>
      </c>
      <c r="C8" s="33" t="inlineStr">
        <is>
          <t>Ch2 Quadratics and Ch3 Equations and Inequalities Exam Questions</t>
        </is>
      </c>
      <c r="D8" s="34" t="inlineStr">
        <is>
          <t>Questions</t>
        </is>
      </c>
      <c r="E8" s="34" t="inlineStr">
        <is>
          <t>Marks</t>
        </is>
      </c>
      <c r="F8" s="46" t="n"/>
      <c r="G8" s="37" t="n"/>
    </row>
    <row r="9" ht="30" customHeight="1">
      <c r="A9" s="45" t="inlineStr">
        <is>
          <t>Pure 1</t>
        </is>
      </c>
      <c r="B9" s="47" t="inlineStr">
        <is>
          <t>Ch1-Ch4 review (textbook)</t>
        </is>
      </c>
      <c r="C9" s="47" t="inlineStr">
        <is>
          <t>Textbook review exercise 1 - pg.85-88</t>
        </is>
      </c>
      <c r="D9" s="38" t="inlineStr">
        <is>
          <t>in the book</t>
        </is>
      </c>
      <c r="E9" s="48" t="n"/>
      <c r="F9" s="46" t="n"/>
      <c r="G9" s="37" t="n"/>
    </row>
    <row r="10" ht="30" customHeight="1">
      <c r="A10" s="45" t="inlineStr">
        <is>
          <t>Pure 1</t>
        </is>
      </c>
      <c r="B10" s="33" t="inlineStr">
        <is>
          <t>Ch5 Straight Line Graphs</t>
        </is>
      </c>
      <c r="C10" s="33" t="inlineStr">
        <is>
          <t>Ch5 Straight Line Graphs Exam Questions</t>
        </is>
      </c>
      <c r="D10" s="34" t="inlineStr">
        <is>
          <t>Questions</t>
        </is>
      </c>
      <c r="E10" s="34" t="inlineStr">
        <is>
          <t>Marks</t>
        </is>
      </c>
      <c r="F10" s="46" t="n"/>
      <c r="G10" s="37" t="n"/>
    </row>
    <row r="11" ht="30" customHeight="1">
      <c r="A11" s="45" t="inlineStr">
        <is>
          <t>Pure 1</t>
        </is>
      </c>
      <c r="B11" s="33" t="inlineStr">
        <is>
          <t>Ch6 Circles</t>
        </is>
      </c>
      <c r="C11" s="33" t="inlineStr">
        <is>
          <t>Ch6 Circles Exam Questions</t>
        </is>
      </c>
      <c r="D11" s="34" t="inlineStr">
        <is>
          <t>Questions</t>
        </is>
      </c>
      <c r="E11" s="34" t="inlineStr">
        <is>
          <t>Marks</t>
        </is>
      </c>
      <c r="F11" s="46" t="n"/>
      <c r="G11" s="37" t="n"/>
    </row>
    <row r="12" ht="30" customHeight="1">
      <c r="A12" s="45" t="inlineStr">
        <is>
          <t>Pure 1</t>
        </is>
      </c>
      <c r="B12" s="33" t="inlineStr">
        <is>
          <t>Ch4 Graphs and Transformations, Ch7 Algebraic Methods</t>
        </is>
      </c>
      <c r="C12" s="33" t="inlineStr">
        <is>
          <t>Ch4 Graphs and Transformations + Ch7 Algebraic Methods Exam Questions 1</t>
        </is>
      </c>
      <c r="D12" s="34" t="inlineStr">
        <is>
          <t>Questions</t>
        </is>
      </c>
      <c r="E12" s="34" t="inlineStr">
        <is>
          <t>Marks</t>
        </is>
      </c>
      <c r="F12" s="46" t="n"/>
      <c r="G12" s="37" t="n"/>
    </row>
    <row r="13" ht="30" customHeight="1">
      <c r="A13" s="45" t="inlineStr">
        <is>
          <t>Pure 1</t>
        </is>
      </c>
      <c r="B13" s="33" t="inlineStr">
        <is>
          <t>Ch4 Graphs and Transformations, Ch7 Algebraic Methods</t>
        </is>
      </c>
      <c r="C13" s="33" t="inlineStr">
        <is>
          <t>Ch4 Graphs and Transformations + Ch7 Algebraic Methods Exam Questions 2</t>
        </is>
      </c>
      <c r="D13" s="34" t="inlineStr">
        <is>
          <t>Questions</t>
        </is>
      </c>
      <c r="E13" s="34" t="inlineStr">
        <is>
          <t>Marks</t>
        </is>
      </c>
      <c r="F13" s="46" t="n"/>
      <c r="G13" s="37" t="n"/>
    </row>
    <row r="14" ht="30" customHeight="1">
      <c r="A14" s="45" t="inlineStr">
        <is>
          <t>Pure 1</t>
        </is>
      </c>
      <c r="B14" s="33" t="inlineStr">
        <is>
          <t>Ch8 Binomial Expansion</t>
        </is>
      </c>
      <c r="C14" s="33" t="inlineStr">
        <is>
          <t>Ch8 Binomial Expansion Exam Questions</t>
        </is>
      </c>
      <c r="D14" s="34" t="inlineStr">
        <is>
          <t>Questions</t>
        </is>
      </c>
      <c r="E14" s="34" t="inlineStr">
        <is>
          <t>Marks</t>
        </is>
      </c>
      <c r="F14" s="46" t="n"/>
      <c r="G14" s="37" t="n"/>
    </row>
    <row r="15" ht="30" customHeight="1">
      <c r="A15" s="45" t="inlineStr">
        <is>
          <t>Pure 1</t>
        </is>
      </c>
      <c r="B15" s="33" t="inlineStr">
        <is>
          <t>Ch9 Trigonometric ratios</t>
        </is>
      </c>
      <c r="C15" s="33" t="inlineStr">
        <is>
          <t>Ch9 Trigonometric Ratos Exam Questions</t>
        </is>
      </c>
      <c r="D15" s="34" t="inlineStr">
        <is>
          <t>Questions</t>
        </is>
      </c>
      <c r="E15" s="34" t="inlineStr">
        <is>
          <t>Marks</t>
        </is>
      </c>
      <c r="F15" s="46" t="n"/>
      <c r="G15" s="37" t="n"/>
    </row>
    <row r="16" ht="30" customHeight="1">
      <c r="A16" s="45" t="inlineStr">
        <is>
          <t>Pure 1</t>
        </is>
      </c>
      <c r="B16" s="33" t="inlineStr">
        <is>
          <t>Ch10 Trigonometric Identities and Equations</t>
        </is>
      </c>
      <c r="C16" s="33" t="inlineStr">
        <is>
          <t>Ch10 Trigonometric Identities and Equations Exam Questions</t>
        </is>
      </c>
      <c r="D16" s="34" t="inlineStr">
        <is>
          <t>Questions</t>
        </is>
      </c>
      <c r="E16" s="34" t="inlineStr">
        <is>
          <t>Marks</t>
        </is>
      </c>
      <c r="F16" s="46" t="n"/>
      <c r="G16" s="37" t="n"/>
    </row>
    <row r="17" ht="30" customHeight="1">
      <c r="A17" s="45" t="inlineStr">
        <is>
          <t>Pure 1</t>
        </is>
      </c>
      <c r="B17" s="47" t="inlineStr">
        <is>
          <t>Ch5-Ch10 review (textbook)</t>
        </is>
      </c>
      <c r="C17" s="47" t="inlineStr">
        <is>
          <t>Textbook review exercise 2 - pg.226 - 229</t>
        </is>
      </c>
      <c r="D17" s="38" t="inlineStr">
        <is>
          <t>in the book</t>
        </is>
      </c>
      <c r="E17" s="48" t="n"/>
      <c r="F17" s="46" t="n"/>
      <c r="G17" s="37" t="n"/>
    </row>
    <row r="18" ht="30" customHeight="1">
      <c r="A18" s="45" t="inlineStr">
        <is>
          <t>Pure 1</t>
        </is>
      </c>
      <c r="B18" s="33" t="inlineStr">
        <is>
          <t>Ch11 Vectors</t>
        </is>
      </c>
      <c r="C18" s="33" t="inlineStr">
        <is>
          <t>Ch11 Vectors Exam Questions</t>
        </is>
      </c>
      <c r="D18" s="34" t="inlineStr">
        <is>
          <t>Questions</t>
        </is>
      </c>
      <c r="E18" s="34" t="inlineStr">
        <is>
          <t>Marks</t>
        </is>
      </c>
      <c r="F18" s="46" t="n"/>
      <c r="G18" s="37" t="n"/>
    </row>
    <row r="19" ht="30" customHeight="1">
      <c r="A19" s="45" t="inlineStr">
        <is>
          <t>Pure 1</t>
        </is>
      </c>
      <c r="B19" s="33" t="inlineStr">
        <is>
          <t>Ch12 Differentiation</t>
        </is>
      </c>
      <c r="C19" s="33" t="inlineStr">
        <is>
          <t>Ch12 Differentiation Exam Questions</t>
        </is>
      </c>
      <c r="D19" s="34" t="inlineStr">
        <is>
          <t>Questions</t>
        </is>
      </c>
      <c r="E19" s="34" t="inlineStr">
        <is>
          <t>Marks</t>
        </is>
      </c>
      <c r="F19" s="46" t="n"/>
      <c r="G19" s="37" t="n"/>
    </row>
    <row r="20" ht="30" customHeight="1">
      <c r="A20" s="45" t="inlineStr">
        <is>
          <t>Pure 1</t>
        </is>
      </c>
      <c r="B20" s="33" t="inlineStr">
        <is>
          <t>Ch13 Integration</t>
        </is>
      </c>
      <c r="C20" s="33" t="inlineStr">
        <is>
          <t>Ch13 Integration Exam Question</t>
        </is>
      </c>
      <c r="D20" s="34" t="inlineStr">
        <is>
          <t>Questions</t>
        </is>
      </c>
      <c r="E20" s="34" t="inlineStr">
        <is>
          <t>Marks</t>
        </is>
      </c>
      <c r="F20" s="46" t="n"/>
      <c r="G20" s="37" t="n"/>
    </row>
    <row r="21" ht="30" customHeight="1">
      <c r="A21" s="45" t="inlineStr">
        <is>
          <t>Pure 1</t>
        </is>
      </c>
      <c r="B21" s="33" t="inlineStr">
        <is>
          <t>Ch14 Exponential and Logarithms</t>
        </is>
      </c>
      <c r="C21" s="33" t="inlineStr">
        <is>
          <t>Ch14 Exponential and Logarithms Exam Questions 1</t>
        </is>
      </c>
      <c r="D21" s="34" t="inlineStr">
        <is>
          <t>Questions</t>
        </is>
      </c>
      <c r="E21" s="34" t="inlineStr">
        <is>
          <t>Marks</t>
        </is>
      </c>
      <c r="F21" s="46" t="n"/>
      <c r="G21" s="37" t="n"/>
    </row>
    <row r="22" ht="30" customHeight="1">
      <c r="A22" s="45" t="inlineStr">
        <is>
          <t>Pure 1</t>
        </is>
      </c>
      <c r="B22" s="33" t="inlineStr">
        <is>
          <t>Ch14 Exponential and Logarithms</t>
        </is>
      </c>
      <c r="C22" s="33" t="inlineStr">
        <is>
          <t>Ch14 Exponential and Logarithms Exam Questions 2</t>
        </is>
      </c>
      <c r="D22" s="34" t="inlineStr">
        <is>
          <t>Questions</t>
        </is>
      </c>
      <c r="E22" s="34" t="inlineStr">
        <is>
          <t>Marks</t>
        </is>
      </c>
      <c r="F22" s="46" t="n"/>
      <c r="G22" s="37" t="n"/>
    </row>
    <row r="23" ht="30" customHeight="1">
      <c r="A23" s="45" t="inlineStr">
        <is>
          <t>Pure 1</t>
        </is>
      </c>
      <c r="B23" s="47" t="inlineStr">
        <is>
          <t>Ch11-Ch14 review (textbook)</t>
        </is>
      </c>
      <c r="C23" s="47" t="inlineStr">
        <is>
          <t>Textbook review exercise 3 - pg.338-341</t>
        </is>
      </c>
      <c r="D23" s="38" t="inlineStr">
        <is>
          <t>in the book</t>
        </is>
      </c>
      <c r="E23" s="48" t="n"/>
      <c r="F23" s="46" t="n"/>
      <c r="G23" s="37" t="n"/>
    </row>
    <row r="24" ht="30" customHeight="1">
      <c r="A24" s="45" t="inlineStr">
        <is>
          <t>Pure 2</t>
        </is>
      </c>
      <c r="B24" s="33" t="inlineStr">
        <is>
          <t>Ch1 Algebraic Methods</t>
        </is>
      </c>
      <c r="C24" s="33" t="inlineStr">
        <is>
          <t>Ch1 Algebraic Methods Exam Questions</t>
        </is>
      </c>
      <c r="D24" s="34" t="inlineStr">
        <is>
          <t>Questions</t>
        </is>
      </c>
      <c r="E24" s="34" t="inlineStr">
        <is>
          <t>Marks</t>
        </is>
      </c>
      <c r="F24" s="46" t="n"/>
      <c r="G24" s="37" t="n"/>
    </row>
    <row r="25" ht="30" customHeight="1">
      <c r="A25" s="45" t="inlineStr">
        <is>
          <t>Pure 2</t>
        </is>
      </c>
      <c r="B25" s="33" t="inlineStr">
        <is>
          <t>Ch2 Functions and Graphs</t>
        </is>
      </c>
      <c r="C25" s="33" t="inlineStr">
        <is>
          <t>Ch2 Functions and Graphs Exam Questions 1</t>
        </is>
      </c>
      <c r="D25" s="34" t="inlineStr">
        <is>
          <t>Questions</t>
        </is>
      </c>
      <c r="E25" s="34" t="inlineStr">
        <is>
          <t>Marks</t>
        </is>
      </c>
      <c r="F25" s="46" t="n"/>
      <c r="G25" s="37" t="n"/>
    </row>
    <row r="26" ht="30" customHeight="1">
      <c r="A26" s="45" t="inlineStr">
        <is>
          <t>Pure 2</t>
        </is>
      </c>
      <c r="B26" s="33" t="inlineStr">
        <is>
          <t>Ch2 Functions and Graphs</t>
        </is>
      </c>
      <c r="C26" s="33" t="inlineStr">
        <is>
          <t>Ch2 Functions and Graphs Exam Questions 2</t>
        </is>
      </c>
      <c r="D26" s="34" t="inlineStr">
        <is>
          <t>Questions</t>
        </is>
      </c>
      <c r="E26" s="34" t="inlineStr">
        <is>
          <t>Marks</t>
        </is>
      </c>
      <c r="F26" s="46" t="n"/>
      <c r="G26" s="37" t="n"/>
    </row>
    <row r="27" ht="30" customHeight="1">
      <c r="A27" s="45" t="inlineStr">
        <is>
          <t>Pure 2</t>
        </is>
      </c>
      <c r="B27" s="33" t="inlineStr">
        <is>
          <t>Ch3 Sequences and Series</t>
        </is>
      </c>
      <c r="C27" s="33" t="inlineStr">
        <is>
          <t>Ch3 Sequences and Series Exam Questions 1</t>
        </is>
      </c>
      <c r="D27" s="34" t="inlineStr">
        <is>
          <t>Questions</t>
        </is>
      </c>
      <c r="E27" s="34" t="inlineStr">
        <is>
          <t>Marks</t>
        </is>
      </c>
      <c r="F27" s="46" t="n"/>
      <c r="G27" s="37" t="n"/>
    </row>
    <row r="28" ht="30" customHeight="1">
      <c r="A28" s="45" t="inlineStr">
        <is>
          <t>Pure 2</t>
        </is>
      </c>
      <c r="B28" s="33" t="inlineStr">
        <is>
          <t>Ch3 Sequences and Series</t>
        </is>
      </c>
      <c r="C28" s="33" t="inlineStr">
        <is>
          <t>Ch3 Sequences and Series Exam Questions 2</t>
        </is>
      </c>
      <c r="D28" s="34" t="inlineStr">
        <is>
          <t>Questions</t>
        </is>
      </c>
      <c r="E28" s="34" t="inlineStr">
        <is>
          <t>Marks</t>
        </is>
      </c>
      <c r="F28" s="46" t="n"/>
      <c r="G28" s="37" t="n"/>
    </row>
    <row r="29" ht="30" customHeight="1">
      <c r="A29" s="45" t="inlineStr">
        <is>
          <t>Pure 2</t>
        </is>
      </c>
      <c r="B29" s="33" t="inlineStr">
        <is>
          <t>Ch4 Binomial Expansion</t>
        </is>
      </c>
      <c r="C29" s="33" t="inlineStr">
        <is>
          <t>Ch4 Binomial Expansion Exam Questions</t>
        </is>
      </c>
      <c r="D29" s="34" t="inlineStr">
        <is>
          <t>Questions</t>
        </is>
      </c>
      <c r="E29" s="38" t="inlineStr">
        <is>
          <t>none</t>
        </is>
      </c>
      <c r="F29" s="46" t="n"/>
      <c r="G29" s="37" t="n"/>
    </row>
    <row r="30" ht="30" customHeight="1">
      <c r="A30" s="45" t="inlineStr">
        <is>
          <t>Pure 2</t>
        </is>
      </c>
      <c r="B30" s="47" t="inlineStr">
        <is>
          <t>Ch1-Ch4 review (textbook)</t>
        </is>
      </c>
      <c r="C30" s="47" t="inlineStr">
        <is>
          <t>Textbook review exercise 1 - pg.107-112</t>
        </is>
      </c>
      <c r="D30" s="38" t="inlineStr">
        <is>
          <t>in the book</t>
        </is>
      </c>
      <c r="E30" s="48" t="n"/>
      <c r="F30" s="46" t="n"/>
      <c r="G30" s="37" t="n"/>
    </row>
    <row r="31" ht="30" customHeight="1">
      <c r="A31" s="45" t="inlineStr">
        <is>
          <t>Pure 2</t>
        </is>
      </c>
      <c r="B31" s="33" t="inlineStr">
        <is>
          <t>Ch5 Radians</t>
        </is>
      </c>
      <c r="C31" s="33" t="inlineStr">
        <is>
          <t>Ch5 Radians Exam Questions</t>
        </is>
      </c>
      <c r="D31" s="34" t="inlineStr">
        <is>
          <t>Questions</t>
        </is>
      </c>
      <c r="E31" s="34" t="inlineStr">
        <is>
          <t>Marks</t>
        </is>
      </c>
      <c r="F31" s="46" t="n"/>
      <c r="G31" s="37" t="n"/>
    </row>
    <row r="32" ht="30" customHeight="1">
      <c r="A32" s="45" t="inlineStr">
        <is>
          <t>Pure 2</t>
        </is>
      </c>
      <c r="B32" s="33" t="inlineStr">
        <is>
          <t>Ch6 Trigonometric Functions, Ch7 Trigonometry and Modelling</t>
        </is>
      </c>
      <c r="C32" s="33" t="inlineStr">
        <is>
          <t>Ch6 Trigonometric Functions and Ch7 Trigonometry and Modelling Exam Questions 1</t>
        </is>
      </c>
      <c r="D32" s="34" t="inlineStr">
        <is>
          <t>Questions</t>
        </is>
      </c>
      <c r="E32" s="34" t="inlineStr">
        <is>
          <t>Marks</t>
        </is>
      </c>
      <c r="F32" s="46" t="n"/>
      <c r="G32" s="37" t="n"/>
    </row>
    <row r="33" ht="30" customHeight="1">
      <c r="A33" s="45" t="inlineStr">
        <is>
          <t>Pure 2</t>
        </is>
      </c>
      <c r="B33" s="33" t="inlineStr">
        <is>
          <t>Ch6 Trigonometric Functions, Ch7 Trigonometry and Modelling</t>
        </is>
      </c>
      <c r="C33" s="33" t="inlineStr">
        <is>
          <t>Ch6 Trigonometric Functions and Ch7 Trigonometry and Modelling Exam Questions 2</t>
        </is>
      </c>
      <c r="D33" s="34" t="inlineStr">
        <is>
          <t>Questions</t>
        </is>
      </c>
      <c r="E33" s="34" t="inlineStr">
        <is>
          <t>Marks</t>
        </is>
      </c>
      <c r="F33" s="46" t="n"/>
      <c r="G33" s="37" t="n"/>
    </row>
    <row r="34" ht="30" customHeight="1">
      <c r="A34" s="45" t="inlineStr">
        <is>
          <t>Pure 2</t>
        </is>
      </c>
      <c r="B34" s="33" t="inlineStr">
        <is>
          <t>Ch8 Parametric Equations</t>
        </is>
      </c>
      <c r="C34" s="33" t="inlineStr">
        <is>
          <t>Ch8 Parametric Equations Exam Questions</t>
        </is>
      </c>
      <c r="D34" s="34" t="inlineStr">
        <is>
          <t>Questions</t>
        </is>
      </c>
      <c r="E34" s="34" t="inlineStr">
        <is>
          <t>Marks</t>
        </is>
      </c>
      <c r="F34" s="46" t="n"/>
      <c r="G34" s="37" t="n"/>
    </row>
    <row r="35" ht="30" customHeight="1">
      <c r="A35" s="45" t="inlineStr">
        <is>
          <t>Pure 2</t>
        </is>
      </c>
      <c r="B35" s="47" t="inlineStr">
        <is>
          <t>Ch5-Ch8 review (textbook)</t>
        </is>
      </c>
      <c r="C35" s="47" t="inlineStr">
        <is>
          <t>Textbook review exercise 2 - pg.225-230</t>
        </is>
      </c>
      <c r="D35" s="38" t="inlineStr">
        <is>
          <t>in the book</t>
        </is>
      </c>
      <c r="E35" s="48" t="n"/>
      <c r="F35" s="46" t="n"/>
      <c r="G35" s="37" t="n"/>
    </row>
    <row r="36" ht="30" customHeight="1">
      <c r="A36" s="45" t="inlineStr">
        <is>
          <t>Pure 2</t>
        </is>
      </c>
      <c r="B36" s="33" t="inlineStr">
        <is>
          <t>Ch9 Differentiation</t>
        </is>
      </c>
      <c r="C36" s="33" t="inlineStr">
        <is>
          <t>Ch9 Differentiation Exam Questions 1</t>
        </is>
      </c>
      <c r="D36" s="34" t="inlineStr">
        <is>
          <t>Questions</t>
        </is>
      </c>
      <c r="E36" s="34" t="inlineStr">
        <is>
          <t>Marks</t>
        </is>
      </c>
      <c r="F36" s="46" t="n"/>
      <c r="G36" s="37" t="n"/>
    </row>
    <row r="37" ht="30" customHeight="1">
      <c r="A37" s="45" t="inlineStr">
        <is>
          <t>Pure 2</t>
        </is>
      </c>
      <c r="B37" s="33" t="inlineStr">
        <is>
          <t>Ch9 Differentiation</t>
        </is>
      </c>
      <c r="C37" s="33" t="inlineStr">
        <is>
          <t>Ch9 Differentiation Exam Questions 2</t>
        </is>
      </c>
      <c r="D37" s="34" t="inlineStr">
        <is>
          <t>Questions</t>
        </is>
      </c>
      <c r="E37" s="34" t="inlineStr">
        <is>
          <t>Marks</t>
        </is>
      </c>
      <c r="F37" s="46" t="n"/>
      <c r="G37" s="37" t="n"/>
    </row>
    <row r="38" ht="30" customHeight="1">
      <c r="A38" s="45" t="inlineStr">
        <is>
          <t>Pure 2</t>
        </is>
      </c>
      <c r="B38" s="33" t="inlineStr">
        <is>
          <t>Ch9 Differentiation</t>
        </is>
      </c>
      <c r="C38" s="33" t="inlineStr">
        <is>
          <t>Ch9 Differentiation Exam Questions 3</t>
        </is>
      </c>
      <c r="D38" s="34" t="inlineStr">
        <is>
          <t>Questions</t>
        </is>
      </c>
      <c r="E38" s="34" t="inlineStr">
        <is>
          <t>Marks</t>
        </is>
      </c>
      <c r="F38" s="46" t="n"/>
      <c r="G38" s="37" t="n"/>
    </row>
    <row r="39" ht="30" customHeight="1">
      <c r="A39" s="45" t="inlineStr">
        <is>
          <t>Pure 2</t>
        </is>
      </c>
      <c r="B39" s="33" t="inlineStr">
        <is>
          <t>Ch10 Numerical Methods</t>
        </is>
      </c>
      <c r="C39" s="33" t="inlineStr">
        <is>
          <t>Ch10 Numerical Methods Exam Questions</t>
        </is>
      </c>
      <c r="D39" s="34" t="inlineStr">
        <is>
          <t>Questions</t>
        </is>
      </c>
      <c r="E39" s="34" t="inlineStr">
        <is>
          <t>Marks</t>
        </is>
      </c>
      <c r="F39" s="46" t="n"/>
      <c r="G39" s="37" t="n"/>
    </row>
    <row r="40" ht="30" customHeight="1">
      <c r="A40" s="45" t="inlineStr">
        <is>
          <t>Pure 2</t>
        </is>
      </c>
      <c r="B40" s="33" t="inlineStr">
        <is>
          <t>Ch11 Integration</t>
        </is>
      </c>
      <c r="C40" s="33" t="inlineStr">
        <is>
          <t>Ch11 Integration Exam Questions 1</t>
        </is>
      </c>
      <c r="D40" s="34" t="inlineStr">
        <is>
          <t>Questions</t>
        </is>
      </c>
      <c r="E40" s="34" t="inlineStr">
        <is>
          <t>Marks</t>
        </is>
      </c>
      <c r="F40" s="46" t="n"/>
      <c r="G40" s="37" t="n"/>
    </row>
    <row r="41" ht="30" customHeight="1">
      <c r="A41" s="45" t="inlineStr">
        <is>
          <t>Pure 2</t>
        </is>
      </c>
      <c r="B41" s="33" t="inlineStr">
        <is>
          <t>Ch11 Integration</t>
        </is>
      </c>
      <c r="C41" s="33" t="inlineStr">
        <is>
          <t>Ch11 Integration Exam Questions 2</t>
        </is>
      </c>
      <c r="D41" s="34" t="inlineStr">
        <is>
          <t>Questions</t>
        </is>
      </c>
      <c r="E41" s="34" t="inlineStr">
        <is>
          <t>Marks</t>
        </is>
      </c>
      <c r="F41" s="46" t="n"/>
      <c r="G41" s="37" t="n"/>
    </row>
    <row r="42" ht="30" customHeight="1">
      <c r="A42" s="45" t="inlineStr">
        <is>
          <t>Pure 2</t>
        </is>
      </c>
      <c r="B42" s="33" t="inlineStr">
        <is>
          <t>Ch11 Integration</t>
        </is>
      </c>
      <c r="C42" s="33" t="inlineStr">
        <is>
          <t>Ch11 Integration Exam Questions 3</t>
        </is>
      </c>
      <c r="D42" s="34" t="inlineStr">
        <is>
          <t>Questions</t>
        </is>
      </c>
      <c r="E42" s="34" t="inlineStr">
        <is>
          <t>Marks</t>
        </is>
      </c>
      <c r="F42" s="46" t="n"/>
      <c r="G42" s="37" t="n"/>
    </row>
    <row r="43" ht="30" customHeight="1">
      <c r="A43" s="45" t="inlineStr">
        <is>
          <t>Pure 2</t>
        </is>
      </c>
      <c r="B43" s="33" t="inlineStr">
        <is>
          <t>Ch11 Integration</t>
        </is>
      </c>
      <c r="C43" s="33" t="inlineStr">
        <is>
          <t>Ch11 Integration Exam Questions 4</t>
        </is>
      </c>
      <c r="D43" s="34" t="inlineStr">
        <is>
          <t>Questions</t>
        </is>
      </c>
      <c r="E43" s="34" t="inlineStr">
        <is>
          <t>Marks</t>
        </is>
      </c>
      <c r="F43" s="46" t="n"/>
      <c r="G43" s="37" t="n"/>
    </row>
    <row r="44" ht="30" customHeight="1">
      <c r="A44" s="45" t="inlineStr">
        <is>
          <t>Pure 2</t>
        </is>
      </c>
      <c r="B44" s="33" t="inlineStr">
        <is>
          <t>Ch12 Vectors</t>
        </is>
      </c>
      <c r="C44" s="33" t="inlineStr">
        <is>
          <t>Ch12 Vectors Exam Questions</t>
        </is>
      </c>
      <c r="D44" s="34" t="inlineStr">
        <is>
          <t>Questions</t>
        </is>
      </c>
      <c r="E44" s="34" t="inlineStr">
        <is>
          <t>Marks</t>
        </is>
      </c>
      <c r="F44" s="46" t="n"/>
      <c r="G44" s="37" t="n"/>
    </row>
    <row r="45" ht="30" customHeight="1">
      <c r="A45" s="45" t="inlineStr">
        <is>
          <t>Pure 2</t>
        </is>
      </c>
      <c r="B45" s="47" t="inlineStr">
        <is>
          <t>Ch9-Ch12 review (textbook)</t>
        </is>
      </c>
      <c r="C45" s="47" t="inlineStr">
        <is>
          <t>Textbook review exercise 3 - pg.352-357</t>
        </is>
      </c>
      <c r="D45" s="38" t="inlineStr">
        <is>
          <t>in the book</t>
        </is>
      </c>
      <c r="E45" s="48" t="n"/>
      <c r="F45" s="46" t="n"/>
      <c r="G45" s="37" t="n"/>
    </row>
  </sheetData>
  <conditionalFormatting sqref="F5:F45">
    <cfRule type="cellIs" priority="1" operator="equal" dxfId="2">
      <formula>"Done"</formula>
    </cfRule>
    <cfRule type="cellIs" priority="2" operator="equal" dxfId="1">
      <formula>"Started"</formula>
    </cfRule>
  </conditionalFormatting>
  <dataValidations count="1">
    <dataValidation sqref="F5:F45" showDropDown="0" showInputMessage="0" showErrorMessage="0" allowBlank="1" type="list">
      <formula1>"Done,Started"</formula1>
    </dataValidation>
  </dataValidations>
  <hyperlinks>
    <hyperlink xmlns:r="http://schemas.openxmlformats.org/officeDocument/2006/relationships" ref="D7" r:id="rId1"/>
    <hyperlink xmlns:r="http://schemas.openxmlformats.org/officeDocument/2006/relationships" ref="E7" r:id="rId2"/>
    <hyperlink xmlns:r="http://schemas.openxmlformats.org/officeDocument/2006/relationships" ref="D8" r:id="rId3"/>
    <hyperlink xmlns:r="http://schemas.openxmlformats.org/officeDocument/2006/relationships" ref="E8" r:id="rId4"/>
    <hyperlink xmlns:r="http://schemas.openxmlformats.org/officeDocument/2006/relationships" ref="D10" r:id="rId5"/>
    <hyperlink xmlns:r="http://schemas.openxmlformats.org/officeDocument/2006/relationships" ref="E10" r:id="rId6"/>
    <hyperlink xmlns:r="http://schemas.openxmlformats.org/officeDocument/2006/relationships" ref="D11" r:id="rId7"/>
    <hyperlink xmlns:r="http://schemas.openxmlformats.org/officeDocument/2006/relationships" ref="E11" r:id="rId8"/>
    <hyperlink xmlns:r="http://schemas.openxmlformats.org/officeDocument/2006/relationships" ref="D12" r:id="rId9"/>
    <hyperlink xmlns:r="http://schemas.openxmlformats.org/officeDocument/2006/relationships" ref="E12" r:id="rId10"/>
    <hyperlink xmlns:r="http://schemas.openxmlformats.org/officeDocument/2006/relationships" ref="D13" r:id="rId11"/>
    <hyperlink xmlns:r="http://schemas.openxmlformats.org/officeDocument/2006/relationships" ref="E13" r:id="rId12"/>
    <hyperlink xmlns:r="http://schemas.openxmlformats.org/officeDocument/2006/relationships" ref="D14" r:id="rId13"/>
    <hyperlink xmlns:r="http://schemas.openxmlformats.org/officeDocument/2006/relationships" ref="E14" r:id="rId14"/>
    <hyperlink xmlns:r="http://schemas.openxmlformats.org/officeDocument/2006/relationships" ref="D15" r:id="rId15"/>
    <hyperlink xmlns:r="http://schemas.openxmlformats.org/officeDocument/2006/relationships" ref="E15" r:id="rId16"/>
    <hyperlink xmlns:r="http://schemas.openxmlformats.org/officeDocument/2006/relationships" ref="D16" r:id="rId17"/>
    <hyperlink xmlns:r="http://schemas.openxmlformats.org/officeDocument/2006/relationships" ref="E16" r:id="rId18"/>
    <hyperlink xmlns:r="http://schemas.openxmlformats.org/officeDocument/2006/relationships" ref="D18" r:id="rId19"/>
    <hyperlink xmlns:r="http://schemas.openxmlformats.org/officeDocument/2006/relationships" ref="E18" r:id="rId20"/>
    <hyperlink xmlns:r="http://schemas.openxmlformats.org/officeDocument/2006/relationships" ref="D19" r:id="rId21"/>
    <hyperlink xmlns:r="http://schemas.openxmlformats.org/officeDocument/2006/relationships" ref="E19" r:id="rId22"/>
    <hyperlink xmlns:r="http://schemas.openxmlformats.org/officeDocument/2006/relationships" ref="D20" r:id="rId23"/>
    <hyperlink xmlns:r="http://schemas.openxmlformats.org/officeDocument/2006/relationships" ref="E20" r:id="rId24"/>
    <hyperlink xmlns:r="http://schemas.openxmlformats.org/officeDocument/2006/relationships" ref="D21" r:id="rId25"/>
    <hyperlink xmlns:r="http://schemas.openxmlformats.org/officeDocument/2006/relationships" ref="E21" r:id="rId26"/>
    <hyperlink xmlns:r="http://schemas.openxmlformats.org/officeDocument/2006/relationships" ref="D22" r:id="rId27"/>
    <hyperlink xmlns:r="http://schemas.openxmlformats.org/officeDocument/2006/relationships" ref="E22" r:id="rId28"/>
    <hyperlink xmlns:r="http://schemas.openxmlformats.org/officeDocument/2006/relationships" ref="D24" r:id="rId29"/>
    <hyperlink xmlns:r="http://schemas.openxmlformats.org/officeDocument/2006/relationships" ref="E24" r:id="rId30"/>
    <hyperlink xmlns:r="http://schemas.openxmlformats.org/officeDocument/2006/relationships" ref="D25" r:id="rId31"/>
    <hyperlink xmlns:r="http://schemas.openxmlformats.org/officeDocument/2006/relationships" ref="E25" r:id="rId32"/>
    <hyperlink xmlns:r="http://schemas.openxmlformats.org/officeDocument/2006/relationships" ref="D26" r:id="rId33"/>
    <hyperlink xmlns:r="http://schemas.openxmlformats.org/officeDocument/2006/relationships" ref="E26" r:id="rId34"/>
    <hyperlink xmlns:r="http://schemas.openxmlformats.org/officeDocument/2006/relationships" ref="D27" r:id="rId35"/>
    <hyperlink xmlns:r="http://schemas.openxmlformats.org/officeDocument/2006/relationships" ref="E27" r:id="rId36"/>
    <hyperlink xmlns:r="http://schemas.openxmlformats.org/officeDocument/2006/relationships" ref="D28" r:id="rId37"/>
    <hyperlink xmlns:r="http://schemas.openxmlformats.org/officeDocument/2006/relationships" ref="E28" r:id="rId38"/>
    <hyperlink xmlns:r="http://schemas.openxmlformats.org/officeDocument/2006/relationships" ref="D29" r:id="rId39"/>
    <hyperlink xmlns:r="http://schemas.openxmlformats.org/officeDocument/2006/relationships" ref="D31" r:id="rId40"/>
    <hyperlink xmlns:r="http://schemas.openxmlformats.org/officeDocument/2006/relationships" ref="E31" r:id="rId41"/>
    <hyperlink xmlns:r="http://schemas.openxmlformats.org/officeDocument/2006/relationships" ref="D32" r:id="rId42"/>
    <hyperlink xmlns:r="http://schemas.openxmlformats.org/officeDocument/2006/relationships" ref="E32" r:id="rId43"/>
    <hyperlink xmlns:r="http://schemas.openxmlformats.org/officeDocument/2006/relationships" ref="D33" r:id="rId44"/>
    <hyperlink xmlns:r="http://schemas.openxmlformats.org/officeDocument/2006/relationships" ref="E33" r:id="rId45"/>
    <hyperlink xmlns:r="http://schemas.openxmlformats.org/officeDocument/2006/relationships" ref="D34" r:id="rId46"/>
    <hyperlink xmlns:r="http://schemas.openxmlformats.org/officeDocument/2006/relationships" ref="E34" r:id="rId47"/>
    <hyperlink xmlns:r="http://schemas.openxmlformats.org/officeDocument/2006/relationships" ref="D36" r:id="rId48"/>
    <hyperlink xmlns:r="http://schemas.openxmlformats.org/officeDocument/2006/relationships" ref="E36" r:id="rId49"/>
    <hyperlink xmlns:r="http://schemas.openxmlformats.org/officeDocument/2006/relationships" ref="D37" r:id="rId50"/>
    <hyperlink xmlns:r="http://schemas.openxmlformats.org/officeDocument/2006/relationships" ref="E37" r:id="rId51"/>
    <hyperlink xmlns:r="http://schemas.openxmlformats.org/officeDocument/2006/relationships" ref="D38" r:id="rId52"/>
    <hyperlink xmlns:r="http://schemas.openxmlformats.org/officeDocument/2006/relationships" ref="E38" r:id="rId53"/>
    <hyperlink xmlns:r="http://schemas.openxmlformats.org/officeDocument/2006/relationships" ref="D39" r:id="rId54"/>
    <hyperlink xmlns:r="http://schemas.openxmlformats.org/officeDocument/2006/relationships" ref="E39" r:id="rId55"/>
    <hyperlink xmlns:r="http://schemas.openxmlformats.org/officeDocument/2006/relationships" ref="D40" r:id="rId56"/>
    <hyperlink xmlns:r="http://schemas.openxmlformats.org/officeDocument/2006/relationships" ref="E40" r:id="rId57"/>
    <hyperlink xmlns:r="http://schemas.openxmlformats.org/officeDocument/2006/relationships" ref="D41" r:id="rId58"/>
    <hyperlink xmlns:r="http://schemas.openxmlformats.org/officeDocument/2006/relationships" ref="E41" r:id="rId59"/>
    <hyperlink xmlns:r="http://schemas.openxmlformats.org/officeDocument/2006/relationships" ref="D42" r:id="rId60"/>
    <hyperlink xmlns:r="http://schemas.openxmlformats.org/officeDocument/2006/relationships" ref="E42" r:id="rId61"/>
    <hyperlink xmlns:r="http://schemas.openxmlformats.org/officeDocument/2006/relationships" ref="D43" r:id="rId62"/>
    <hyperlink xmlns:r="http://schemas.openxmlformats.org/officeDocument/2006/relationships" ref="E43" r:id="rId63"/>
    <hyperlink xmlns:r="http://schemas.openxmlformats.org/officeDocument/2006/relationships" ref="D44" r:id="rId64"/>
    <hyperlink xmlns:r="http://schemas.openxmlformats.org/officeDocument/2006/relationships" ref="E44" r:id="rId65"/>
  </hyperlink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1E6B3A"/>
    <outlinePr summaryBelow="1" summaryRight="1"/>
    <pageSetUpPr fitToPage="1"/>
  </sheetPr>
  <dimension ref="A1:H34"/>
  <sheetViews>
    <sheetView showGridLines="0" zoomScale="11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4" customWidth="1" min="9" max="9"/>
  </cols>
  <sheetData>
    <row r="1" ht="34" customHeight="1">
      <c r="A1" s="39" t="inlineStr">
        <is>
          <t>Progress</t>
        </is>
      </c>
    </row>
    <row r="2">
      <c r="A2" s="18" t="inlineStr">
        <is>
          <t>This page fills itself in from your ratings. Nothing to type here except the yellow cells, if you want to change them.</t>
        </is>
      </c>
    </row>
    <row r="4" ht="44" customHeight="1">
      <c r="A4" s="49">
        <f>TEXT((COUNTIFS('Pure'!$D$7:$D$184,"R",'Pure'!$C$7:$C$184,"&gt;0")+COUNTIFS('Pure'!$D$7:$D$184,"A",'Pure'!$C$7:$C$184,"&gt;0")+COUNTIFS('Pure'!$D$7:$D$184,"G",'Pure'!$C$7:$C$184,"&gt;0"))/158,"0%")</f>
        <v/>
      </c>
      <c r="C4" s="50">
        <f>COUNTIFS('Pure'!$D$7:$D$184,"R",'Pure'!$C$7:$C$184,"&gt;0")</f>
        <v/>
      </c>
      <c r="D4" s="51" t="n"/>
      <c r="E4" s="52">
        <f>COUNTIFS('Pure'!$D$7:$D$184,"A",'Pure'!$C$7:$C$184,"&gt;0")</f>
        <v/>
      </c>
      <c r="F4" s="53" t="n"/>
      <c r="G4" s="54">
        <f>COUNTIFS('Pure'!$D$7:$D$184,"G",'Pure'!$C$7:$C$184,"&gt;0")</f>
        <v/>
      </c>
      <c r="H4" s="55" t="n"/>
    </row>
    <row r="5" ht="20" customHeight="1">
      <c r="A5" s="56" t="inlineStr">
        <is>
          <t>Topics rated (of 158)</t>
        </is>
      </c>
      <c r="C5" s="57" t="inlineStr">
        <is>
          <t>Red</t>
        </is>
      </c>
      <c r="D5" s="51" t="n"/>
      <c r="E5" s="58" t="inlineStr">
        <is>
          <t>Amber</t>
        </is>
      </c>
      <c r="F5" s="53" t="n"/>
      <c r="G5" s="59" t="inlineStr">
        <is>
          <t>Green</t>
        </is>
      </c>
      <c r="H5" s="55" t="n"/>
    </row>
    <row r="7">
      <c r="A7" s="3" t="inlineStr">
        <is>
          <t>Your practice plan</t>
        </is>
      </c>
    </row>
    <row r="8" ht="20" customHeight="1">
      <c r="A8" s="40" t="inlineStr">
        <is>
          <t>Rating</t>
        </is>
      </c>
      <c r="B8" s="41" t="inlineStr">
        <is>
          <t>Topics</t>
        </is>
      </c>
      <c r="C8" s="41" t="inlineStr">
        <is>
          <t>Qs each</t>
        </is>
      </c>
      <c r="D8" s="41" t="inlineStr">
        <is>
          <t>Qs total</t>
        </is>
      </c>
      <c r="E8" s="41" t="inlineStr">
        <is>
          <t>What to do</t>
        </is>
      </c>
    </row>
    <row r="9">
      <c r="A9" s="60" t="inlineStr">
        <is>
          <t>Red</t>
        </is>
      </c>
      <c r="B9" s="61">
        <f>COUNTIFS('Pure'!$D$7:$D$184,"R",'Pure'!$C$7:$C$184,"&gt;0")</f>
        <v/>
      </c>
      <c r="C9" s="62" t="n">
        <v>10</v>
      </c>
      <c r="D9" s="61">
        <f>B9*C9</f>
        <v/>
      </c>
      <c r="E9" s="63" t="inlineStr">
        <is>
          <t>Full worksheet, taught first</t>
        </is>
      </c>
    </row>
    <row r="10">
      <c r="A10" s="64" t="inlineStr">
        <is>
          <t>Amber</t>
        </is>
      </c>
      <c r="B10" s="61">
        <f>COUNTIFS('Pure'!$D$7:$D$184,"A",'Pure'!$C$7:$C$184,"&gt;0")</f>
        <v/>
      </c>
      <c r="C10" s="62" t="n">
        <v>5</v>
      </c>
      <c r="D10" s="61">
        <f>B10*C10</f>
        <v/>
      </c>
      <c r="E10" s="63" t="inlineStr">
        <is>
          <t>Practise until 3 right in a row</t>
        </is>
      </c>
    </row>
    <row r="11">
      <c r="A11" s="65" t="inlineStr">
        <is>
          <t>Green</t>
        </is>
      </c>
      <c r="B11" s="61">
        <f>COUNTIFS('Pure'!$D$7:$D$184,"G",'Pure'!$C$7:$C$184,"&gt;0")</f>
        <v/>
      </c>
      <c r="C11" s="62" t="n">
        <v>2</v>
      </c>
      <c r="D11" s="61">
        <f>B11*C11</f>
        <v/>
      </c>
      <c r="E11" s="63" t="inlineStr">
        <is>
          <t>2-question spot check</t>
        </is>
      </c>
    </row>
    <row r="12">
      <c r="A12" t="inlineStr">
        <is>
          <t>Not rated yet</t>
        </is>
      </c>
      <c r="B12" s="66">
        <f>COUNTIFS('Pure'!$D$7:$D$184,"",'Pure'!$C$7:$C$184,"&gt;0")</f>
        <v/>
      </c>
    </row>
    <row r="13">
      <c r="A13" s="19" t="inlineStr">
        <is>
          <t>Total questions</t>
        </is>
      </c>
      <c r="D13" s="67">
        <f>SUM(D9:D11)</f>
        <v/>
      </c>
    </row>
    <row r="14">
      <c r="A14" t="inlineStr">
        <is>
          <t>Minutes per question</t>
        </is>
      </c>
      <c r="D14" s="68" t="n">
        <v>6</v>
      </c>
    </row>
    <row r="15">
      <c r="A15" s="19" t="inlineStr">
        <is>
          <t>Hours of practice</t>
        </is>
      </c>
      <c r="D15" s="67">
        <f>ROUND(D13*D14/60,1)</f>
        <v/>
      </c>
    </row>
    <row r="16">
      <c r="A16" t="inlineStr">
        <is>
          <t>Chapter tests done</t>
        </is>
      </c>
      <c r="D16" s="66">
        <f>COUNTIF('Chapter tests'!$F$5:$F$45,"Done")&amp;" of 39"</f>
        <v/>
      </c>
    </row>
    <row r="18">
      <c r="A18" s="3" t="inlineStr">
        <is>
          <t>By year</t>
        </is>
      </c>
    </row>
    <row r="19" ht="20" customHeight="1">
      <c r="A19" s="40" t="inlineStr"/>
      <c r="B19" s="41" t="inlineStr">
        <is>
          <t>Topics</t>
        </is>
      </c>
      <c r="C19" s="41" t="inlineStr">
        <is>
          <t>Red</t>
        </is>
      </c>
      <c r="D19" s="41" t="inlineStr">
        <is>
          <t>Amber</t>
        </is>
      </c>
      <c r="E19" s="41" t="inlineStr">
        <is>
          <t>Green</t>
        </is>
      </c>
      <c r="F19" s="41" t="inlineStr">
        <is>
          <t>Not rated</t>
        </is>
      </c>
      <c r="G19" s="41" t="inlineStr">
        <is>
          <t>% Green</t>
        </is>
      </c>
    </row>
    <row r="20">
      <c r="A20" s="69" t="inlineStr">
        <is>
          <t>Year 1 (AS content)</t>
        </is>
      </c>
      <c r="B20" s="61">
        <f>COUNTIFS('Pure'!$C$7:$C$184,1)</f>
        <v/>
      </c>
      <c r="C20" s="61">
        <f>COUNTIFS('Pure'!$C$7:$C$184,1,'Pure'!$D$7:$D$184,"R")</f>
        <v/>
      </c>
      <c r="D20" s="61">
        <f>COUNTIFS('Pure'!$C$7:$C$184,1,'Pure'!$D$7:$D$184,"A")</f>
        <v/>
      </c>
      <c r="E20" s="61">
        <f>COUNTIFS('Pure'!$C$7:$C$184,1,'Pure'!$D$7:$D$184,"G")</f>
        <v/>
      </c>
      <c r="F20" s="61">
        <f>COUNTIFS('Pure'!$C$7:$C$184,1,'Pure'!$D$7:$D$184,"")</f>
        <v/>
      </c>
      <c r="G20" s="70">
        <f>IFERROR(E20/B20,0)</f>
        <v/>
      </c>
    </row>
    <row r="21">
      <c r="A21" s="69" t="inlineStr">
        <is>
          <t>Year 2</t>
        </is>
      </c>
      <c r="B21" s="61">
        <f>COUNTIFS('Pure'!$C$7:$C$184,2)</f>
        <v/>
      </c>
      <c r="C21" s="61">
        <f>COUNTIFS('Pure'!$C$7:$C$184,2,'Pure'!$D$7:$D$184,"R")</f>
        <v/>
      </c>
      <c r="D21" s="61">
        <f>COUNTIFS('Pure'!$C$7:$C$184,2,'Pure'!$D$7:$D$184,"A")</f>
        <v/>
      </c>
      <c r="E21" s="61">
        <f>COUNTIFS('Pure'!$C$7:$C$184,2,'Pure'!$D$7:$D$184,"G")</f>
        <v/>
      </c>
      <c r="F21" s="61">
        <f>COUNTIFS('Pure'!$C$7:$C$184,2,'Pure'!$D$7:$D$184,"")</f>
        <v/>
      </c>
      <c r="G21" s="70">
        <f>IFERROR(E21/B21,0)</f>
        <v/>
      </c>
    </row>
    <row r="23">
      <c r="A23" s="3" t="inlineStr">
        <is>
          <t>By topic area</t>
        </is>
      </c>
    </row>
    <row r="24" ht="20" customHeight="1">
      <c r="A24" s="40" t="inlineStr"/>
      <c r="B24" s="41" t="inlineStr">
        <is>
          <t>Topics</t>
        </is>
      </c>
      <c r="C24" s="41" t="inlineStr">
        <is>
          <t>Red</t>
        </is>
      </c>
      <c r="D24" s="41" t="inlineStr">
        <is>
          <t>Amber</t>
        </is>
      </c>
      <c r="E24" s="41" t="inlineStr">
        <is>
          <t>Green</t>
        </is>
      </c>
      <c r="F24" s="41" t="inlineStr">
        <is>
          <t>Not rated</t>
        </is>
      </c>
      <c r="G24" s="41" t="inlineStr">
        <is>
          <t>% Green</t>
        </is>
      </c>
    </row>
    <row r="25">
      <c r="A25" s="69" t="inlineStr">
        <is>
          <t>Pure 1: Proof</t>
        </is>
      </c>
      <c r="B25" s="61">
        <f>COUNTIFS('Pure'!$P$7:$P$184,"P1")</f>
        <v/>
      </c>
      <c r="C25" s="61">
        <f>COUNTIFS('Pure'!$P$7:$P$184,"P1",'Pure'!$D$7:$D$184,"R")</f>
        <v/>
      </c>
      <c r="D25" s="61">
        <f>COUNTIFS('Pure'!$P$7:$P$184,"P1",'Pure'!$D$7:$D$184,"A")</f>
        <v/>
      </c>
      <c r="E25" s="61">
        <f>COUNTIFS('Pure'!$P$7:$P$184,"P1",'Pure'!$D$7:$D$184,"G")</f>
        <v/>
      </c>
      <c r="F25" s="61">
        <f>COUNTIFS('Pure'!$P$7:$P$184,"P1",'Pure'!$D$7:$D$184,"")</f>
        <v/>
      </c>
      <c r="G25" s="70">
        <f>IFERROR(E25/B25,0)</f>
        <v/>
      </c>
    </row>
    <row r="26">
      <c r="A26" s="69" t="inlineStr">
        <is>
          <t>Pure 2: Algebra and functions</t>
        </is>
      </c>
      <c r="B26" s="61">
        <f>COUNTIFS('Pure'!$P$7:$P$184,"P2")</f>
        <v/>
      </c>
      <c r="C26" s="61">
        <f>COUNTIFS('Pure'!$P$7:$P$184,"P2",'Pure'!$D$7:$D$184,"R")</f>
        <v/>
      </c>
      <c r="D26" s="61">
        <f>COUNTIFS('Pure'!$P$7:$P$184,"P2",'Pure'!$D$7:$D$184,"A")</f>
        <v/>
      </c>
      <c r="E26" s="61">
        <f>COUNTIFS('Pure'!$P$7:$P$184,"P2",'Pure'!$D$7:$D$184,"G")</f>
        <v/>
      </c>
      <c r="F26" s="61">
        <f>COUNTIFS('Pure'!$P$7:$P$184,"P2",'Pure'!$D$7:$D$184,"")</f>
        <v/>
      </c>
      <c r="G26" s="70">
        <f>IFERROR(E26/B26,0)</f>
        <v/>
      </c>
    </row>
    <row r="27">
      <c r="A27" s="69" t="inlineStr">
        <is>
          <t>Pure 3: Coordinate geometry in the (x, y) plane</t>
        </is>
      </c>
      <c r="B27" s="61">
        <f>COUNTIFS('Pure'!$P$7:$P$184,"P3")</f>
        <v/>
      </c>
      <c r="C27" s="61">
        <f>COUNTIFS('Pure'!$P$7:$P$184,"P3",'Pure'!$D$7:$D$184,"R")</f>
        <v/>
      </c>
      <c r="D27" s="61">
        <f>COUNTIFS('Pure'!$P$7:$P$184,"P3",'Pure'!$D$7:$D$184,"A")</f>
        <v/>
      </c>
      <c r="E27" s="61">
        <f>COUNTIFS('Pure'!$P$7:$P$184,"P3",'Pure'!$D$7:$D$184,"G")</f>
        <v/>
      </c>
      <c r="F27" s="61">
        <f>COUNTIFS('Pure'!$P$7:$P$184,"P3",'Pure'!$D$7:$D$184,"")</f>
        <v/>
      </c>
      <c r="G27" s="70">
        <f>IFERROR(E27/B27,0)</f>
        <v/>
      </c>
    </row>
    <row r="28">
      <c r="A28" s="69" t="inlineStr">
        <is>
          <t>Pure 4: Sequences and series</t>
        </is>
      </c>
      <c r="B28" s="61">
        <f>COUNTIFS('Pure'!$P$7:$P$184,"P4")</f>
        <v/>
      </c>
      <c r="C28" s="61">
        <f>COUNTIFS('Pure'!$P$7:$P$184,"P4",'Pure'!$D$7:$D$184,"R")</f>
        <v/>
      </c>
      <c r="D28" s="61">
        <f>COUNTIFS('Pure'!$P$7:$P$184,"P4",'Pure'!$D$7:$D$184,"A")</f>
        <v/>
      </c>
      <c r="E28" s="61">
        <f>COUNTIFS('Pure'!$P$7:$P$184,"P4",'Pure'!$D$7:$D$184,"G")</f>
        <v/>
      </c>
      <c r="F28" s="61">
        <f>COUNTIFS('Pure'!$P$7:$P$184,"P4",'Pure'!$D$7:$D$184,"")</f>
        <v/>
      </c>
      <c r="G28" s="70">
        <f>IFERROR(E28/B28,0)</f>
        <v/>
      </c>
    </row>
    <row r="29">
      <c r="A29" s="69" t="inlineStr">
        <is>
          <t>Pure 5: Trigonometry</t>
        </is>
      </c>
      <c r="B29" s="61">
        <f>COUNTIFS('Pure'!$P$7:$P$184,"P5")</f>
        <v/>
      </c>
      <c r="C29" s="61">
        <f>COUNTIFS('Pure'!$P$7:$P$184,"P5",'Pure'!$D$7:$D$184,"R")</f>
        <v/>
      </c>
      <c r="D29" s="61">
        <f>COUNTIFS('Pure'!$P$7:$P$184,"P5",'Pure'!$D$7:$D$184,"A")</f>
        <v/>
      </c>
      <c r="E29" s="61">
        <f>COUNTIFS('Pure'!$P$7:$P$184,"P5",'Pure'!$D$7:$D$184,"G")</f>
        <v/>
      </c>
      <c r="F29" s="61">
        <f>COUNTIFS('Pure'!$P$7:$P$184,"P5",'Pure'!$D$7:$D$184,"")</f>
        <v/>
      </c>
      <c r="G29" s="70">
        <f>IFERROR(E29/B29,0)</f>
        <v/>
      </c>
    </row>
    <row r="30">
      <c r="A30" s="69" t="inlineStr">
        <is>
          <t>Pure 6: Exponentials and logarithms</t>
        </is>
      </c>
      <c r="B30" s="61">
        <f>COUNTIFS('Pure'!$P$7:$P$184,"P6")</f>
        <v/>
      </c>
      <c r="C30" s="61">
        <f>COUNTIFS('Pure'!$P$7:$P$184,"P6",'Pure'!$D$7:$D$184,"R")</f>
        <v/>
      </c>
      <c r="D30" s="61">
        <f>COUNTIFS('Pure'!$P$7:$P$184,"P6",'Pure'!$D$7:$D$184,"A")</f>
        <v/>
      </c>
      <c r="E30" s="61">
        <f>COUNTIFS('Pure'!$P$7:$P$184,"P6",'Pure'!$D$7:$D$184,"G")</f>
        <v/>
      </c>
      <c r="F30" s="61">
        <f>COUNTIFS('Pure'!$P$7:$P$184,"P6",'Pure'!$D$7:$D$184,"")</f>
        <v/>
      </c>
      <c r="G30" s="70">
        <f>IFERROR(E30/B30,0)</f>
        <v/>
      </c>
    </row>
    <row r="31">
      <c r="A31" s="69" t="inlineStr">
        <is>
          <t>Pure 7: Differentiation</t>
        </is>
      </c>
      <c r="B31" s="61">
        <f>COUNTIFS('Pure'!$P$7:$P$184,"P7")</f>
        <v/>
      </c>
      <c r="C31" s="61">
        <f>COUNTIFS('Pure'!$P$7:$P$184,"P7",'Pure'!$D$7:$D$184,"R")</f>
        <v/>
      </c>
      <c r="D31" s="61">
        <f>COUNTIFS('Pure'!$P$7:$P$184,"P7",'Pure'!$D$7:$D$184,"A")</f>
        <v/>
      </c>
      <c r="E31" s="61">
        <f>COUNTIFS('Pure'!$P$7:$P$184,"P7",'Pure'!$D$7:$D$184,"G")</f>
        <v/>
      </c>
      <c r="F31" s="61">
        <f>COUNTIFS('Pure'!$P$7:$P$184,"P7",'Pure'!$D$7:$D$184,"")</f>
        <v/>
      </c>
      <c r="G31" s="70">
        <f>IFERROR(E31/B31,0)</f>
        <v/>
      </c>
    </row>
    <row r="32">
      <c r="A32" s="69" t="inlineStr">
        <is>
          <t>Pure 8: Integration</t>
        </is>
      </c>
      <c r="B32" s="61">
        <f>COUNTIFS('Pure'!$P$7:$P$184,"P8")</f>
        <v/>
      </c>
      <c r="C32" s="61">
        <f>COUNTIFS('Pure'!$P$7:$P$184,"P8",'Pure'!$D$7:$D$184,"R")</f>
        <v/>
      </c>
      <c r="D32" s="61">
        <f>COUNTIFS('Pure'!$P$7:$P$184,"P8",'Pure'!$D$7:$D$184,"A")</f>
        <v/>
      </c>
      <c r="E32" s="61">
        <f>COUNTIFS('Pure'!$P$7:$P$184,"P8",'Pure'!$D$7:$D$184,"G")</f>
        <v/>
      </c>
      <c r="F32" s="61">
        <f>COUNTIFS('Pure'!$P$7:$P$184,"P8",'Pure'!$D$7:$D$184,"")</f>
        <v/>
      </c>
      <c r="G32" s="70">
        <f>IFERROR(E32/B32,0)</f>
        <v/>
      </c>
    </row>
    <row r="33">
      <c r="A33" s="69" t="inlineStr">
        <is>
          <t>Pure 9: Numerical methods</t>
        </is>
      </c>
      <c r="B33" s="61">
        <f>COUNTIFS('Pure'!$P$7:$P$184,"P9")</f>
        <v/>
      </c>
      <c r="C33" s="61">
        <f>COUNTIFS('Pure'!$P$7:$P$184,"P9",'Pure'!$D$7:$D$184,"R")</f>
        <v/>
      </c>
      <c r="D33" s="61">
        <f>COUNTIFS('Pure'!$P$7:$P$184,"P9",'Pure'!$D$7:$D$184,"A")</f>
        <v/>
      </c>
      <c r="E33" s="61">
        <f>COUNTIFS('Pure'!$P$7:$P$184,"P9",'Pure'!$D$7:$D$184,"G")</f>
        <v/>
      </c>
      <c r="F33" s="61">
        <f>COUNTIFS('Pure'!$P$7:$P$184,"P9",'Pure'!$D$7:$D$184,"")</f>
        <v/>
      </c>
      <c r="G33" s="70">
        <f>IFERROR(E33/B33,0)</f>
        <v/>
      </c>
    </row>
    <row r="34">
      <c r="A34" s="69" t="inlineStr">
        <is>
          <t>Pure 10: Vectors</t>
        </is>
      </c>
      <c r="B34" s="61">
        <f>COUNTIFS('Pure'!$P$7:$P$184,"P10")</f>
        <v/>
      </c>
      <c r="C34" s="61">
        <f>COUNTIFS('Pure'!$P$7:$P$184,"P10",'Pure'!$D$7:$D$184,"R")</f>
        <v/>
      </c>
      <c r="D34" s="61">
        <f>COUNTIFS('Pure'!$P$7:$P$184,"P10",'Pure'!$D$7:$D$184,"A")</f>
        <v/>
      </c>
      <c r="E34" s="61">
        <f>COUNTIFS('Pure'!$P$7:$P$184,"P10",'Pure'!$D$7:$D$184,"G")</f>
        <v/>
      </c>
      <c r="F34" s="61">
        <f>COUNTIFS('Pure'!$P$7:$P$184,"P10",'Pure'!$D$7:$D$184,"")</f>
        <v/>
      </c>
      <c r="G34" s="70">
        <f>IFERROR(E34/B34,0)</f>
        <v/>
      </c>
    </row>
  </sheetData>
  <mergeCells count="8">
    <mergeCell ref="G4:H4"/>
    <mergeCell ref="E4:F4"/>
    <mergeCell ref="A4"/>
    <mergeCell ref="C5:D5"/>
    <mergeCell ref="G5:H5"/>
    <mergeCell ref="E5:F5"/>
    <mergeCell ref="A5"/>
    <mergeCell ref="C4:D4"/>
  </mergeCells>
  <conditionalFormatting sqref="C20:C21">
    <cfRule type="cellIs" priority="1" operator="greaterThan" dxfId="6">
      <formula>0</formula>
    </cfRule>
  </conditionalFormatting>
  <conditionalFormatting sqref="D20:D21">
    <cfRule type="cellIs" priority="2" operator="greaterThan" dxfId="7">
      <formula>0</formula>
    </cfRule>
  </conditionalFormatting>
  <conditionalFormatting sqref="E20:E21">
    <cfRule type="cellIs" priority="3" operator="greaterThan" dxfId="8">
      <formula>0</formula>
    </cfRule>
  </conditionalFormatting>
  <conditionalFormatting sqref="G20:G21">
    <cfRule type="dataBar" priority="4">
      <dataBar>
        <cfvo type="num" val="0"/>
        <cfvo type="num" val="1"/>
        <color rgb="0063BE7B"/>
      </dataBar>
    </cfRule>
  </conditionalFormatting>
  <conditionalFormatting sqref="C25:C34">
    <cfRule type="cellIs" priority="5" operator="greaterThan" dxfId="6">
      <formula>0</formula>
    </cfRule>
  </conditionalFormatting>
  <conditionalFormatting sqref="D25:D34">
    <cfRule type="cellIs" priority="6" operator="greaterThan" dxfId="7">
      <formula>0</formula>
    </cfRule>
  </conditionalFormatting>
  <conditionalFormatting sqref="E25:E34">
    <cfRule type="cellIs" priority="7" operator="greaterThan" dxfId="8">
      <formula>0</formula>
    </cfRule>
  </conditionalFormatting>
  <conditionalFormatting sqref="G25:G34">
    <cfRule type="dataBar" priority="8">
      <dataBar>
        <cfvo type="num" val="0"/>
        <cfvo type="num" val="1"/>
        <color rgb="0063BE7B"/>
      </dataBar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2026-09-24T09:53:52Z</dcterms:created>
  <dcterms:modified xsi:type="dcterms:W3CDTF">2026-09-24T09:53:53Z</dcterms:modified>
</cp:coreProperties>
</file>