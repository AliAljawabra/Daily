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tatistics" sheetId="2" state="visible" r:id="rId2"/>
    <sheet name="Chapter tests" sheetId="3" state="visible" r:id="rId3"/>
    <sheet name="Progress" sheetId="4" state="visible" r:id="rId4"/>
  </sheets>
  <definedNames>
    <definedName name="_xlnm.Print_Titles" localSheetId="1">'Statistics'!$6:$6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Y&quot;0"/>
  </numFmts>
  <fonts count="36">
    <font>
      <name val="Calibri"/>
      <family val="2"/>
      <color theme="1"/>
      <sz val="11"/>
      <scheme val="minor"/>
    </font>
    <font>
      <name val="Calibri"/>
      <b val="1"/>
      <color rgb="000C8599"/>
      <sz val="22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FFFFFF"/>
      <sz val="10"/>
    </font>
    <font>
      <name val="Calibri"/>
      <b val="1"/>
      <color rgb="000C8599"/>
      <sz val="13"/>
    </font>
    <font>
      <name val="Calibri"/>
      <color rgb="006B7280"/>
      <sz val="10"/>
    </font>
    <font>
      <name val="Calibri"/>
      <color rgb="006B7280"/>
      <sz val="9"/>
    </font>
    <font>
      <name val="Calibri"/>
      <color rgb="001F2937"/>
      <sz val="11"/>
    </font>
    <font>
      <name val="Calibri"/>
      <b val="1"/>
      <color rgb="001F2937"/>
      <sz val="12"/>
    </font>
    <font>
      <name val="Calibri"/>
      <color rgb="001F2937"/>
      <sz val="10"/>
    </font>
    <font>
      <name val="Calibri"/>
      <color rgb="001D4ED8"/>
      <sz val="10"/>
    </font>
    <font>
      <name val="Calibri"/>
      <i val="1"/>
      <color rgb="009CA3AF"/>
      <sz val="10"/>
    </font>
    <font>
      <name val="Calibri"/>
      <i val="1"/>
      <color rgb="009CA3AF"/>
      <sz val="9"/>
    </font>
    <font>
      <name val="Calibri"/>
      <b val="1"/>
      <color rgb="000C8599"/>
      <sz val="9"/>
    </font>
    <font>
      <name val="Calibri"/>
      <b val="1"/>
      <color rgb="001F2937"/>
      <sz val="11"/>
    </font>
    <font>
      <name val="Calibri"/>
      <b val="1"/>
      <color rgb="001F2937"/>
      <sz val="22"/>
    </font>
    <font>
      <name val="Calibri"/>
      <b val="1"/>
      <color rgb="001F2937"/>
      <sz val="10"/>
    </font>
    <font>
      <name val="Calibri"/>
      <b val="1"/>
      <color rgb="001F2937"/>
      <sz val="26"/>
    </font>
    <font>
      <name val="Calibri"/>
      <b val="1"/>
      <color rgb="009B1C1C"/>
      <sz val="26"/>
    </font>
    <font>
      <name val="Calibri"/>
      <b val="1"/>
      <color rgb="009B1C1C"/>
      <sz val="10"/>
    </font>
    <font>
      <name val="Calibri"/>
      <b val="1"/>
      <color rgb="008A4B00"/>
      <sz val="26"/>
    </font>
    <font>
      <name val="Calibri"/>
      <b val="1"/>
      <color rgb="008A4B00"/>
      <sz val="10"/>
    </font>
    <font>
      <name val="Calibri"/>
      <b val="1"/>
      <color rgb="001E6B3A"/>
      <sz val="26"/>
    </font>
    <font>
      <name val="Calibri"/>
      <b val="1"/>
      <color rgb="001E6B3A"/>
      <sz val="10"/>
    </font>
    <font>
      <name val="Calibri"/>
      <b val="1"/>
      <color rgb="001F2937"/>
      <sz val="14"/>
    </font>
    <font>
      <name val="Calibri"/>
      <b val="1"/>
      <color rgb="009B1C1C"/>
      <sz val="11"/>
    </font>
    <font>
      <name val="Calibri"/>
      <b val="1"/>
      <color rgb="008A4B00"/>
      <sz val="11"/>
    </font>
    <font>
      <name val="Calibri"/>
      <b val="1"/>
      <color rgb="001E6B3A"/>
      <sz val="11"/>
    </font>
    <font>
      <name val="Calibri"/>
      <b val="1"/>
      <color rgb="001F2937"/>
      <sz val="24"/>
    </font>
    <font>
      <name val="Calibri"/>
      <color rgb="006B7280"/>
      <sz val="12"/>
    </font>
    <font>
      <name val="Calibri"/>
      <b val="1"/>
      <color rgb="00FFFFFF"/>
      <sz val="16"/>
    </font>
    <font>
      <name val="Calibri"/>
      <b val="1"/>
      <color rgb="009B1C1C"/>
      <sz val="12"/>
    </font>
    <font>
      <name val="Calibri"/>
      <b val="1"/>
      <color rgb="008A4B00"/>
      <sz val="12"/>
    </font>
    <font>
      <name val="Calibri"/>
      <b val="1"/>
      <color rgb="001E6B3A"/>
      <sz val="12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0C8599"/>
      </patternFill>
    </fill>
    <fill>
      <patternFill patternType="solid">
        <fgColor rgb="00E3F5F7"/>
      </patternFill>
    </fill>
    <fill>
      <patternFill patternType="solid">
        <fgColor rgb="00FFFBEA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AD4D4"/>
      </patternFill>
    </fill>
    <fill>
      <patternFill patternType="solid">
        <fgColor rgb="00FFE4C2"/>
      </patternFill>
    </fill>
    <fill>
      <patternFill patternType="solid">
        <fgColor rgb="00D4F0DC"/>
      </patternFill>
    </fill>
    <fill>
      <patternFill patternType="solid">
        <fgColor rgb="006B7280"/>
      </patternFill>
    </fill>
    <fill>
      <patternFill patternType="solid">
        <fgColor rgb="001E6B3A"/>
      </patternFill>
    </fill>
  </fills>
  <borders count="5">
    <border>
      <left/>
      <right/>
      <top/>
      <bottom/>
      <diagonal/>
    </border>
    <border>
      <bottom style="thin">
        <color rgb="00C7CDD6"/>
      </bottom>
    </border>
    <border>
      <top style="medium">
        <color rgb="000C8599"/>
      </top>
      <bottom style="thin">
        <color rgb="000C8599"/>
      </bottom>
    </border>
    <border>
      <left style="thin">
        <color rgb="00E9D98B"/>
      </left>
      <right style="thin">
        <color rgb="00E9D98B"/>
      </right>
      <top style="thin">
        <color rgb="00F3E8B0"/>
      </top>
      <bottom style="thin">
        <color rgb="00F3E8B0"/>
      </bottom>
    </border>
    <border>
      <bottom style="thin">
        <color rgb="00E5E7EB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5" fillId="0" borderId="0" pivotButton="0" quotePrefix="0" xfId="0"/>
    <xf numFmtId="0" fontId="31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2" fillId="7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/>
    </xf>
    <xf numFmtId="0" fontId="33" fillId="8" borderId="0" applyAlignment="1" pivotButton="0" quotePrefix="0" xfId="0">
      <alignment vertical="center" indent="1"/>
    </xf>
    <xf numFmtId="0" fontId="34" fillId="9" borderId="0" applyAlignment="1" pivotButton="0" quotePrefix="0" xfId="0">
      <alignment vertical="center" indent="1"/>
    </xf>
    <xf numFmtId="0" fontId="35" fillId="2" borderId="0" applyAlignment="1" pivotButton="0" quotePrefix="0" xfId="0">
      <alignment vertical="center" indent="1"/>
    </xf>
    <xf numFmtId="0" fontId="35" fillId="10" borderId="0" applyAlignment="1" pivotButton="0" quotePrefix="0" xfId="0">
      <alignment vertical="center" indent="1"/>
    </xf>
    <xf numFmtId="0" fontId="35" fillId="11" borderId="0" applyAlignment="1" pivotButton="0" quotePrefix="0" xfId="0">
      <alignment vertical="center" inden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 wrapText="1"/>
    </xf>
    <xf numFmtId="164" fontId="7" fillId="0" borderId="4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 wrapText="1"/>
    </xf>
    <xf numFmtId="0" fontId="0" fillId="0" borderId="4" pivotButton="0" quotePrefix="0" xfId="0"/>
    <xf numFmtId="0" fontId="1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14" fillId="0" borderId="4" applyAlignment="1" pivotButton="0" quotePrefix="0" xfId="0">
      <alignment horizontal="center" vertical="center"/>
    </xf>
    <xf numFmtId="0" fontId="16" fillId="0" borderId="0" pivotButton="0" quotePrefix="0" xfId="0"/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3" borderId="2" pivotButton="0" quotePrefix="0" xfId="0"/>
    <xf numFmtId="0" fontId="0" fillId="3" borderId="2" pivotButton="0" quotePrefix="0" xfId="0"/>
    <xf numFmtId="0" fontId="6" fillId="3" borderId="2" pivotButton="0" quotePrefix="0" xfId="0"/>
    <xf numFmtId="0" fontId="7" fillId="0" borderId="4" applyAlignment="1" pivotButton="0" quotePrefix="0" xfId="0">
      <alignment vertical="center" wrapText="1"/>
    </xf>
    <xf numFmtId="0" fontId="17" fillId="4" borderId="0" applyAlignment="1" pivotButton="0" quotePrefix="0" xfId="0">
      <alignment horizontal="center" vertical="center"/>
    </xf>
    <xf numFmtId="0" fontId="17" fillId="0" borderId="4" applyAlignment="1" pivotButton="0" quotePrefix="0" xfId="0">
      <alignment vertical="center" wrapText="1"/>
    </xf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2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7" fillId="6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6" fillId="7" borderId="4" pivotButton="0" quotePrefix="0" xfId="0"/>
    <xf numFmtId="0" fontId="0" fillId="0" borderId="4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6" fillId="0" borderId="4" pivotButton="0" quotePrefix="0" xfId="0"/>
    <xf numFmtId="0" fontId="27" fillId="8" borderId="4" pivotButton="0" quotePrefix="0" xfId="0"/>
    <xf numFmtId="0" fontId="28" fillId="9" borderId="4" pivotButton="0" quotePrefix="0" xfId="0"/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8" fillId="0" borderId="4" pivotButton="0" quotePrefix="0" xfId="0"/>
    <xf numFmtId="9" fontId="0" fillId="0" borderId="4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9B1C1C"/>
      </font>
      <fill>
        <patternFill patternType="solid">
          <fgColor rgb="00FAD4D4"/>
        </patternFill>
      </fill>
    </dxf>
    <dxf>
      <font>
        <b val="1"/>
        <color rgb="008A4B00"/>
      </font>
      <fill>
        <patternFill patternType="solid">
          <fgColor rgb="00FFE4C2"/>
        </patternFill>
      </fill>
    </dxf>
    <dxf>
      <font>
        <b val="1"/>
        <color rgb="001E6B3A"/>
      </font>
      <fill>
        <patternFill patternType="solid">
          <fgColor rgb="00D4F0DC"/>
        </patternFill>
      </fill>
    </dxf>
    <dxf>
      <fill>
        <patternFill patternType="solid">
          <fgColor rgb="00FAD4D4"/>
        </patternFill>
      </fill>
    </dxf>
    <dxf>
      <fill>
        <patternFill patternType="solid">
          <fgColor rgb="00FFE4C2"/>
        </patternFill>
      </fill>
    </dxf>
    <dxf>
      <fill>
        <patternFill patternType="solid">
          <fgColor rgb="00D4F0DC"/>
        </patternFill>
      </fill>
    </dxf>
    <dxf>
      <font>
        <color rgb="009B1C1C"/>
      </font>
      <fill>
        <patternFill patternType="solid">
          <fgColor rgb="00FAD4D4"/>
        </patternFill>
      </fill>
    </dxf>
    <dxf>
      <font>
        <color rgb="008A4B00"/>
      </font>
      <fill>
        <patternFill patternType="solid">
          <fgColor rgb="00FFE4C2"/>
        </patternFill>
      </fill>
    </dxf>
    <dxf>
      <font>
        <color rgb="001E6B3A"/>
      </font>
      <fill>
        <patternFill patternType="solid">
          <fgColor rgb="00D4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Ratings by topic area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'Progress'!C24</f>
            </strRef>
          </tx>
          <spPr>
            <a:solidFill>
              <a:srgbClr val="E57373"/>
            </a:solidFill>
            <a:ln>
              <a:solidFill>
                <a:srgbClr val="E57373"/>
              </a:solidFill>
              <a:prstDash val="solid"/>
            </a:ln>
          </spPr>
          <cat>
            <numRef>
              <f>'Progress'!$A$25:$A$29</f>
            </numRef>
          </cat>
          <val>
            <numRef>
              <f>'Progress'!$C$25:$C$29</f>
            </numRef>
          </val>
        </ser>
        <ser>
          <idx val="1"/>
          <order val="1"/>
          <tx>
            <strRef>
              <f>'Progress'!D24</f>
            </strRef>
          </tx>
          <spPr>
            <a:solidFill>
              <a:srgbClr val="F6AE5B"/>
            </a:solidFill>
            <a:ln>
              <a:solidFill>
                <a:srgbClr val="F6AE5B"/>
              </a:solidFill>
              <a:prstDash val="solid"/>
            </a:ln>
          </spPr>
          <cat>
            <numRef>
              <f>'Progress'!$A$25:$A$29</f>
            </numRef>
          </cat>
          <val>
            <numRef>
              <f>'Progress'!$D$25:$D$29</f>
            </numRef>
          </val>
        </ser>
        <ser>
          <idx val="2"/>
          <order val="2"/>
          <tx>
            <strRef>
              <f>'Progress'!E24</f>
            </strRef>
          </tx>
          <spPr>
            <a:solidFill>
              <a:srgbClr val="5DBB7A"/>
            </a:solidFill>
            <a:ln>
              <a:solidFill>
                <a:srgbClr val="5DBB7A"/>
              </a:solidFill>
              <a:prstDash val="solid"/>
            </a:ln>
          </spPr>
          <cat>
            <numRef>
              <f>'Progress'!$A$25:$A$29</f>
            </numRef>
          </cat>
          <val>
            <numRef>
              <f>'Progress'!$E$25:$E$29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23</row>
      <rowOff>0</rowOff>
    </from>
    <ext cx="5760000" cy="255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thsgenie.co.uk/a-level/maths/edexcel/as-statistics-populations-and-samples" TargetMode="External" Id="rId1" /><Relationship Type="http://schemas.openxmlformats.org/officeDocument/2006/relationships/hyperlink" Target="https://assets.mathsgenie.co.uk/content/worksheets/as_level_maths/data-collection-6dc9d8e3.pdf" TargetMode="External" Id="rId2" /><Relationship Type="http://schemas.openxmlformats.org/officeDocument/2006/relationships/hyperlink" Target="https://assets.mathsgenie.co.uk/content/worksheets/as_level_maths/data-collection-ans-6283f14d.pdf" TargetMode="External" Id="rId3" /><Relationship Type="http://schemas.openxmlformats.org/officeDocument/2006/relationships/hyperlink" Target="https://mathsgenie.co.uk/a-level/maths/edexcel/as-statistics-sampling" TargetMode="External" Id="rId4" /><Relationship Type="http://schemas.openxmlformats.org/officeDocument/2006/relationships/hyperlink" Target="https://assets.mathsgenie.co.uk/content/worksheets/a_level_maths/as-stats-sampling-ac589b09.pdf" TargetMode="External" Id="rId5" /><Relationship Type="http://schemas.openxmlformats.org/officeDocument/2006/relationships/hyperlink" Target="https://assets.mathsgenie.co.uk/content/worksheets/a_level_maths/as-stats-sampling-ans-43791cab.pdf" TargetMode="External" Id="rId6" /><Relationship Type="http://schemas.openxmlformats.org/officeDocument/2006/relationships/hyperlink" Target="https://pmt.physicsandmathstutor.com/download/Maths/A-level/Statistics/Statistical-Sampling-1/Edexcel-Set-C/QP/Sampling%20QP.pdf" TargetMode="External" Id="rId7" /><Relationship Type="http://schemas.openxmlformats.org/officeDocument/2006/relationships/hyperlink" Target="https://pmt.physicsandmathstutor.com/download/Maths/A-level/Statistics/Statistical-Sampling-1/Edexcel-Set-C/MS/Sampling%20MS.pdf" TargetMode="External" Id="rId8" /><Relationship Type="http://schemas.openxmlformats.org/officeDocument/2006/relationships/hyperlink" Target="https://pmt.physicsandmathstutor.com/download/Maths/A-level/Statistics/Statistical-Sampling-1/Edexcel-Set-C/MA/Sampling%20MA.pdf" TargetMode="External" Id="rId9" /><Relationship Type="http://schemas.openxmlformats.org/officeDocument/2006/relationships/hyperlink" Target="https://mathsgenie.co.uk/a-level/maths/edexcel/as-statistics-non-random-sampling" TargetMode="External" Id="rId10" /><Relationship Type="http://schemas.openxmlformats.org/officeDocument/2006/relationships/hyperlink" Target="https://assets.mathsgenie.co.uk/content/worksheets/as_level_maths/data-collection-6dc9d8e3.pdf" TargetMode="External" Id="rId11" /><Relationship Type="http://schemas.openxmlformats.org/officeDocument/2006/relationships/hyperlink" Target="https://assets.mathsgenie.co.uk/content/worksheets/as_level_maths/data-collection-ans-6283f14d.pdf" TargetMode="External" Id="rId12" /><Relationship Type="http://schemas.openxmlformats.org/officeDocument/2006/relationships/hyperlink" Target="https://pmt.physicsandmathstutor.com/download/Maths/A-level/Statistics/Statistical-Sampling-1/Edexcel-Set-C/QP/Sampling%20QP.pdf" TargetMode="External" Id="rId13" /><Relationship Type="http://schemas.openxmlformats.org/officeDocument/2006/relationships/hyperlink" Target="https://pmt.physicsandmathstutor.com/download/Maths/A-level/Statistics/Statistical-Sampling-1/Edexcel-Set-C/MS/Sampling%20MS.pdf" TargetMode="External" Id="rId14" /><Relationship Type="http://schemas.openxmlformats.org/officeDocument/2006/relationships/hyperlink" Target="https://pmt.physicsandmathstutor.com/download/Maths/A-level/Statistics/Statistical-Sampling-1/Edexcel-Set-C/MA/Sampling%20MA.pdf" TargetMode="External" Id="rId15" /><Relationship Type="http://schemas.openxmlformats.org/officeDocument/2006/relationships/hyperlink" Target="https://mathsgenie.co.uk/a-level/maths/edexcel/as-statistics-types-of-data" TargetMode="External" Id="rId16" /><Relationship Type="http://schemas.openxmlformats.org/officeDocument/2006/relationships/hyperlink" Target="https://assets.mathsgenie.co.uk/content/worksheets/as_level_maths/data-collection-6dc9d8e3.pdf" TargetMode="External" Id="rId17" /><Relationship Type="http://schemas.openxmlformats.org/officeDocument/2006/relationships/hyperlink" Target="https://assets.mathsgenie.co.uk/content/worksheets/as_level_maths/data-collection-ans-6283f14d.pdf" TargetMode="External" Id="rId18" /><Relationship Type="http://schemas.openxmlformats.org/officeDocument/2006/relationships/hyperlink" Target="https://mathsgenie.co.uk/a-level/maths/edexcel/as-statistics-measures-of-central-tendency" TargetMode="External" Id="rId19" /><Relationship Type="http://schemas.openxmlformats.org/officeDocument/2006/relationships/hyperlink" Target="https://assets.mathsgenie.co.uk/content/worksheets/as_level_maths/measures-of-location-and-spread-0f1d8677.pdf" TargetMode="External" Id="rId20" /><Relationship Type="http://schemas.openxmlformats.org/officeDocument/2006/relationships/hyperlink" Target="https://assets.mathsgenie.co.uk/content/worksheets/as_level_maths/measures-of-location-and-spread-ans-ce4aaea3.pdf" TargetMode="External" Id="rId21" /><Relationship Type="http://schemas.openxmlformats.org/officeDocument/2006/relationships/hyperlink" Target="https://pmt.physicsandmathstutor.com/download/Maths/A-level/Statistics/Data-Presentation-and-Interpretation-1/Edexcel-Set-C/QP/Data%20Presentation%20and%20Interpretation%20QP.pdf" TargetMode="External" Id="rId22" /><Relationship Type="http://schemas.openxmlformats.org/officeDocument/2006/relationships/hyperlink" Target="https://pmt.physicsandmathstutor.com/download/Maths/A-level/Statistics/Data-Presentation-and-Interpretation-1/Edexcel-Set-C/MS/Data%20Presentation%20and%20Interpretation%20MS.pdf" TargetMode="External" Id="rId23" /><Relationship Type="http://schemas.openxmlformats.org/officeDocument/2006/relationships/hyperlink" Target="https://pmt.physicsandmathstutor.com/download/Maths/A-level/Statistics/Data-Presentation-and-Interpretation-1/Edexcel-Set-C/MA/Data%20Presentation%20and%20Interpretation%20MA.pdf" TargetMode="External" Id="rId24" /><Relationship Type="http://schemas.openxmlformats.org/officeDocument/2006/relationships/hyperlink" Target="https://www.yesterdaysmathsexam.com/_files/ugd/1ba96f_90891fdca7714ce88ac6d9323a9c1770.pdf" TargetMode="External" Id="rId25" /><Relationship Type="http://schemas.openxmlformats.org/officeDocument/2006/relationships/hyperlink" Target="https://www.yesterdaysmathsexam.com/_files/ugd/1ba96f_65f81240f9db4d2285c1202ff209a6f4.pdf" TargetMode="External" Id="rId26" /><Relationship Type="http://schemas.openxmlformats.org/officeDocument/2006/relationships/hyperlink" Target="https://mathsgenie.co.uk/a-level/maths/edexcel/as-statistics-other-measures-of-location" TargetMode="External" Id="rId27" /><Relationship Type="http://schemas.openxmlformats.org/officeDocument/2006/relationships/hyperlink" Target="https://assets.mathsgenie.co.uk/content/worksheets/as_level_maths/measures-of-location-and-spread-0f1d8677.pdf" TargetMode="External" Id="rId28" /><Relationship Type="http://schemas.openxmlformats.org/officeDocument/2006/relationships/hyperlink" Target="https://assets.mathsgenie.co.uk/content/worksheets/as_level_maths/measures-of-location-and-spread-ans-ce4aaea3.pdf" TargetMode="External" Id="rId29" /><Relationship Type="http://schemas.openxmlformats.org/officeDocument/2006/relationships/hyperlink" Target="https://pmt.physicsandmathstutor.com/download/Maths/A-level/Statistics/Data-Presentation-and-Interpretation-1/Edexcel-Set-C/QP/Data%20Presentation%20and%20Interpretation%20QP.pdf" TargetMode="External" Id="rId30" /><Relationship Type="http://schemas.openxmlformats.org/officeDocument/2006/relationships/hyperlink" Target="https://pmt.physicsandmathstutor.com/download/Maths/A-level/Statistics/Data-Presentation-and-Interpretation-1/Edexcel-Set-C/MS/Data%20Presentation%20and%20Interpretation%20MS.pdf" TargetMode="External" Id="rId31" /><Relationship Type="http://schemas.openxmlformats.org/officeDocument/2006/relationships/hyperlink" Target="https://pmt.physicsandmathstutor.com/download/Maths/A-level/Statistics/Data-Presentation-and-Interpretation-1/Edexcel-Set-C/MA/Data%20Presentation%20and%20Interpretation%20MA.pdf" TargetMode="External" Id="rId32" /><Relationship Type="http://schemas.openxmlformats.org/officeDocument/2006/relationships/hyperlink" Target="https://www.yesterdaysmathsexam.com/_files/ugd/1ba96f_90891fdca7714ce88ac6d9323a9c1770.pdf" TargetMode="External" Id="rId33" /><Relationship Type="http://schemas.openxmlformats.org/officeDocument/2006/relationships/hyperlink" Target="https://www.yesterdaysmathsexam.com/_files/ugd/1ba96f_65f81240f9db4d2285c1202ff209a6f4.pdf" TargetMode="External" Id="rId34" /><Relationship Type="http://schemas.openxmlformats.org/officeDocument/2006/relationships/hyperlink" Target="https://mathsgenie.co.uk/a-level/maths/edexcel/as-statistics-variance-and-standard-deviation" TargetMode="External" Id="rId35" /><Relationship Type="http://schemas.openxmlformats.org/officeDocument/2006/relationships/hyperlink" Target="https://assets.mathsgenie.co.uk/content/worksheets/a_level_maths/as-stats-interpolation-and-standard-deviation-4b9a2461.pdf" TargetMode="External" Id="rId36" /><Relationship Type="http://schemas.openxmlformats.org/officeDocument/2006/relationships/hyperlink" Target="https://assets.mathsgenie.co.uk/content/worksheets/a_level_maths/as-stats-interpolation-and-standard-deviation-ans-e62ef8f9.pdf" TargetMode="External" Id="rId37" /><Relationship Type="http://schemas.openxmlformats.org/officeDocument/2006/relationships/hyperlink" Target="https://pmt.physicsandmathstutor.com/download/Maths/A-level/Statistics/Data-Presentation-and-Interpretation-1/Edexcel-Set-C/QP/Data%20Presentation%20and%20Interpretation%20QP.pdf" TargetMode="External" Id="rId38" /><Relationship Type="http://schemas.openxmlformats.org/officeDocument/2006/relationships/hyperlink" Target="https://pmt.physicsandmathstutor.com/download/Maths/A-level/Statistics/Data-Presentation-and-Interpretation-1/Edexcel-Set-C/MS/Data%20Presentation%20and%20Interpretation%20MS.pdf" TargetMode="External" Id="rId39" /><Relationship Type="http://schemas.openxmlformats.org/officeDocument/2006/relationships/hyperlink" Target="https://pmt.physicsandmathstutor.com/download/Maths/A-level/Statistics/Data-Presentation-and-Interpretation-1/Edexcel-Set-C/MA/Data%20Presentation%20and%20Interpretation%20MA.pdf" TargetMode="External" Id="rId40" /><Relationship Type="http://schemas.openxmlformats.org/officeDocument/2006/relationships/hyperlink" Target="https://www.yesterdaysmathsexam.com/_files/ugd/1ba96f_90891fdca7714ce88ac6d9323a9c1770.pdf" TargetMode="External" Id="rId41" /><Relationship Type="http://schemas.openxmlformats.org/officeDocument/2006/relationships/hyperlink" Target="https://www.yesterdaysmathsexam.com/_files/ugd/1ba96f_65f81240f9db4d2285c1202ff209a6f4.pdf" TargetMode="External" Id="rId42" /><Relationship Type="http://schemas.openxmlformats.org/officeDocument/2006/relationships/hyperlink" Target="https://mathsgenie.co.uk/a-level/maths/edexcel/as-statistics-coding" TargetMode="External" Id="rId43" /><Relationship Type="http://schemas.openxmlformats.org/officeDocument/2006/relationships/hyperlink" Target="https://assets.mathsgenie.co.uk/content/worksheets/as_level_maths/measures-of-location-and-spread-0f1d8677.pdf" TargetMode="External" Id="rId44" /><Relationship Type="http://schemas.openxmlformats.org/officeDocument/2006/relationships/hyperlink" Target="https://assets.mathsgenie.co.uk/content/worksheets/as_level_maths/measures-of-location-and-spread-ans-ce4aaea3.pdf" TargetMode="External" Id="rId45" /><Relationship Type="http://schemas.openxmlformats.org/officeDocument/2006/relationships/hyperlink" Target="https://pmt.physicsandmathstutor.com/download/Maths/A-level/Statistics/Data-Presentation-and-Interpretation-1/Edexcel-Set-C/QP/Large%20data%20sets%20QP.pdf" TargetMode="External" Id="rId46" /><Relationship Type="http://schemas.openxmlformats.org/officeDocument/2006/relationships/hyperlink" Target="https://pmt.physicsandmathstutor.com/download/Maths/A-level/Statistics/Data-Presentation-and-Interpretation-1/Edexcel-Set-C/MS/Large%20data%20sets%20MS.pdf" TargetMode="External" Id="rId47" /><Relationship Type="http://schemas.openxmlformats.org/officeDocument/2006/relationships/hyperlink" Target="https://pmt.physicsandmathstutor.com/download/Maths/A-level/Statistics/Data-Presentation-and-Interpretation-1/Edexcel-Set-C/MA/Large%20data%20sets%20MA.pdf" TargetMode="External" Id="rId48" /><Relationship Type="http://schemas.openxmlformats.org/officeDocument/2006/relationships/hyperlink" Target="https://www.yesterdaysmathsexam.com/_files/ugd/1ba96f_90891fdca7714ce88ac6d9323a9c1770.pdf" TargetMode="External" Id="rId49" /><Relationship Type="http://schemas.openxmlformats.org/officeDocument/2006/relationships/hyperlink" Target="https://www.yesterdaysmathsexam.com/_files/ugd/1ba96f_65f81240f9db4d2285c1202ff209a6f4.pdf" TargetMode="External" Id="rId50" /><Relationship Type="http://schemas.openxmlformats.org/officeDocument/2006/relationships/hyperlink" Target="https://mathsgenie.co.uk/a-level/maths/edexcel/as-statistics-box-plots" TargetMode="External" Id="rId51" /><Relationship Type="http://schemas.openxmlformats.org/officeDocument/2006/relationships/hyperlink" Target="https://assets.mathsgenie.co.uk/content/worksheets/a_level_maths/as-stats-box-plots-b37b11dd.pdf" TargetMode="External" Id="rId52" /><Relationship Type="http://schemas.openxmlformats.org/officeDocument/2006/relationships/hyperlink" Target="https://assets.mathsgenie.co.uk/content/worksheets/a_level_maths/as-stats-box-plots-ans-152da300.pdf" TargetMode="External" Id="rId53" /><Relationship Type="http://schemas.openxmlformats.org/officeDocument/2006/relationships/hyperlink" Target="https://pmt.physicsandmathstutor.com/download/Maths/A-level/Statistics/Data-Presentation-and-Interpretation-1/Edexcel-Set-C/QP/Large%20data%20sets%20QP.pdf" TargetMode="External" Id="rId54" /><Relationship Type="http://schemas.openxmlformats.org/officeDocument/2006/relationships/hyperlink" Target="https://pmt.physicsandmathstutor.com/download/Maths/A-level/Statistics/Data-Presentation-and-Interpretation-1/Edexcel-Set-C/MS/Large%20data%20sets%20MS.pdf" TargetMode="External" Id="rId55" /><Relationship Type="http://schemas.openxmlformats.org/officeDocument/2006/relationships/hyperlink" Target="https://pmt.physicsandmathstutor.com/download/Maths/A-level/Statistics/Data-Presentation-and-Interpretation-1/Edexcel-Set-C/MA/Large%20data%20sets%20MA.pdf" TargetMode="External" Id="rId56" /><Relationship Type="http://schemas.openxmlformats.org/officeDocument/2006/relationships/hyperlink" Target="https://www.yesterdaysmathsexam.com/_files/ugd/1ba96f_90891fdca7714ce88ac6d9323a9c1770.pdf" TargetMode="External" Id="rId57" /><Relationship Type="http://schemas.openxmlformats.org/officeDocument/2006/relationships/hyperlink" Target="https://www.yesterdaysmathsexam.com/_files/ugd/1ba96f_65f81240f9db4d2285c1202ff209a6f4.pdf" TargetMode="External" Id="rId58" /><Relationship Type="http://schemas.openxmlformats.org/officeDocument/2006/relationships/hyperlink" Target="https://mathsgenie.co.uk/a-level/maths/edexcel/as-statistics-cumulative-frequency" TargetMode="External" Id="rId59" /><Relationship Type="http://schemas.openxmlformats.org/officeDocument/2006/relationships/hyperlink" Target="https://assets.mathsgenie.co.uk/content/worksheets/a_level_maths/representations-of-data-de158680.pdf" TargetMode="External" Id="rId60" /><Relationship Type="http://schemas.openxmlformats.org/officeDocument/2006/relationships/hyperlink" Target="https://assets.mathsgenie.co.uk/content/worksheets/a_level_maths/representations-of-data-ans-e73bd35e.pdf" TargetMode="External" Id="rId61" /><Relationship Type="http://schemas.openxmlformats.org/officeDocument/2006/relationships/hyperlink" Target="https://www.yesterdaysmathsexam.com/_files/ugd/1ba96f_90891fdca7714ce88ac6d9323a9c1770.pdf" TargetMode="External" Id="rId62" /><Relationship Type="http://schemas.openxmlformats.org/officeDocument/2006/relationships/hyperlink" Target="https://www.yesterdaysmathsexam.com/_files/ugd/1ba96f_65f81240f9db4d2285c1202ff209a6f4.pdf" TargetMode="External" Id="rId63" /><Relationship Type="http://schemas.openxmlformats.org/officeDocument/2006/relationships/hyperlink" Target="https://mathsgenie.co.uk/a-level/maths/edexcel/as-statistics-histograms" TargetMode="External" Id="rId64" /><Relationship Type="http://schemas.openxmlformats.org/officeDocument/2006/relationships/hyperlink" Target="https://assets.mathsgenie.co.uk/content/worksheets/a_level_maths/as-stats-histograms-085815b3.pdf" TargetMode="External" Id="rId65" /><Relationship Type="http://schemas.openxmlformats.org/officeDocument/2006/relationships/hyperlink" Target="https://assets.mathsgenie.co.uk/content/worksheets/a_level_maths/as-stats-histograms-ans-1f46ab15.pdf" TargetMode="External" Id="rId66" /><Relationship Type="http://schemas.openxmlformats.org/officeDocument/2006/relationships/hyperlink" Target="https://pmt.physicsandmathstutor.com/download/Maths/A-level/Statistics/Data-Presentation-and-Interpretation-1/Edexcel-Set-C/QP/Data%20Presentation%20and%20Interpretation%20QP.pdf" TargetMode="External" Id="rId67" /><Relationship Type="http://schemas.openxmlformats.org/officeDocument/2006/relationships/hyperlink" Target="https://pmt.physicsandmathstutor.com/download/Maths/A-level/Statistics/Data-Presentation-and-Interpretation-1/Edexcel-Set-C/MS/Data%20Presentation%20and%20Interpretation%20MS.pdf" TargetMode="External" Id="rId68" /><Relationship Type="http://schemas.openxmlformats.org/officeDocument/2006/relationships/hyperlink" Target="https://pmt.physicsandmathstutor.com/download/Maths/A-level/Statistics/Data-Presentation-and-Interpretation-1/Edexcel-Set-C/MA/Data%20Presentation%20and%20Interpretation%20MA.pdf" TargetMode="External" Id="rId69" /><Relationship Type="http://schemas.openxmlformats.org/officeDocument/2006/relationships/hyperlink" Target="https://www.yesterdaysmathsexam.com/_files/ugd/1ba96f_90891fdca7714ce88ac6d9323a9c1770.pdf" TargetMode="External" Id="rId70" /><Relationship Type="http://schemas.openxmlformats.org/officeDocument/2006/relationships/hyperlink" Target="https://www.yesterdaysmathsexam.com/_files/ugd/1ba96f_65f81240f9db4d2285c1202ff209a6f4.pdf" TargetMode="External" Id="rId71" /><Relationship Type="http://schemas.openxmlformats.org/officeDocument/2006/relationships/hyperlink" Target="https://mathsgenie.co.uk/a-level/maths/edexcel/as-statistics-outliers" TargetMode="External" Id="rId72" /><Relationship Type="http://schemas.openxmlformats.org/officeDocument/2006/relationships/hyperlink" Target="https://assets.mathsgenie.co.uk/content/worksheets/a_level_maths/representations-of-data-de158680.pdf" TargetMode="External" Id="rId73" /><Relationship Type="http://schemas.openxmlformats.org/officeDocument/2006/relationships/hyperlink" Target="https://assets.mathsgenie.co.uk/content/worksheets/a_level_maths/representations-of-data-ans-e73bd35e.pdf" TargetMode="External" Id="rId74" /><Relationship Type="http://schemas.openxmlformats.org/officeDocument/2006/relationships/hyperlink" Target="https://pmt.physicsandmathstutor.com/download/Maths/A-level/Statistics/Data-Presentation-and-Interpretation-1/Edexcel-Set-C/QP/Data%20Presentation%20and%20Interpretation%20QP.pdf" TargetMode="External" Id="rId75" /><Relationship Type="http://schemas.openxmlformats.org/officeDocument/2006/relationships/hyperlink" Target="https://pmt.physicsandmathstutor.com/download/Maths/A-level/Statistics/Data-Presentation-and-Interpretation-1/Edexcel-Set-C/MS/Data%20Presentation%20and%20Interpretation%20MS.pdf" TargetMode="External" Id="rId76" /><Relationship Type="http://schemas.openxmlformats.org/officeDocument/2006/relationships/hyperlink" Target="https://pmt.physicsandmathstutor.com/download/Maths/A-level/Statistics/Data-Presentation-and-Interpretation-1/Edexcel-Set-C/MA/Data%20Presentation%20and%20Interpretation%20MA.pdf" TargetMode="External" Id="rId77" /><Relationship Type="http://schemas.openxmlformats.org/officeDocument/2006/relationships/hyperlink" Target="https://www.yesterdaysmathsexam.com/_files/ugd/1ba96f_90891fdca7714ce88ac6d9323a9c1770.pdf" TargetMode="External" Id="rId78" /><Relationship Type="http://schemas.openxmlformats.org/officeDocument/2006/relationships/hyperlink" Target="https://www.yesterdaysmathsexam.com/_files/ugd/1ba96f_65f81240f9db4d2285c1202ff209a6f4.pdf" TargetMode="External" Id="rId79" /><Relationship Type="http://schemas.openxmlformats.org/officeDocument/2006/relationships/hyperlink" Target="https://mathsgenie.co.uk/a-level/maths/edexcel/as-statistics-comparing-data" TargetMode="External" Id="rId80" /><Relationship Type="http://schemas.openxmlformats.org/officeDocument/2006/relationships/hyperlink" Target="https://assets.mathsgenie.co.uk/content/worksheets/a_level_maths/representations-of-data-de158680.pdf" TargetMode="External" Id="rId81" /><Relationship Type="http://schemas.openxmlformats.org/officeDocument/2006/relationships/hyperlink" Target="https://assets.mathsgenie.co.uk/content/worksheets/a_level_maths/representations-of-data-ans-e73bd35e.pdf" TargetMode="External" Id="rId82" /><Relationship Type="http://schemas.openxmlformats.org/officeDocument/2006/relationships/hyperlink" Target="https://pmt.physicsandmathstutor.com/download/Maths/A-level/Statistics/Data-Presentation-and-Interpretation-1/Edexcel-Set-C/QP/Large%20data%20sets%20QP.pdf" TargetMode="External" Id="rId83" /><Relationship Type="http://schemas.openxmlformats.org/officeDocument/2006/relationships/hyperlink" Target="https://pmt.physicsandmathstutor.com/download/Maths/A-level/Statistics/Data-Presentation-and-Interpretation-1/Edexcel-Set-C/MS/Large%20data%20sets%20MS.pdf" TargetMode="External" Id="rId84" /><Relationship Type="http://schemas.openxmlformats.org/officeDocument/2006/relationships/hyperlink" Target="https://pmt.physicsandmathstutor.com/download/Maths/A-level/Statistics/Data-Presentation-and-Interpretation-1/Edexcel-Set-C/MA/Large%20data%20sets%20MA.pdf" TargetMode="External" Id="rId85" /><Relationship Type="http://schemas.openxmlformats.org/officeDocument/2006/relationships/hyperlink" Target="https://www.yesterdaysmathsexam.com/_files/ugd/1ba96f_90891fdca7714ce88ac6d9323a9c1770.pdf" TargetMode="External" Id="rId86" /><Relationship Type="http://schemas.openxmlformats.org/officeDocument/2006/relationships/hyperlink" Target="https://www.yesterdaysmathsexam.com/_files/ugd/1ba96f_65f81240f9db4d2285c1202ff209a6f4.pdf" TargetMode="External" Id="rId87" /><Relationship Type="http://schemas.openxmlformats.org/officeDocument/2006/relationships/hyperlink" Target="https://mathsgenie.co.uk/a-level/maths/edexcel/as-statistics-correlation" TargetMode="External" Id="rId88" /><Relationship Type="http://schemas.openxmlformats.org/officeDocument/2006/relationships/hyperlink" Target="https://assets.mathsgenie.co.uk/content/worksheets/as_level_maths/as-stats-correlation-and-regression-090bdf26.pdf" TargetMode="External" Id="rId89" /><Relationship Type="http://schemas.openxmlformats.org/officeDocument/2006/relationships/hyperlink" Target="https://assets.mathsgenie.co.uk/content/worksheets/as_level_maths/as-stats-correlation-and-regression-ans-0737e55d.pdf" TargetMode="External" Id="rId90" /><Relationship Type="http://schemas.openxmlformats.org/officeDocument/2006/relationships/hyperlink" Target="https://pmt.physicsandmathstutor.com/download/Maths/A-level/Statistics/Data-Presentation-and-Interpretation-1/Edexcel-Set-C/QP/Regression%20and%20Correlation%20QP.pdf" TargetMode="External" Id="rId91" /><Relationship Type="http://schemas.openxmlformats.org/officeDocument/2006/relationships/hyperlink" Target="https://pmt.physicsandmathstutor.com/download/Maths/A-level/Statistics/Data-Presentation-and-Interpretation-1/Edexcel-Set-C/MS/Regression%20and%20Correlation%20MS.pdf" TargetMode="External" Id="rId92" /><Relationship Type="http://schemas.openxmlformats.org/officeDocument/2006/relationships/hyperlink" Target="https://pmt.physicsandmathstutor.com/download/Maths/A-level/Statistics/Data-Presentation-and-Interpretation-1/Edexcel-Set-C/MA/Regression%20and%20Correlation%20MA.pdf" TargetMode="External" Id="rId93" /><Relationship Type="http://schemas.openxmlformats.org/officeDocument/2006/relationships/hyperlink" Target="https://www.yesterdaysmathsexam.com/_files/ugd/1ba96f_ed618757efba4c6dbf26ec788ee2a1d7.pdf" TargetMode="External" Id="rId94" /><Relationship Type="http://schemas.openxmlformats.org/officeDocument/2006/relationships/hyperlink" Target="https://www.yesterdaysmathsexam.com/_files/ugd/1ba96f_2e8e13ab7ba149ae98e184013ef23684.pdf" TargetMode="External" Id="rId95" /><Relationship Type="http://schemas.openxmlformats.org/officeDocument/2006/relationships/hyperlink" Target="https://mathsgenie.co.uk/a-level/maths/edexcel/as-statistics-linear-regression" TargetMode="External" Id="rId96" /><Relationship Type="http://schemas.openxmlformats.org/officeDocument/2006/relationships/hyperlink" Target="https://assets.mathsgenie.co.uk/content/worksheets/as_level_maths/as-stats-correlation-and-regression-090bdf26.pdf" TargetMode="External" Id="rId97" /><Relationship Type="http://schemas.openxmlformats.org/officeDocument/2006/relationships/hyperlink" Target="https://assets.mathsgenie.co.uk/content/worksheets/as_level_maths/as-stats-correlation-and-regression-ans-0737e55d.pdf" TargetMode="External" Id="rId98" /><Relationship Type="http://schemas.openxmlformats.org/officeDocument/2006/relationships/hyperlink" Target="https://pmt.physicsandmathstutor.com/download/Maths/A-level/Statistics/Data-Presentation-and-Interpretation-1/Edexcel-Set-C/QP/Regression%20and%20Correlation%20QP.pdf" TargetMode="External" Id="rId99" /><Relationship Type="http://schemas.openxmlformats.org/officeDocument/2006/relationships/hyperlink" Target="https://pmt.physicsandmathstutor.com/download/Maths/A-level/Statistics/Data-Presentation-and-Interpretation-1/Edexcel-Set-C/MS/Regression%20and%20Correlation%20MS.pdf" TargetMode="External" Id="rId100" /><Relationship Type="http://schemas.openxmlformats.org/officeDocument/2006/relationships/hyperlink" Target="https://pmt.physicsandmathstutor.com/download/Maths/A-level/Statistics/Data-Presentation-and-Interpretation-1/Edexcel-Set-C/MA/Regression%20and%20Correlation%20MA.pdf" TargetMode="External" Id="rId101" /><Relationship Type="http://schemas.openxmlformats.org/officeDocument/2006/relationships/hyperlink" Target="https://www.yesterdaysmathsexam.com/_files/ugd/1ba96f_ed618757efba4c6dbf26ec788ee2a1d7.pdf" TargetMode="External" Id="rId102" /><Relationship Type="http://schemas.openxmlformats.org/officeDocument/2006/relationships/hyperlink" Target="https://www.yesterdaysmathsexam.com/_files/ugd/1ba96f_2e8e13ab7ba149ae98e184013ef23684.pdf" TargetMode="External" Id="rId103" /><Relationship Type="http://schemas.openxmlformats.org/officeDocument/2006/relationships/hyperlink" Target="https://mathsgenie.co.uk/a-level/maths/edexcel/a-level-statistics-exponential-models" TargetMode="External" Id="rId104" /><Relationship Type="http://schemas.openxmlformats.org/officeDocument/2006/relationships/hyperlink" Target="https://assets.mathsgenie.co.uk/content/worksheets/a_level_maths/regression-correlation-and-hypothesis-testing-955d4f0c.pdf" TargetMode="External" Id="rId105" /><Relationship Type="http://schemas.openxmlformats.org/officeDocument/2006/relationships/hyperlink" Target="https://assets.mathsgenie.co.uk/content/worksheets/a_level_maths/regression-correlation-and-hypothesis-testing-ans-c55c04e4.pdf" TargetMode="External" Id="rId106" /><Relationship Type="http://schemas.openxmlformats.org/officeDocument/2006/relationships/hyperlink" Target="https://pmt.physicsandmathstutor.com/download/Maths/A-level/Statistics/Data-Presentation-and-Interpretation-2/Edexcel-Set-C/QP/Regression%20and%20Correlation%20QP.pdf" TargetMode="External" Id="rId107" /><Relationship Type="http://schemas.openxmlformats.org/officeDocument/2006/relationships/hyperlink" Target="https://pmt.physicsandmathstutor.com/download/Maths/A-level/Statistics/Data-Presentation-and-Interpretation-2/Edexcel-Set-C/MS/Regression%20and%20Correlation%20MS.pdf" TargetMode="External" Id="rId108" /><Relationship Type="http://schemas.openxmlformats.org/officeDocument/2006/relationships/hyperlink" Target="https://pmt.physicsandmathstutor.com/download/Maths/A-level/Statistics/Data-Presentation-and-Interpretation-2/Edexcel-Set-C/MA/Regression%20and%20Correlation%20MA.pdf" TargetMode="External" Id="rId109" /><Relationship Type="http://schemas.openxmlformats.org/officeDocument/2006/relationships/hyperlink" Target="https://www.yesterdaysmathsexam.com/_files/ugd/1ba96f_6a49bd268f8c4da99e57af29beb09d87.pdf" TargetMode="External" Id="rId110" /><Relationship Type="http://schemas.openxmlformats.org/officeDocument/2006/relationships/hyperlink" Target="https://www.yesterdaysmathsexam.com/_files/ugd/1ba96f_be9d0430ee804751a010650f256781fc.pdf" TargetMode="External" Id="rId111" /><Relationship Type="http://schemas.openxmlformats.org/officeDocument/2006/relationships/hyperlink" Target="https://mathsgenie.co.uk/a-level/maths/edexcel/as-statistics-the-large-data-set" TargetMode="External" Id="rId112" /><Relationship Type="http://schemas.openxmlformats.org/officeDocument/2006/relationships/hyperlink" Target="https://assets.mathsgenie.co.uk/content/worksheets/as_level_maths/data-collection-6dc9d8e3.pdf" TargetMode="External" Id="rId113" /><Relationship Type="http://schemas.openxmlformats.org/officeDocument/2006/relationships/hyperlink" Target="https://assets.mathsgenie.co.uk/content/worksheets/as_level_maths/data-collection-ans-6283f14d.pdf" TargetMode="External" Id="rId114" /><Relationship Type="http://schemas.openxmlformats.org/officeDocument/2006/relationships/hyperlink" Target="https://pmt.physicsandmathstutor.com/download/Maths/A-level/Statistics/Data-Presentation-and-Interpretation-1/Edexcel-Set-C/QP/Large%20data%20sets%20QP.pdf" TargetMode="External" Id="rId115" /><Relationship Type="http://schemas.openxmlformats.org/officeDocument/2006/relationships/hyperlink" Target="https://pmt.physicsandmathstutor.com/download/Maths/A-level/Statistics/Data-Presentation-and-Interpretation-1/Edexcel-Set-C/MS/Large%20data%20sets%20MS.pdf" TargetMode="External" Id="rId116" /><Relationship Type="http://schemas.openxmlformats.org/officeDocument/2006/relationships/hyperlink" Target="https://pmt.physicsandmathstutor.com/download/Maths/A-level/Statistics/Data-Presentation-and-Interpretation-1/Edexcel-Set-C/MA/Large%20data%20sets%20MA.pdf" TargetMode="External" Id="rId117" /><Relationship Type="http://schemas.openxmlformats.org/officeDocument/2006/relationships/hyperlink" Target="https://mathsgenie.co.uk/a-level/maths/edexcel/as-statistics-calculating-probabilities" TargetMode="External" Id="rId118" /><Relationship Type="http://schemas.openxmlformats.org/officeDocument/2006/relationships/hyperlink" Target="https://assets.mathsgenie.co.uk/content/worksheets/as_level_maths/as-stats-probability-fd510241.pdf" TargetMode="External" Id="rId119" /><Relationship Type="http://schemas.openxmlformats.org/officeDocument/2006/relationships/hyperlink" Target="https://assets.mathsgenie.co.uk/content/worksheets/as_level_maths/as-stats-probability-ans-3c1dbd4d.pdf" TargetMode="External" Id="rId120" /><Relationship Type="http://schemas.openxmlformats.org/officeDocument/2006/relationships/hyperlink" Target="https://pmt.physicsandmathstutor.com/download/Maths/A-level/Statistics/Probability-1/Edexcel-Set-C/QP/Probability%20QP.pdf" TargetMode="External" Id="rId121" /><Relationship Type="http://schemas.openxmlformats.org/officeDocument/2006/relationships/hyperlink" Target="https://pmt.physicsandmathstutor.com/download/Maths/A-level/Statistics/Probability-1/Edexcel-Set-C/MS/Probability%20MS.pdf" TargetMode="External" Id="rId122" /><Relationship Type="http://schemas.openxmlformats.org/officeDocument/2006/relationships/hyperlink" Target="https://pmt.physicsandmathstutor.com/download/Maths/A-level/Statistics/Probability-1/Edexcel-Set-C/MA/Probability%20MA.pdf" TargetMode="External" Id="rId123" /><Relationship Type="http://schemas.openxmlformats.org/officeDocument/2006/relationships/hyperlink" Target="https://www.yesterdaysmathsexam.com/_files/ugd/1ba96f_5d54bf42ea074dc89292461bd32ca80e.pdf" TargetMode="External" Id="rId124" /><Relationship Type="http://schemas.openxmlformats.org/officeDocument/2006/relationships/hyperlink" Target="https://www.yesterdaysmathsexam.com/_files/ugd/1ba96f_6b8b5da8f13a4a25b33a744329409571.pdf" TargetMode="External" Id="rId125" /><Relationship Type="http://schemas.openxmlformats.org/officeDocument/2006/relationships/hyperlink" Target="https://mathsgenie.co.uk/a-level/maths/edexcel/as-statistics-venn-diagrams" TargetMode="External" Id="rId126" /><Relationship Type="http://schemas.openxmlformats.org/officeDocument/2006/relationships/hyperlink" Target="https://assets.mathsgenie.co.uk/content/worksheets/as_level_maths/as-stats-probability-fd510241.pdf" TargetMode="External" Id="rId127" /><Relationship Type="http://schemas.openxmlformats.org/officeDocument/2006/relationships/hyperlink" Target="https://assets.mathsgenie.co.uk/content/worksheets/as_level_maths/as-stats-probability-ans-3c1dbd4d.pdf" TargetMode="External" Id="rId128" /><Relationship Type="http://schemas.openxmlformats.org/officeDocument/2006/relationships/hyperlink" Target="https://pmt.physicsandmathstutor.com/download/Maths/A-level/Statistics/Probability-1/Edexcel-Set-C/QP/Probability%20QP.pdf" TargetMode="External" Id="rId129" /><Relationship Type="http://schemas.openxmlformats.org/officeDocument/2006/relationships/hyperlink" Target="https://pmt.physicsandmathstutor.com/download/Maths/A-level/Statistics/Probability-1/Edexcel-Set-C/MS/Probability%20MS.pdf" TargetMode="External" Id="rId130" /><Relationship Type="http://schemas.openxmlformats.org/officeDocument/2006/relationships/hyperlink" Target="https://pmt.physicsandmathstutor.com/download/Maths/A-level/Statistics/Probability-1/Edexcel-Set-C/MA/Probability%20MA.pdf" TargetMode="External" Id="rId131" /><Relationship Type="http://schemas.openxmlformats.org/officeDocument/2006/relationships/hyperlink" Target="https://www.yesterdaysmathsexam.com/_files/ugd/1ba96f_5d54bf42ea074dc89292461bd32ca80e.pdf" TargetMode="External" Id="rId132" /><Relationship Type="http://schemas.openxmlformats.org/officeDocument/2006/relationships/hyperlink" Target="https://www.yesterdaysmathsexam.com/_files/ugd/1ba96f_6b8b5da8f13a4a25b33a744329409571.pdf" TargetMode="External" Id="rId133" /><Relationship Type="http://schemas.openxmlformats.org/officeDocument/2006/relationships/hyperlink" Target="https://mathsgenie.co.uk/a-level/maths/edexcel/as-statistics-mutually-exclusive-and-independent-events" TargetMode="External" Id="rId134" /><Relationship Type="http://schemas.openxmlformats.org/officeDocument/2006/relationships/hyperlink" Target="https://assets.mathsgenie.co.uk/content/worksheets/as_level_maths/as-stats-probability-fd510241.pdf" TargetMode="External" Id="rId135" /><Relationship Type="http://schemas.openxmlformats.org/officeDocument/2006/relationships/hyperlink" Target="https://assets.mathsgenie.co.uk/content/worksheets/as_level_maths/as-stats-probability-ans-3c1dbd4d.pdf" TargetMode="External" Id="rId136" /><Relationship Type="http://schemas.openxmlformats.org/officeDocument/2006/relationships/hyperlink" Target="https://pmt.physicsandmathstutor.com/download/Maths/A-level/Statistics/Probability-1/Edexcel-Set-C/QP/Probability%20QP.pdf" TargetMode="External" Id="rId137" /><Relationship Type="http://schemas.openxmlformats.org/officeDocument/2006/relationships/hyperlink" Target="https://pmt.physicsandmathstutor.com/download/Maths/A-level/Statistics/Probability-1/Edexcel-Set-C/MS/Probability%20MS.pdf" TargetMode="External" Id="rId138" /><Relationship Type="http://schemas.openxmlformats.org/officeDocument/2006/relationships/hyperlink" Target="https://pmt.physicsandmathstutor.com/download/Maths/A-level/Statistics/Probability-1/Edexcel-Set-C/MA/Probability%20MA.pdf" TargetMode="External" Id="rId139" /><Relationship Type="http://schemas.openxmlformats.org/officeDocument/2006/relationships/hyperlink" Target="https://www.yesterdaysmathsexam.com/_files/ugd/1ba96f_5d54bf42ea074dc89292461bd32ca80e.pdf" TargetMode="External" Id="rId140" /><Relationship Type="http://schemas.openxmlformats.org/officeDocument/2006/relationships/hyperlink" Target="https://www.yesterdaysmathsexam.com/_files/ugd/1ba96f_6b8b5da8f13a4a25b33a744329409571.pdf" TargetMode="External" Id="rId141" /><Relationship Type="http://schemas.openxmlformats.org/officeDocument/2006/relationships/hyperlink" Target="https://mathsgenie.co.uk/a-level/maths/edexcel/as-statistics-tree-diagrams" TargetMode="External" Id="rId142" /><Relationship Type="http://schemas.openxmlformats.org/officeDocument/2006/relationships/hyperlink" Target="https://assets.mathsgenie.co.uk/content/worksheets/as_level_maths/as-stats-probability-fd510241.pdf" TargetMode="External" Id="rId143" /><Relationship Type="http://schemas.openxmlformats.org/officeDocument/2006/relationships/hyperlink" Target="https://assets.mathsgenie.co.uk/content/worksheets/as_level_maths/as-stats-probability-ans-3c1dbd4d.pdf" TargetMode="External" Id="rId144" /><Relationship Type="http://schemas.openxmlformats.org/officeDocument/2006/relationships/hyperlink" Target="https://www.yesterdaysmathsexam.com/_files/ugd/1ba96f_5d54bf42ea074dc89292461bd32ca80e.pdf" TargetMode="External" Id="rId145" /><Relationship Type="http://schemas.openxmlformats.org/officeDocument/2006/relationships/hyperlink" Target="https://www.yesterdaysmathsexam.com/_files/ugd/1ba96f_6b8b5da8f13a4a25b33a744329409571.pdf" TargetMode="External" Id="rId146" /><Relationship Type="http://schemas.openxmlformats.org/officeDocument/2006/relationships/hyperlink" Target="https://mathsgenie.co.uk/a-level/maths/edexcel/a-level-statistics-set-notation" TargetMode="External" Id="rId147" /><Relationship Type="http://schemas.openxmlformats.org/officeDocument/2006/relationships/hyperlink" Target="https://assets.mathsgenie.co.uk/content/worksheets/a_level_maths/conditional-probability-71f81d84.pdf" TargetMode="External" Id="rId148" /><Relationship Type="http://schemas.openxmlformats.org/officeDocument/2006/relationships/hyperlink" Target="https://assets.mathsgenie.co.uk/content/worksheets/a_level_maths/conditional-probability-ans-0af1c10c.pdf" TargetMode="External" Id="rId149" /><Relationship Type="http://schemas.openxmlformats.org/officeDocument/2006/relationships/hyperlink" Target="https://pmt.physicsandmathstutor.com/download/Maths/A-level/Statistics/Probability-2/Edexcel-Set-C/QP/Probability%20QP.pdf" TargetMode="External" Id="rId150" /><Relationship Type="http://schemas.openxmlformats.org/officeDocument/2006/relationships/hyperlink" Target="https://pmt.physicsandmathstutor.com/download/Maths/A-level/Statistics/Probability-2/Edexcel-Set-C/MS/Probability%20MS.pdf" TargetMode="External" Id="rId151" /><Relationship Type="http://schemas.openxmlformats.org/officeDocument/2006/relationships/hyperlink" Target="https://pmt.physicsandmathstutor.com/download/Maths/A-level/Statistics/Probability-2/Edexcel-Set-C/MA/Probability%20MA.pdf" TargetMode="External" Id="rId152" /><Relationship Type="http://schemas.openxmlformats.org/officeDocument/2006/relationships/hyperlink" Target="https://www.yesterdaysmathsexam.com/_files/ugd/1ba96f_4cd6cf32b92f4bc0b9a7367d0234224c.pdf" TargetMode="External" Id="rId153" /><Relationship Type="http://schemas.openxmlformats.org/officeDocument/2006/relationships/hyperlink" Target="https://www.yesterdaysmathsexam.com/_files/ugd/1ba96f_fd18f78d55f040c2946d08a7022983ff.pdf" TargetMode="External" Id="rId154" /><Relationship Type="http://schemas.openxmlformats.org/officeDocument/2006/relationships/hyperlink" Target="https://mathsgenie.co.uk/a-level/maths/edexcel/a-level-statistics-conditional-probability" TargetMode="External" Id="rId155" /><Relationship Type="http://schemas.openxmlformats.org/officeDocument/2006/relationships/hyperlink" Target="https://assets.mathsgenie.co.uk/content/worksheets/a_level_maths/conditional-probability-71f81d84.pdf" TargetMode="External" Id="rId156" /><Relationship Type="http://schemas.openxmlformats.org/officeDocument/2006/relationships/hyperlink" Target="https://assets.mathsgenie.co.uk/content/worksheets/a_level_maths/conditional-probability-ans-0af1c10c.pdf" TargetMode="External" Id="rId157" /><Relationship Type="http://schemas.openxmlformats.org/officeDocument/2006/relationships/hyperlink" Target="https://pmt.physicsandmathstutor.com/download/Maths/A-level/Statistics/Probability-2/Edexcel-Set-C/QP/Conditional%20Probability%20QP.pdf" TargetMode="External" Id="rId158" /><Relationship Type="http://schemas.openxmlformats.org/officeDocument/2006/relationships/hyperlink" Target="https://pmt.physicsandmathstutor.com/download/Maths/A-level/Statistics/Probability-2/Edexcel-Set-C/MS/Conditional%20Probability%20MS.pdf" TargetMode="External" Id="rId159" /><Relationship Type="http://schemas.openxmlformats.org/officeDocument/2006/relationships/hyperlink" Target="https://pmt.physicsandmathstutor.com/download/Maths/A-level/Statistics/Probability-2/Edexcel-Set-C/MA/Conditional%20Probability%20MA.pdf" TargetMode="External" Id="rId160" /><Relationship Type="http://schemas.openxmlformats.org/officeDocument/2006/relationships/hyperlink" Target="https://www.yesterdaysmathsexam.com/_files/ugd/1ba96f_4cd6cf32b92f4bc0b9a7367d0234224c.pdf" TargetMode="External" Id="rId161" /><Relationship Type="http://schemas.openxmlformats.org/officeDocument/2006/relationships/hyperlink" Target="https://www.yesterdaysmathsexam.com/_files/ugd/1ba96f_fd18f78d55f040c2946d08a7022983ff.pdf" TargetMode="External" Id="rId162" /><Relationship Type="http://schemas.openxmlformats.org/officeDocument/2006/relationships/hyperlink" Target="https://mathsgenie.co.uk/a-level/maths/edexcel/a-level-statistics-conditional-probabilities-in-venn-diagrams" TargetMode="External" Id="rId163" /><Relationship Type="http://schemas.openxmlformats.org/officeDocument/2006/relationships/hyperlink" Target="https://assets.mathsgenie.co.uk/content/worksheets/a_level_maths/conditional-probability-71f81d84.pdf" TargetMode="External" Id="rId164" /><Relationship Type="http://schemas.openxmlformats.org/officeDocument/2006/relationships/hyperlink" Target="https://assets.mathsgenie.co.uk/content/worksheets/a_level_maths/conditional-probability-ans-0af1c10c.pdf" TargetMode="External" Id="rId165" /><Relationship Type="http://schemas.openxmlformats.org/officeDocument/2006/relationships/hyperlink" Target="https://pmt.physicsandmathstutor.com/download/Maths/A-level/Statistics/Probability-2/Edexcel-Set-C/QP/Conditional%20Probability%20QP.pdf" TargetMode="External" Id="rId166" /><Relationship Type="http://schemas.openxmlformats.org/officeDocument/2006/relationships/hyperlink" Target="https://pmt.physicsandmathstutor.com/download/Maths/A-level/Statistics/Probability-2/Edexcel-Set-C/MS/Conditional%20Probability%20MS.pdf" TargetMode="External" Id="rId167" /><Relationship Type="http://schemas.openxmlformats.org/officeDocument/2006/relationships/hyperlink" Target="https://pmt.physicsandmathstutor.com/download/Maths/A-level/Statistics/Probability-2/Edexcel-Set-C/MA/Conditional%20Probability%20MA.pdf" TargetMode="External" Id="rId168" /><Relationship Type="http://schemas.openxmlformats.org/officeDocument/2006/relationships/hyperlink" Target="https://www.yesterdaysmathsexam.com/_files/ugd/1ba96f_4cd6cf32b92f4bc0b9a7367d0234224c.pdf" TargetMode="External" Id="rId169" /><Relationship Type="http://schemas.openxmlformats.org/officeDocument/2006/relationships/hyperlink" Target="https://www.yesterdaysmathsexam.com/_files/ugd/1ba96f_fd18f78d55f040c2946d08a7022983ff.pdf" TargetMode="External" Id="rId170" /><Relationship Type="http://schemas.openxmlformats.org/officeDocument/2006/relationships/hyperlink" Target="https://mathsgenie.co.uk/a-level/maths/edexcel/a-level-statistics-probability-formulae" TargetMode="External" Id="rId171" /><Relationship Type="http://schemas.openxmlformats.org/officeDocument/2006/relationships/hyperlink" Target="https://assets.mathsgenie.co.uk/content/worksheets/a_level_maths/conditional-probability-71f81d84.pdf" TargetMode="External" Id="rId172" /><Relationship Type="http://schemas.openxmlformats.org/officeDocument/2006/relationships/hyperlink" Target="https://assets.mathsgenie.co.uk/content/worksheets/a_level_maths/conditional-probability-ans-0af1c10c.pdf" TargetMode="External" Id="rId173" /><Relationship Type="http://schemas.openxmlformats.org/officeDocument/2006/relationships/hyperlink" Target="https://pmt.physicsandmathstutor.com/download/Maths/A-level/Statistics/Probability-2/Edexcel-Set-C/QP/Conditional%20Probability%20QP.pdf" TargetMode="External" Id="rId174" /><Relationship Type="http://schemas.openxmlformats.org/officeDocument/2006/relationships/hyperlink" Target="https://pmt.physicsandmathstutor.com/download/Maths/A-level/Statistics/Probability-2/Edexcel-Set-C/MS/Conditional%20Probability%20MS.pdf" TargetMode="External" Id="rId175" /><Relationship Type="http://schemas.openxmlformats.org/officeDocument/2006/relationships/hyperlink" Target="https://pmt.physicsandmathstutor.com/download/Maths/A-level/Statistics/Probability-2/Edexcel-Set-C/MA/Conditional%20Probability%20MA.pdf" TargetMode="External" Id="rId176" /><Relationship Type="http://schemas.openxmlformats.org/officeDocument/2006/relationships/hyperlink" Target="https://www.yesterdaysmathsexam.com/_files/ugd/1ba96f_4cd6cf32b92f4bc0b9a7367d0234224c.pdf" TargetMode="External" Id="rId177" /><Relationship Type="http://schemas.openxmlformats.org/officeDocument/2006/relationships/hyperlink" Target="https://www.yesterdaysmathsexam.com/_files/ugd/1ba96f_fd18f78d55f040c2946d08a7022983ff.pdf" TargetMode="External" Id="rId178" /><Relationship Type="http://schemas.openxmlformats.org/officeDocument/2006/relationships/hyperlink" Target="https://mathsgenie.co.uk/a-level/maths/edexcel/a-level-statistics-tree-diagrams" TargetMode="External" Id="rId179" /><Relationship Type="http://schemas.openxmlformats.org/officeDocument/2006/relationships/hyperlink" Target="https://assets.mathsgenie.co.uk/content/worksheets/a_level_maths/conditional-probability-71f81d84.pdf" TargetMode="External" Id="rId180" /><Relationship Type="http://schemas.openxmlformats.org/officeDocument/2006/relationships/hyperlink" Target="https://assets.mathsgenie.co.uk/content/worksheets/a_level_maths/conditional-probability-ans-0af1c10c.pdf" TargetMode="External" Id="rId181" /><Relationship Type="http://schemas.openxmlformats.org/officeDocument/2006/relationships/hyperlink" Target="https://www.yesterdaysmathsexam.com/_files/ugd/1ba96f_4cd6cf32b92f4bc0b9a7367d0234224c.pdf" TargetMode="External" Id="rId182" /><Relationship Type="http://schemas.openxmlformats.org/officeDocument/2006/relationships/hyperlink" Target="https://www.yesterdaysmathsexam.com/_files/ugd/1ba96f_fd18f78d55f040c2946d08a7022983ff.pdf" TargetMode="External" Id="rId183" /><Relationship Type="http://schemas.openxmlformats.org/officeDocument/2006/relationships/hyperlink" Target="https://mathsgenie.co.uk/a-level/maths/edexcel/a-level-statistics-conditional-probability" TargetMode="External" Id="rId184" /><Relationship Type="http://schemas.openxmlformats.org/officeDocument/2006/relationships/hyperlink" Target="https://assets.mathsgenie.co.uk/content/worksheets/a_level_maths/conditional-probability-71f81d84.pdf" TargetMode="External" Id="rId185" /><Relationship Type="http://schemas.openxmlformats.org/officeDocument/2006/relationships/hyperlink" Target="https://assets.mathsgenie.co.uk/content/worksheets/a_level_maths/conditional-probability-ans-0af1c10c.pdf" TargetMode="External" Id="rId186" /><Relationship Type="http://schemas.openxmlformats.org/officeDocument/2006/relationships/hyperlink" Target="https://pmt.physicsandmathstutor.com/download/Maths/A-level/Statistics/Probability-2/Edexcel-Set-C/QP/Probability%20QP.pdf" TargetMode="External" Id="rId187" /><Relationship Type="http://schemas.openxmlformats.org/officeDocument/2006/relationships/hyperlink" Target="https://pmt.physicsandmathstutor.com/download/Maths/A-level/Statistics/Probability-2/Edexcel-Set-C/MS/Probability%20MS.pdf" TargetMode="External" Id="rId188" /><Relationship Type="http://schemas.openxmlformats.org/officeDocument/2006/relationships/hyperlink" Target="https://pmt.physicsandmathstutor.com/download/Maths/A-level/Statistics/Probability-2/Edexcel-Set-C/MA/Probability%20MA.pdf" TargetMode="External" Id="rId189" /><Relationship Type="http://schemas.openxmlformats.org/officeDocument/2006/relationships/hyperlink" Target="https://www.yesterdaysmathsexam.com/_files/ugd/1ba96f_4cd6cf32b92f4bc0b9a7367d0234224c.pdf" TargetMode="External" Id="rId190" /><Relationship Type="http://schemas.openxmlformats.org/officeDocument/2006/relationships/hyperlink" Target="https://www.yesterdaysmathsexam.com/_files/ugd/1ba96f_fd18f78d55f040c2946d08a7022983ff.pdf" TargetMode="External" Id="rId191" /><Relationship Type="http://schemas.openxmlformats.org/officeDocument/2006/relationships/hyperlink" Target="https://mathsgenie.co.uk/a-level/maths/edexcel/as-statistics-probability-distributions" TargetMode="External" Id="rId192" /><Relationship Type="http://schemas.openxmlformats.org/officeDocument/2006/relationships/hyperlink" Target="https://assets.mathsgenie.co.uk/content/worksheets/as_level_maths/statistical-distributions-d05f8936.pdf" TargetMode="External" Id="rId193" /><Relationship Type="http://schemas.openxmlformats.org/officeDocument/2006/relationships/hyperlink" Target="https://assets.mathsgenie.co.uk/content/worksheets/as_level_maths/statistical-distributions-ans-7d8d4cbf.pdf" TargetMode="External" Id="rId194" /><Relationship Type="http://schemas.openxmlformats.org/officeDocument/2006/relationships/hyperlink" Target="https://pmt.physicsandmathstutor.com/download/Maths/A-level/Statistics/Probability-1/Edexcel-Set-C/QP/Probability%20QP.pdf" TargetMode="External" Id="rId195" /><Relationship Type="http://schemas.openxmlformats.org/officeDocument/2006/relationships/hyperlink" Target="https://pmt.physicsandmathstutor.com/download/Maths/A-level/Statistics/Probability-1/Edexcel-Set-C/MS/Probability%20MS.pdf" TargetMode="External" Id="rId196" /><Relationship Type="http://schemas.openxmlformats.org/officeDocument/2006/relationships/hyperlink" Target="https://pmt.physicsandmathstutor.com/download/Maths/A-level/Statistics/Probability-1/Edexcel-Set-C/MA/Probability%20MA.pdf" TargetMode="External" Id="rId197" /><Relationship Type="http://schemas.openxmlformats.org/officeDocument/2006/relationships/hyperlink" Target="https://www.yesterdaysmathsexam.com/_files/ugd/1ba96f_ae6001c8146345e3859382ba631913c1.pdf" TargetMode="External" Id="rId198" /><Relationship Type="http://schemas.openxmlformats.org/officeDocument/2006/relationships/hyperlink" Target="https://www.yesterdaysmathsexam.com/_files/ugd/1ba96f_adbe4528a54544dfb83eceef712324fc.pdf" TargetMode="External" Id="rId199" /><Relationship Type="http://schemas.openxmlformats.org/officeDocument/2006/relationships/hyperlink" Target="https://mathsgenie.co.uk/a-level/maths/edexcel/as-statistics-the-binomial-distribution" TargetMode="External" Id="rId200" /><Relationship Type="http://schemas.openxmlformats.org/officeDocument/2006/relationships/hyperlink" Target="https://assets.mathsgenie.co.uk/content/worksheets/as_level_maths/statistical-distributions-d05f8936.pdf" TargetMode="External" Id="rId201" /><Relationship Type="http://schemas.openxmlformats.org/officeDocument/2006/relationships/hyperlink" Target="https://assets.mathsgenie.co.uk/content/worksheets/as_level_maths/statistical-distributions-ans-7d8d4cbf.pdf" TargetMode="External" Id="rId202" /><Relationship Type="http://schemas.openxmlformats.org/officeDocument/2006/relationships/hyperlink" Target="https://pmt.physicsandmathstutor.com/download/Maths/A-level/Statistics/Statistical-Distributions-1/Edexcel-Set-C/QP/Discrete%20Distributions%20-%20Binomial%20QP.pdf" TargetMode="External" Id="rId203" /><Relationship Type="http://schemas.openxmlformats.org/officeDocument/2006/relationships/hyperlink" Target="https://pmt.physicsandmathstutor.com/download/Maths/A-level/Statistics/Statistical-Distributions-1/Edexcel-Set-C/MS/Discrete%20Distributions%20-%20Binomial%20MS.pdf" TargetMode="External" Id="rId204" /><Relationship Type="http://schemas.openxmlformats.org/officeDocument/2006/relationships/hyperlink" Target="https://pmt.physicsandmathstutor.com/download/Maths/A-level/Statistics/Statistical-Distributions-1/Edexcel-Set-C/MA/Discrete%20Distributions%20-%20Binomial%20MA.pdf" TargetMode="External" Id="rId205" /><Relationship Type="http://schemas.openxmlformats.org/officeDocument/2006/relationships/hyperlink" Target="https://www.yesterdaysmathsexam.com/_files/ugd/1ba96f_ae6001c8146345e3859382ba631913c1.pdf" TargetMode="External" Id="rId206" /><Relationship Type="http://schemas.openxmlformats.org/officeDocument/2006/relationships/hyperlink" Target="https://www.yesterdaysmathsexam.com/_files/ugd/1ba96f_adbe4528a54544dfb83eceef712324fc.pdf" TargetMode="External" Id="rId207" /><Relationship Type="http://schemas.openxmlformats.org/officeDocument/2006/relationships/hyperlink" Target="https://mathsgenie.co.uk/a-level/maths/edexcel/as-statistics-cumulative-probabilities" TargetMode="External" Id="rId208" /><Relationship Type="http://schemas.openxmlformats.org/officeDocument/2006/relationships/hyperlink" Target="https://assets.mathsgenie.co.uk/content/worksheets/as_level_maths/statistical-distributions-d05f8936.pdf" TargetMode="External" Id="rId209" /><Relationship Type="http://schemas.openxmlformats.org/officeDocument/2006/relationships/hyperlink" Target="https://assets.mathsgenie.co.uk/content/worksheets/as_level_maths/statistical-distributions-ans-7d8d4cbf.pdf" TargetMode="External" Id="rId210" /><Relationship Type="http://schemas.openxmlformats.org/officeDocument/2006/relationships/hyperlink" Target="https://pmt.physicsandmathstutor.com/download/Maths/A-level/Statistics/Statistical-Distributions-1/Edexcel-Set-C/QP/Discrete%20Distributions%20-%20Binomial%20QP.pdf" TargetMode="External" Id="rId211" /><Relationship Type="http://schemas.openxmlformats.org/officeDocument/2006/relationships/hyperlink" Target="https://pmt.physicsandmathstutor.com/download/Maths/A-level/Statistics/Statistical-Distributions-1/Edexcel-Set-C/MS/Discrete%20Distributions%20-%20Binomial%20MS.pdf" TargetMode="External" Id="rId212" /><Relationship Type="http://schemas.openxmlformats.org/officeDocument/2006/relationships/hyperlink" Target="https://pmt.physicsandmathstutor.com/download/Maths/A-level/Statistics/Statistical-Distributions-1/Edexcel-Set-C/MA/Discrete%20Distributions%20-%20Binomial%20MA.pdf" TargetMode="External" Id="rId213" /><Relationship Type="http://schemas.openxmlformats.org/officeDocument/2006/relationships/hyperlink" Target="https://www.yesterdaysmathsexam.com/_files/ugd/1ba96f_ae6001c8146345e3859382ba631913c1.pdf" TargetMode="External" Id="rId214" /><Relationship Type="http://schemas.openxmlformats.org/officeDocument/2006/relationships/hyperlink" Target="https://www.yesterdaysmathsexam.com/_files/ugd/1ba96f_adbe4528a54544dfb83eceef712324fc.pdf" TargetMode="External" Id="rId215" /><Relationship Type="http://schemas.openxmlformats.org/officeDocument/2006/relationships/hyperlink" Target="https://mathsgenie.co.uk/a-level/maths/edexcel/a-level-statistics-finding-probabilities-for-normal-distributions" TargetMode="External" Id="rId216" /><Relationship Type="http://schemas.openxmlformats.org/officeDocument/2006/relationships/hyperlink" Target="https://assets.mathsgenie.co.uk/content/worksheets/a_level_maths/the-normal-distribution-7b1fc0c3.pdf" TargetMode="External" Id="rId217" /><Relationship Type="http://schemas.openxmlformats.org/officeDocument/2006/relationships/hyperlink" Target="https://assets.mathsgenie.co.uk/content/worksheets/a_level_maths/the-normal-distribution-ans-02388df7.pdf" TargetMode="External" Id="rId218" /><Relationship Type="http://schemas.openxmlformats.org/officeDocument/2006/relationships/hyperlink" Target="https://pmt.physicsandmathstutor.com/download/Maths/A-level/Statistics/Statistical-Distributions-2/Edexcel-Set-C/QP/Normal%20Distribution%20QP.pdf" TargetMode="External" Id="rId219" /><Relationship Type="http://schemas.openxmlformats.org/officeDocument/2006/relationships/hyperlink" Target="https://pmt.physicsandmathstutor.com/download/Maths/A-level/Statistics/Statistical-Distributions-2/Edexcel-Set-C/MS/Normal%20Distribution%20MS.pdf" TargetMode="External" Id="rId220" /><Relationship Type="http://schemas.openxmlformats.org/officeDocument/2006/relationships/hyperlink" Target="https://pmt.physicsandmathstutor.com/download/Maths/A-level/Statistics/Statistical-Distributions-2/Edexcel-Set-C/MA/Normal%20Distribution%20MA.pdf" TargetMode="External" Id="rId221" /><Relationship Type="http://schemas.openxmlformats.org/officeDocument/2006/relationships/hyperlink" Target="https://www.yesterdaysmathsexam.com/_files/ugd/1ba96f_8ea21053b8474cc7a8e93aaa72a172bc.pdf" TargetMode="External" Id="rId222" /><Relationship Type="http://schemas.openxmlformats.org/officeDocument/2006/relationships/hyperlink" Target="https://www.yesterdaysmathsexam.com/_files/ugd/1ba96f_281e76280539458f9b6630abf7660997.pdf" TargetMode="External" Id="rId223" /><Relationship Type="http://schemas.openxmlformats.org/officeDocument/2006/relationships/hyperlink" Target="https://mathsgenie.co.uk/a-level/maths/edexcel/a-level-statistics-the-inverse-normal-distribution-function" TargetMode="External" Id="rId224" /><Relationship Type="http://schemas.openxmlformats.org/officeDocument/2006/relationships/hyperlink" Target="https://assets.mathsgenie.co.uk/content/worksheets/a_level_maths/the-normal-distribution-7b1fc0c3.pdf" TargetMode="External" Id="rId225" /><Relationship Type="http://schemas.openxmlformats.org/officeDocument/2006/relationships/hyperlink" Target="https://assets.mathsgenie.co.uk/content/worksheets/a_level_maths/the-normal-distribution-ans-02388df7.pdf" TargetMode="External" Id="rId226" /><Relationship Type="http://schemas.openxmlformats.org/officeDocument/2006/relationships/hyperlink" Target="https://pmt.physicsandmathstutor.com/download/Maths/A-level/Statistics/Statistical-Distributions-2/Edexcel-Set-C/QP/Normal%20Distribution%20QP.pdf" TargetMode="External" Id="rId227" /><Relationship Type="http://schemas.openxmlformats.org/officeDocument/2006/relationships/hyperlink" Target="https://pmt.physicsandmathstutor.com/download/Maths/A-level/Statistics/Statistical-Distributions-2/Edexcel-Set-C/MS/Normal%20Distribution%20MS.pdf" TargetMode="External" Id="rId228" /><Relationship Type="http://schemas.openxmlformats.org/officeDocument/2006/relationships/hyperlink" Target="https://pmt.physicsandmathstutor.com/download/Maths/A-level/Statistics/Statistical-Distributions-2/Edexcel-Set-C/MA/Normal%20Distribution%20MA.pdf" TargetMode="External" Id="rId229" /><Relationship Type="http://schemas.openxmlformats.org/officeDocument/2006/relationships/hyperlink" Target="https://www.yesterdaysmathsexam.com/_files/ugd/1ba96f_8ea21053b8474cc7a8e93aaa72a172bc.pdf" TargetMode="External" Id="rId230" /><Relationship Type="http://schemas.openxmlformats.org/officeDocument/2006/relationships/hyperlink" Target="https://www.yesterdaysmathsexam.com/_files/ugd/1ba96f_281e76280539458f9b6630abf7660997.pdf" TargetMode="External" Id="rId231" /><Relationship Type="http://schemas.openxmlformats.org/officeDocument/2006/relationships/hyperlink" Target="https://mathsgenie.co.uk/a-level/maths/edexcel/a-level-statistics-finding-the-mean-and-standard-deviation" TargetMode="External" Id="rId232" /><Relationship Type="http://schemas.openxmlformats.org/officeDocument/2006/relationships/hyperlink" Target="https://assets.mathsgenie.co.uk/content/worksheets/a_level_maths/the-normal-distribution-7b1fc0c3.pdf" TargetMode="External" Id="rId233" /><Relationship Type="http://schemas.openxmlformats.org/officeDocument/2006/relationships/hyperlink" Target="https://assets.mathsgenie.co.uk/content/worksheets/a_level_maths/the-normal-distribution-ans-02388df7.pdf" TargetMode="External" Id="rId234" /><Relationship Type="http://schemas.openxmlformats.org/officeDocument/2006/relationships/hyperlink" Target="https://pmt.physicsandmathstutor.com/download/Maths/A-level/Statistics/Statistical-Distributions-2/Edexcel-Set-C/QP/Discrete%20Distributions%20-%20Binomial%20QP.pdf" TargetMode="External" Id="rId235" /><Relationship Type="http://schemas.openxmlformats.org/officeDocument/2006/relationships/hyperlink" Target="https://pmt.physicsandmathstutor.com/download/Maths/A-level/Statistics/Statistical-Distributions-2/Edexcel-Set-C/MS/Discrete%20Distributions%20-%20Binomial%20MS.pdf" TargetMode="External" Id="rId236" /><Relationship Type="http://schemas.openxmlformats.org/officeDocument/2006/relationships/hyperlink" Target="https://pmt.physicsandmathstutor.com/download/Maths/A-level/Statistics/Statistical-Distributions-2/Edexcel-Set-C/MA/Discrete%20Distributions%20-%20Binomial%20MA.pdf" TargetMode="External" Id="rId237" /><Relationship Type="http://schemas.openxmlformats.org/officeDocument/2006/relationships/hyperlink" Target="https://www.yesterdaysmathsexam.com/_files/ugd/1ba96f_8ea21053b8474cc7a8e93aaa72a172bc.pdf" TargetMode="External" Id="rId238" /><Relationship Type="http://schemas.openxmlformats.org/officeDocument/2006/relationships/hyperlink" Target="https://www.yesterdaysmathsexam.com/_files/ugd/1ba96f_281e76280539458f9b6630abf7660997.pdf" TargetMode="External" Id="rId239" /><Relationship Type="http://schemas.openxmlformats.org/officeDocument/2006/relationships/hyperlink" Target="https://mathsgenie.co.uk/a-level/maths/edexcel/a-level-statistics-approximating-a-binomial-distribution" TargetMode="External" Id="rId240" /><Relationship Type="http://schemas.openxmlformats.org/officeDocument/2006/relationships/hyperlink" Target="https://assets.mathsgenie.co.uk/content/worksheets/a_level_maths/the-normal-distribution-7b1fc0c3.pdf" TargetMode="External" Id="rId241" /><Relationship Type="http://schemas.openxmlformats.org/officeDocument/2006/relationships/hyperlink" Target="https://assets.mathsgenie.co.uk/content/worksheets/a_level_maths/the-normal-distribution-ans-02388df7.pdf" TargetMode="External" Id="rId242" /><Relationship Type="http://schemas.openxmlformats.org/officeDocument/2006/relationships/hyperlink" Target="https://pmt.physicsandmathstutor.com/download/Maths/A-level/Statistics/Statistical-Distributions-2/Edexcel-Set-C/QP/Normal%20Distribution%20QP.pdf" TargetMode="External" Id="rId243" /><Relationship Type="http://schemas.openxmlformats.org/officeDocument/2006/relationships/hyperlink" Target="https://pmt.physicsandmathstutor.com/download/Maths/A-level/Statistics/Statistical-Distributions-2/Edexcel-Set-C/MS/Normal%20Distribution%20MS.pdf" TargetMode="External" Id="rId244" /><Relationship Type="http://schemas.openxmlformats.org/officeDocument/2006/relationships/hyperlink" Target="https://pmt.physicsandmathstutor.com/download/Maths/A-level/Statistics/Statistical-Distributions-2/Edexcel-Set-C/MA/Normal%20Distribution%20MA.pdf" TargetMode="External" Id="rId245" /><Relationship Type="http://schemas.openxmlformats.org/officeDocument/2006/relationships/hyperlink" Target="https://www.yesterdaysmathsexam.com/_files/ugd/1ba96f_8ea21053b8474cc7a8e93aaa72a172bc.pdf" TargetMode="External" Id="rId246" /><Relationship Type="http://schemas.openxmlformats.org/officeDocument/2006/relationships/hyperlink" Target="https://www.yesterdaysmathsexam.com/_files/ugd/1ba96f_281e76280539458f9b6630abf7660997.pdf" TargetMode="External" Id="rId247" /><Relationship Type="http://schemas.openxmlformats.org/officeDocument/2006/relationships/hyperlink" Target="https://mathsgenie.co.uk/a-level/maths/edexcel/a-level-statistics-approximating-a-binomial-distribution" TargetMode="External" Id="rId248" /><Relationship Type="http://schemas.openxmlformats.org/officeDocument/2006/relationships/hyperlink" Target="https://assets.mathsgenie.co.uk/content/worksheets/a_level_maths/the-normal-distribution-7b1fc0c3.pdf" TargetMode="External" Id="rId249" /><Relationship Type="http://schemas.openxmlformats.org/officeDocument/2006/relationships/hyperlink" Target="https://assets.mathsgenie.co.uk/content/worksheets/a_level_maths/the-normal-distribution-ans-02388df7.pdf" TargetMode="External" Id="rId250" /><Relationship Type="http://schemas.openxmlformats.org/officeDocument/2006/relationships/hyperlink" Target="https://pmt.physicsandmathstutor.com/download/Maths/A-level/Statistics/Statistical-Distributions-2/Edexcel-Set-C/QP/Normal%20Distribution%20QP.pdf" TargetMode="External" Id="rId251" /><Relationship Type="http://schemas.openxmlformats.org/officeDocument/2006/relationships/hyperlink" Target="https://pmt.physicsandmathstutor.com/download/Maths/A-level/Statistics/Statistical-Distributions-2/Edexcel-Set-C/MS/Normal%20Distribution%20MS.pdf" TargetMode="External" Id="rId252" /><Relationship Type="http://schemas.openxmlformats.org/officeDocument/2006/relationships/hyperlink" Target="https://pmt.physicsandmathstutor.com/download/Maths/A-level/Statistics/Statistical-Distributions-2/Edexcel-Set-C/MA/Normal%20Distribution%20MA.pdf" TargetMode="External" Id="rId253" /><Relationship Type="http://schemas.openxmlformats.org/officeDocument/2006/relationships/hyperlink" Target="https://www.yesterdaysmathsexam.com/_files/ugd/1ba96f_8ea21053b8474cc7a8e93aaa72a172bc.pdf" TargetMode="External" Id="rId254" /><Relationship Type="http://schemas.openxmlformats.org/officeDocument/2006/relationships/hyperlink" Target="https://www.yesterdaysmathsexam.com/_files/ugd/1ba96f_281e76280539458f9b6630abf7660997.pdf" TargetMode="External" Id="rId255" /><Relationship Type="http://schemas.openxmlformats.org/officeDocument/2006/relationships/hyperlink" Target="https://mathsgenie.co.uk/a-level/maths/edexcel/as-statistics-hypothesis-testing" TargetMode="External" Id="rId256" /><Relationship Type="http://schemas.openxmlformats.org/officeDocument/2006/relationships/hyperlink" Target="https://assets.mathsgenie.co.uk/content/worksheets/as_level_maths/as-stats-binomial-hypothesis-testing-193c0b37.pdf" TargetMode="External" Id="rId257" /><Relationship Type="http://schemas.openxmlformats.org/officeDocument/2006/relationships/hyperlink" Target="https://assets.mathsgenie.co.uk/content/worksheets/as_level_maths/hypothesis-testing-ans-40e50518.pdf" TargetMode="External" Id="rId258" /><Relationship Type="http://schemas.openxmlformats.org/officeDocument/2006/relationships/hyperlink" Target="https://pmt.physicsandmathstutor.com/download/Maths/A-level/Statistics/Hypothesis-Testing-1/Edexcel-Set-C/QP/Hypothesis%20Testing%20-%20Tests%20on%20Binomial%20QP.pdf" TargetMode="External" Id="rId259" /><Relationship Type="http://schemas.openxmlformats.org/officeDocument/2006/relationships/hyperlink" Target="https://pmt.physicsandmathstutor.com/download/Maths/A-level/Statistics/Hypothesis-Testing-1/Edexcel-Set-C/MS/Hypothesis%20Testing%20-%20Tests%20on%20Binomial%20MS.pdf" TargetMode="External" Id="rId260" /><Relationship Type="http://schemas.openxmlformats.org/officeDocument/2006/relationships/hyperlink" Target="https://pmt.physicsandmathstutor.com/download/Maths/A-level/Statistics/Hypothesis-Testing-1/Edexcel-Set-C/MA/Hypothesis%20Testing%20-%20Tests%20on%20Binomial%20MA.pdf" TargetMode="External" Id="rId261" /><Relationship Type="http://schemas.openxmlformats.org/officeDocument/2006/relationships/hyperlink" Target="https://www.yesterdaysmathsexam.com/_files/ugd/1ba96f_ae6001c8146345e3859382ba631913c1.pdf" TargetMode="External" Id="rId262" /><Relationship Type="http://schemas.openxmlformats.org/officeDocument/2006/relationships/hyperlink" Target="https://www.yesterdaysmathsexam.com/_files/ugd/1ba96f_adbe4528a54544dfb83eceef712324fc.pdf" TargetMode="External" Id="rId263" /><Relationship Type="http://schemas.openxmlformats.org/officeDocument/2006/relationships/hyperlink" Target="https://mathsgenie.co.uk/a-level/maths/edexcel/as-statistics-finding-critical-values" TargetMode="External" Id="rId264" /><Relationship Type="http://schemas.openxmlformats.org/officeDocument/2006/relationships/hyperlink" Target="https://assets.mathsgenie.co.uk/content/worksheets/as_level_maths/as-stats-binomial-hypothesis-testing-193c0b37.pdf" TargetMode="External" Id="rId265" /><Relationship Type="http://schemas.openxmlformats.org/officeDocument/2006/relationships/hyperlink" Target="https://assets.mathsgenie.co.uk/content/worksheets/as_level_maths/hypothesis-testing-ans-40e50518.pdf" TargetMode="External" Id="rId266" /><Relationship Type="http://schemas.openxmlformats.org/officeDocument/2006/relationships/hyperlink" Target="https://pmt.physicsandmathstutor.com/download/Maths/A-level/Statistics/Hypothesis-Testing-1/Edexcel-Set-C/QP/Hypothesis%20Testing%20-%20Tests%20on%20Binomial%20QP.pdf" TargetMode="External" Id="rId267" /><Relationship Type="http://schemas.openxmlformats.org/officeDocument/2006/relationships/hyperlink" Target="https://pmt.physicsandmathstutor.com/download/Maths/A-level/Statistics/Hypothesis-Testing-1/Edexcel-Set-C/MS/Hypothesis%20Testing%20-%20Tests%20on%20Binomial%20MS.pdf" TargetMode="External" Id="rId268" /><Relationship Type="http://schemas.openxmlformats.org/officeDocument/2006/relationships/hyperlink" Target="https://pmt.physicsandmathstutor.com/download/Maths/A-level/Statistics/Hypothesis-Testing-1/Edexcel-Set-C/MA/Hypothesis%20Testing%20-%20Tests%20on%20Binomial%20MA.pdf" TargetMode="External" Id="rId269" /><Relationship Type="http://schemas.openxmlformats.org/officeDocument/2006/relationships/hyperlink" Target="https://www.yesterdaysmathsexam.com/_files/ugd/1ba96f_ae6001c8146345e3859382ba631913c1.pdf" TargetMode="External" Id="rId270" /><Relationship Type="http://schemas.openxmlformats.org/officeDocument/2006/relationships/hyperlink" Target="https://www.yesterdaysmathsexam.com/_files/ugd/1ba96f_adbe4528a54544dfb83eceef712324fc.pdf" TargetMode="External" Id="rId271" /><Relationship Type="http://schemas.openxmlformats.org/officeDocument/2006/relationships/hyperlink" Target="https://mathsgenie.co.uk/a-level/maths/edexcel/as-statistics-one-tailed-tests" TargetMode="External" Id="rId272" /><Relationship Type="http://schemas.openxmlformats.org/officeDocument/2006/relationships/hyperlink" Target="https://assets.mathsgenie.co.uk/content/worksheets/as_level_maths/as-stats-binomial-hypothesis-testing-193c0b37.pdf" TargetMode="External" Id="rId273" /><Relationship Type="http://schemas.openxmlformats.org/officeDocument/2006/relationships/hyperlink" Target="https://assets.mathsgenie.co.uk/content/worksheets/as_level_maths/hypothesis-testing-ans-40e50518.pdf" TargetMode="External" Id="rId274" /><Relationship Type="http://schemas.openxmlformats.org/officeDocument/2006/relationships/hyperlink" Target="https://pmt.physicsandmathstutor.com/download/Maths/A-level/Statistics/Hypothesis-Testing-1/Edexcel-Set-C/QP/Hypothesis%20Testing%20-%20Tests%20on%20Binomial%20QP.pdf" TargetMode="External" Id="rId275" /><Relationship Type="http://schemas.openxmlformats.org/officeDocument/2006/relationships/hyperlink" Target="https://pmt.physicsandmathstutor.com/download/Maths/A-level/Statistics/Hypothesis-Testing-1/Edexcel-Set-C/MS/Hypothesis%20Testing%20-%20Tests%20on%20Binomial%20MS.pdf" TargetMode="External" Id="rId276" /><Relationship Type="http://schemas.openxmlformats.org/officeDocument/2006/relationships/hyperlink" Target="https://pmt.physicsandmathstutor.com/download/Maths/A-level/Statistics/Hypothesis-Testing-1/Edexcel-Set-C/MA/Hypothesis%20Testing%20-%20Tests%20on%20Binomial%20MA.pdf" TargetMode="External" Id="rId277" /><Relationship Type="http://schemas.openxmlformats.org/officeDocument/2006/relationships/hyperlink" Target="https://www.yesterdaysmathsexam.com/_files/ugd/1ba96f_ae6001c8146345e3859382ba631913c1.pdf" TargetMode="External" Id="rId278" /><Relationship Type="http://schemas.openxmlformats.org/officeDocument/2006/relationships/hyperlink" Target="https://www.yesterdaysmathsexam.com/_files/ugd/1ba96f_adbe4528a54544dfb83eceef712324fc.pdf" TargetMode="External" Id="rId279" /><Relationship Type="http://schemas.openxmlformats.org/officeDocument/2006/relationships/hyperlink" Target="https://mathsgenie.co.uk/a-level/maths/edexcel/as-statistics-two-tailed-tests" TargetMode="External" Id="rId280" /><Relationship Type="http://schemas.openxmlformats.org/officeDocument/2006/relationships/hyperlink" Target="https://assets.mathsgenie.co.uk/content/worksheets/as_level_maths/as-stats-binomial-hypothesis-testing-193c0b37.pdf" TargetMode="External" Id="rId281" /><Relationship Type="http://schemas.openxmlformats.org/officeDocument/2006/relationships/hyperlink" Target="https://assets.mathsgenie.co.uk/content/worksheets/as_level_maths/hypothesis-testing-ans-40e50518.pdf" TargetMode="External" Id="rId282" /><Relationship Type="http://schemas.openxmlformats.org/officeDocument/2006/relationships/hyperlink" Target="https://pmt.physicsandmathstutor.com/download/Maths/A-level/Statistics/Hypothesis-Testing-1/Edexcel-Set-C/QP/Hypothesis%20Testing%20-%20Tests%20on%20Binomial%20QP.pdf" TargetMode="External" Id="rId283" /><Relationship Type="http://schemas.openxmlformats.org/officeDocument/2006/relationships/hyperlink" Target="https://pmt.physicsandmathstutor.com/download/Maths/A-level/Statistics/Hypothesis-Testing-1/Edexcel-Set-C/MS/Hypothesis%20Testing%20-%20Tests%20on%20Binomial%20MS.pdf" TargetMode="External" Id="rId284" /><Relationship Type="http://schemas.openxmlformats.org/officeDocument/2006/relationships/hyperlink" Target="https://pmt.physicsandmathstutor.com/download/Maths/A-level/Statistics/Hypothesis-Testing-1/Edexcel-Set-C/MA/Hypothesis%20Testing%20-%20Tests%20on%20Binomial%20MA.pdf" TargetMode="External" Id="rId285" /><Relationship Type="http://schemas.openxmlformats.org/officeDocument/2006/relationships/hyperlink" Target="https://www.yesterdaysmathsexam.com/_files/ugd/1ba96f_ae6001c8146345e3859382ba631913c1.pdf" TargetMode="External" Id="rId286" /><Relationship Type="http://schemas.openxmlformats.org/officeDocument/2006/relationships/hyperlink" Target="https://www.yesterdaysmathsexam.com/_files/ugd/1ba96f_adbe4528a54544dfb83eceef712324fc.pdf" TargetMode="External" Id="rId287" /><Relationship Type="http://schemas.openxmlformats.org/officeDocument/2006/relationships/hyperlink" Target="https://mathsgenie.co.uk/a-level/maths/edexcel/a-level-statistics-measuring-correlation" TargetMode="External" Id="rId288" /><Relationship Type="http://schemas.openxmlformats.org/officeDocument/2006/relationships/hyperlink" Target="https://assets.mathsgenie.co.uk/content/worksheets/a_level_maths/regression-correlation-and-hypothesis-testing-955d4f0c.pdf" TargetMode="External" Id="rId289" /><Relationship Type="http://schemas.openxmlformats.org/officeDocument/2006/relationships/hyperlink" Target="https://assets.mathsgenie.co.uk/content/worksheets/a_level_maths/regression-correlation-and-hypothesis-testing-ans-c55c04e4.pdf" TargetMode="External" Id="rId290" /><Relationship Type="http://schemas.openxmlformats.org/officeDocument/2006/relationships/hyperlink" Target="https://pmt.physicsandmathstutor.com/download/Maths/A-level/Statistics/Data-Presentation-and-Interpretation-2/Edexcel-Set-C/QP/Regression%20and%20Correlation%20QP.pdf" TargetMode="External" Id="rId291" /><Relationship Type="http://schemas.openxmlformats.org/officeDocument/2006/relationships/hyperlink" Target="https://pmt.physicsandmathstutor.com/download/Maths/A-level/Statistics/Data-Presentation-and-Interpretation-2/Edexcel-Set-C/MS/Regression%20and%20Correlation%20MS.pdf" TargetMode="External" Id="rId292" /><Relationship Type="http://schemas.openxmlformats.org/officeDocument/2006/relationships/hyperlink" Target="https://pmt.physicsandmathstutor.com/download/Maths/A-level/Statistics/Data-Presentation-and-Interpretation-2/Edexcel-Set-C/MA/Regression%20and%20Correlation%20MA.pdf" TargetMode="External" Id="rId293" /><Relationship Type="http://schemas.openxmlformats.org/officeDocument/2006/relationships/hyperlink" Target="https://www.yesterdaysmathsexam.com/_files/ugd/1ba96f_6a49bd268f8c4da99e57af29beb09d87.pdf" TargetMode="External" Id="rId294" /><Relationship Type="http://schemas.openxmlformats.org/officeDocument/2006/relationships/hyperlink" Target="https://www.yesterdaysmathsexam.com/_files/ugd/1ba96f_be9d0430ee804751a010650f256781fc.pdf" TargetMode="External" Id="rId295" /><Relationship Type="http://schemas.openxmlformats.org/officeDocument/2006/relationships/hyperlink" Target="https://mathsgenie.co.uk/a-level/maths/edexcel/a-level-statistics-hypothesis-testing-for-zero-correlation" TargetMode="External" Id="rId296" /><Relationship Type="http://schemas.openxmlformats.org/officeDocument/2006/relationships/hyperlink" Target="https://assets.mathsgenie.co.uk/content/worksheets/a_level_maths/regression-correlation-and-hypothesis-testing-955d4f0c.pdf" TargetMode="External" Id="rId297" /><Relationship Type="http://schemas.openxmlformats.org/officeDocument/2006/relationships/hyperlink" Target="https://assets.mathsgenie.co.uk/content/worksheets/a_level_maths/regression-correlation-and-hypothesis-testing-ans-c55c04e4.pdf" TargetMode="External" Id="rId298" /><Relationship Type="http://schemas.openxmlformats.org/officeDocument/2006/relationships/hyperlink" Target="https://pmt.physicsandmathstutor.com/download/Maths/A-level/Statistics/Hypothesis-Testing-2/Edexcel-Set-C/QP/Hypothesis%20Testing%20-%20Regression%20QP.pdf" TargetMode="External" Id="rId299" /><Relationship Type="http://schemas.openxmlformats.org/officeDocument/2006/relationships/hyperlink" Target="https://pmt.physicsandmathstutor.com/download/Maths/A-level/Statistics/Hypothesis-Testing-2/Edexcel-Set-C/MS/Hypothesis%20Testing%20-%20Regression%20MS.pdf" TargetMode="External" Id="rId300" /><Relationship Type="http://schemas.openxmlformats.org/officeDocument/2006/relationships/hyperlink" Target="https://pmt.physicsandmathstutor.com/download/Maths/A-level/Statistics/Hypothesis-Testing-2/Edexcel-Set-C/MA/Hypothesis%20Testing%20-%20Regression%20MA.pdf" TargetMode="External" Id="rId301" /><Relationship Type="http://schemas.openxmlformats.org/officeDocument/2006/relationships/hyperlink" Target="https://www.yesterdaysmathsexam.com/_files/ugd/1ba96f_6a49bd268f8c4da99e57af29beb09d87.pdf" TargetMode="External" Id="rId302" /><Relationship Type="http://schemas.openxmlformats.org/officeDocument/2006/relationships/hyperlink" Target="https://www.yesterdaysmathsexam.com/_files/ugd/1ba96f_be9d0430ee804751a010650f256781fc.pdf" TargetMode="External" Id="rId303" /><Relationship Type="http://schemas.openxmlformats.org/officeDocument/2006/relationships/hyperlink" Target="https://mathsgenie.co.uk/a-level/maths/edexcel/a-level-statistics-hypothesis-testing-with-the-normal-distribution" TargetMode="External" Id="rId304" /><Relationship Type="http://schemas.openxmlformats.org/officeDocument/2006/relationships/hyperlink" Target="https://assets.mathsgenie.co.uk/content/worksheets/a_level_maths/the-normal-distribution-7b1fc0c3.pdf" TargetMode="External" Id="rId305" /><Relationship Type="http://schemas.openxmlformats.org/officeDocument/2006/relationships/hyperlink" Target="https://assets.mathsgenie.co.uk/content/worksheets/a_level_maths/the-normal-distribution-ans-02388df7.pdf" TargetMode="External" Id="rId306" /><Relationship Type="http://schemas.openxmlformats.org/officeDocument/2006/relationships/hyperlink" Target="https://pmt.physicsandmathstutor.com/download/Maths/A-level/Statistics/Hypothesis-Testing-2/Edexcel-Set-C/QP/Hypothesis%20Testing%20-%20Tests%20on%20Normal%20QP.pdf" TargetMode="External" Id="rId307" /><Relationship Type="http://schemas.openxmlformats.org/officeDocument/2006/relationships/hyperlink" Target="https://pmt.physicsandmathstutor.com/download/Maths/A-level/Statistics/Hypothesis-Testing-2/Edexcel-Set-C/MS/Hypothesis%20Testing%20-%20Tests%20on%20Normal%20MS.pdf" TargetMode="External" Id="rId308" /><Relationship Type="http://schemas.openxmlformats.org/officeDocument/2006/relationships/hyperlink" Target="https://pmt.physicsandmathstutor.com/download/Maths/A-level/Statistics/Hypothesis-Testing-2/Edexcel-Set-C/MA/Hypothesis%20Testing%20-%20Tests%20on%20Normal%20MA.pdf" TargetMode="External" Id="rId309" /><Relationship Type="http://schemas.openxmlformats.org/officeDocument/2006/relationships/hyperlink" Target="https://www.yesterdaysmathsexam.com/_files/ugd/1ba96f_8ea21053b8474cc7a8e93aaa72a172bc.pdf" TargetMode="External" Id="rId310" /><Relationship Type="http://schemas.openxmlformats.org/officeDocument/2006/relationships/hyperlink" Target="https://www.yesterdaysmathsexam.com/_files/ugd/1ba96f_281e76280539458f9b6630abf7660997.pdf" TargetMode="External" Id="rId3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esterdaysmathsexam.com/_files/ugd/1ba96f_90891fdca7714ce88ac6d9323a9c1770.pdf" TargetMode="External" Id="rId1" /><Relationship Type="http://schemas.openxmlformats.org/officeDocument/2006/relationships/hyperlink" Target="https://www.yesterdaysmathsexam.com/_files/ugd/1ba96f_65f81240f9db4d2285c1202ff209a6f4.pdf" TargetMode="External" Id="rId2" /><Relationship Type="http://schemas.openxmlformats.org/officeDocument/2006/relationships/hyperlink" Target="https://www.yesterdaysmathsexam.com/_files/ugd/1ba96f_3455b68d40b840d7b1f4f4ba406a03de.pdf" TargetMode="External" Id="rId3" /><Relationship Type="http://schemas.openxmlformats.org/officeDocument/2006/relationships/hyperlink" Target="https://www.yesterdaysmathsexam.com/_files/ugd/1ba96f_5f23bdaa89ca499a9baf440ec66703a3.pdf" TargetMode="External" Id="rId4" /><Relationship Type="http://schemas.openxmlformats.org/officeDocument/2006/relationships/hyperlink" Target="https://www.yesterdaysmathsexam.com/_files/ugd/1ba96f_ed618757efba4c6dbf26ec788ee2a1d7.pdf" TargetMode="External" Id="rId5" /><Relationship Type="http://schemas.openxmlformats.org/officeDocument/2006/relationships/hyperlink" Target="https://www.yesterdaysmathsexam.com/_files/ugd/1ba96f_2e8e13ab7ba149ae98e184013ef23684.pdf" TargetMode="External" Id="rId6" /><Relationship Type="http://schemas.openxmlformats.org/officeDocument/2006/relationships/hyperlink" Target="https://www.yesterdaysmathsexam.com/_files/ugd/1ba96f_5d54bf42ea074dc89292461bd32ca80e.pdf" TargetMode="External" Id="rId7" /><Relationship Type="http://schemas.openxmlformats.org/officeDocument/2006/relationships/hyperlink" Target="https://www.yesterdaysmathsexam.com/_files/ugd/1ba96f_6b8b5da8f13a4a25b33a744329409571.pdf" TargetMode="External" Id="rId8" /><Relationship Type="http://schemas.openxmlformats.org/officeDocument/2006/relationships/hyperlink" Target="https://www.yesterdaysmathsexam.com/_files/ugd/1ba96f_ae6001c8146345e3859382ba631913c1.pdf" TargetMode="External" Id="rId9" /><Relationship Type="http://schemas.openxmlformats.org/officeDocument/2006/relationships/hyperlink" Target="https://www.yesterdaysmathsexam.com/_files/ugd/1ba96f_adbe4528a54544dfb83eceef712324fc.pdf" TargetMode="External" Id="rId10" /><Relationship Type="http://schemas.openxmlformats.org/officeDocument/2006/relationships/hyperlink" Target="https://www.yesterdaysmathsexam.com/_files/ugd/1ba96f_6a49bd268f8c4da99e57af29beb09d87.pdf" TargetMode="External" Id="rId11" /><Relationship Type="http://schemas.openxmlformats.org/officeDocument/2006/relationships/hyperlink" Target="https://www.yesterdaysmathsexam.com/_files/ugd/1ba96f_be9d0430ee804751a010650f256781fc.pdf" TargetMode="External" Id="rId12" /><Relationship Type="http://schemas.openxmlformats.org/officeDocument/2006/relationships/hyperlink" Target="https://www.yesterdaysmathsexam.com/_files/ugd/1ba96f_4cd6cf32b92f4bc0b9a7367d0234224c.pdf" TargetMode="External" Id="rId13" /><Relationship Type="http://schemas.openxmlformats.org/officeDocument/2006/relationships/hyperlink" Target="https://www.yesterdaysmathsexam.com/_files/ugd/1ba96f_fd18f78d55f040c2946d08a7022983ff.pdf" TargetMode="External" Id="rId14" /><Relationship Type="http://schemas.openxmlformats.org/officeDocument/2006/relationships/hyperlink" Target="https://www.yesterdaysmathsexam.com/_files/ugd/1ba96f_8ea21053b8474cc7a8e93aaa72a172bc.pdf" TargetMode="External" Id="rId15" /><Relationship Type="http://schemas.openxmlformats.org/officeDocument/2006/relationships/hyperlink" Target="https://www.yesterdaysmathsexam.com/_files/ugd/1ba96f_281e76280539458f9b6630abf7660997.pdf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C30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4" customWidth="1" min="4" max="4"/>
    <col width="4" customWidth="1" min="5" max="5"/>
  </cols>
  <sheetData>
    <row r="1" ht="38" customHeight="1">
      <c r="B1" s="1" t="inlineStr">
        <is>
          <t>Edexcel A Level Maths: Statistics</t>
        </is>
      </c>
    </row>
    <row r="2">
      <c r="B2" s="2" t="inlineStr">
        <is>
          <t>A quick check of how confident you feel on every topic, so revision goes where it's needed most.</t>
        </is>
      </c>
    </row>
    <row r="4">
      <c r="B4" s="3" t="inlineStr">
        <is>
          <t>How it works</t>
        </is>
      </c>
    </row>
    <row r="5" ht="36" customHeight="1">
      <c r="A5" s="4" t="n">
        <v>1</v>
      </c>
      <c r="B5" s="5" t="inlineStr">
        <is>
          <t>Open the Statistics tab</t>
        </is>
      </c>
      <c r="C5" s="6" t="inlineStr">
        <is>
          <t>Each topic has a yellow Rating box. Click it and pick R, A or G. That's the only thing to fill in (Notes are optional).</t>
        </is>
      </c>
    </row>
    <row r="6" ht="6" customHeight="1"/>
    <row r="7" ht="36" customHeight="1">
      <c r="A7" s="4" t="n">
        <v>2</v>
      </c>
      <c r="B7" s="5" t="inlineStr">
        <is>
          <t>Be honest, not kind</t>
        </is>
      </c>
      <c r="C7" s="6" t="inlineStr">
        <is>
          <t>If you're torn between two colours, pick the lower one. A Green topic gets almost no time, so only use it when you're sure.</t>
        </is>
      </c>
    </row>
    <row r="8" ht="6" customHeight="1"/>
    <row r="9" ht="36" customHeight="1">
      <c r="A9" s="4" t="n">
        <v>3</v>
      </c>
      <c r="B9" s="5" t="inlineStr">
        <is>
          <t>Take your time</t>
        </is>
      </c>
      <c r="C9" s="6" t="inlineStr">
        <is>
          <t>42 topics, most take a glance. About 10 minutes.</t>
        </is>
      </c>
    </row>
    <row r="10" ht="6" customHeight="1"/>
    <row r="12">
      <c r="B12" s="3" t="inlineStr">
        <is>
          <t>What the colours mean</t>
        </is>
      </c>
    </row>
    <row r="13" ht="26" customHeight="1">
      <c r="B13" s="7" t="inlineStr">
        <is>
          <t>R  ·  Red</t>
        </is>
      </c>
      <c r="C13" s="8" t="inlineStr">
        <is>
          <t>I can't do this yet, or I'd probably get it wrong.</t>
        </is>
      </c>
    </row>
    <row r="14" ht="26" customHeight="1">
      <c r="B14" s="9" t="inlineStr">
        <is>
          <t>A  ·  Amber</t>
        </is>
      </c>
      <c r="C14" s="8" t="inlineStr">
        <is>
          <t>I can do some of it, or I'm slow and make mistakes.</t>
        </is>
      </c>
    </row>
    <row r="15" ht="26" customHeight="1">
      <c r="B15" s="10" t="inlineStr">
        <is>
          <t>G  ·  Green</t>
        </is>
      </c>
      <c r="C15" s="8" t="inlineStr">
        <is>
          <t>I can do this confidently in exam conditions.</t>
        </is>
      </c>
    </row>
    <row r="17">
      <c r="B17" s="3" t="inlineStr">
        <is>
          <t>The tabs</t>
        </is>
      </c>
    </row>
    <row r="18" ht="24" customHeight="1">
      <c r="B18" s="11" t="inlineStr">
        <is>
          <t>Statistics</t>
        </is>
      </c>
      <c r="C18" s="8" t="inlineStr">
        <is>
          <t>42 topics for Paper 3, Section A.</t>
        </is>
      </c>
    </row>
    <row r="19" ht="24" customHeight="1">
      <c r="B19" s="12" t="inlineStr">
        <is>
          <t>Chapter tests</t>
        </is>
      </c>
      <c r="C19" s="8" t="inlineStr">
        <is>
          <t>Real exam questions for each textbook chapter. Mark them Done as you go.</t>
        </is>
      </c>
    </row>
    <row r="20" ht="24" customHeight="1">
      <c r="B20" s="13" t="inlineStr">
        <is>
          <t>Progress</t>
        </is>
      </c>
      <c r="C20" s="8" t="inlineStr">
        <is>
          <t>Fills itself in: your Red / Amber / Green totals and a practice plan.</t>
        </is>
      </c>
    </row>
    <row r="22">
      <c r="B22" s="3" t="inlineStr">
        <is>
          <t>Want to check a topic first?</t>
        </is>
      </c>
    </row>
    <row r="23" ht="20" customHeight="1">
      <c r="B23" s="14" t="inlineStr">
        <is>
          <t>▶ Watch</t>
        </is>
      </c>
      <c r="C23" s="15" t="inlineStr">
        <is>
          <t>A short Maths Genie video lesson on the topic.</t>
        </is>
      </c>
    </row>
    <row r="24" ht="30" customHeight="1">
      <c r="B24" s="14" t="inlineStr">
        <is>
          <t>Maths Genie</t>
        </is>
      </c>
      <c r="C24" s="15" t="inlineStr">
        <is>
          <t>Exam-style questions for the chapter, with worked answers. 'Topic set' = questions on just that topic.</t>
        </is>
      </c>
    </row>
    <row r="25" ht="20" customHeight="1">
      <c r="B25" s="14" t="inlineStr">
        <is>
          <t>PMT worksheet</t>
        </is>
      </c>
      <c r="C25" s="15" t="inlineStr">
        <is>
          <t>Physics &amp; Maths Tutor questions, the mark scheme and model answers.</t>
        </is>
      </c>
    </row>
    <row r="26" ht="30" customHeight="1">
      <c r="B26" s="14" t="inlineStr">
        <is>
          <t>Textbook</t>
        </is>
      </c>
      <c r="C26" s="15" t="inlineStr">
        <is>
          <t>Where it is in the Pearson textbooks (Pure 1 and 2, Applied 1 and 2), with a chapter test of real exam questions.</t>
        </is>
      </c>
    </row>
    <row r="27" ht="30" customHeight="1">
      <c r="B27" s="14" t="inlineStr">
        <is>
          <t>Ref and Year</t>
        </is>
      </c>
      <c r="C27" s="15" t="inlineStr">
        <is>
          <t>The official specification reference (e.g. P7.4). Y1 = AS / first-year content, Y2 = second year.</t>
        </is>
      </c>
    </row>
    <row r="29">
      <c r="B29" s="3" t="inlineStr">
        <is>
          <t>The exams</t>
        </is>
      </c>
    </row>
    <row r="30" ht="48" customHeight="1">
      <c r="C30" s="16" t="inlineStr">
        <is>
          <t>Three 2-hour papers, 100 marks each, each worth a third: Paper 1 and Paper 2 are Pure; Paper 3 is Statistics (Section A) and Mechanics (Section B). Year 1 content is examined too, and Pure can come up on Paper 3.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C8599"/>
    <outlinePr summaryBelow="0"/>
    <pageSetUpPr fitToPage="1"/>
  </sheetPr>
  <dimension ref="A1:P58"/>
  <sheetViews>
    <sheetView showGridLines="0" zoomScale="11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4" customWidth="1" min="2" max="2"/>
    <col width="6" customWidth="1" min="3" max="3"/>
    <col width="9" customWidth="1" min="4" max="4"/>
    <col width="30" customWidth="1" min="5" max="5"/>
    <col width="10" customWidth="1" min="6" max="6"/>
    <col width="11" customWidth="1" min="7" max="7"/>
    <col width="10" customWidth="1" min="8" max="8"/>
    <col width="30" customWidth="1" min="9" max="9"/>
    <col width="10" customWidth="1" min="10" max="10"/>
    <col width="11" customWidth="1" min="11" max="11"/>
    <col width="9" customWidth="1" min="12" max="12"/>
    <col width="13" customWidth="1" min="13" max="13"/>
    <col width="11" customWidth="1" min="14" max="14"/>
    <col width="11" customWidth="1" min="15" max="15"/>
    <col hidden="1" width="13" customWidth="1" min="16" max="16"/>
  </cols>
  <sheetData>
    <row r="1" ht="34" customHeight="1">
      <c r="A1" s="17" t="inlineStr">
        <is>
          <t>Statistics</t>
        </is>
      </c>
    </row>
    <row r="2">
      <c r="A2" s="18" t="inlineStr">
        <is>
          <t>Paper 3, Section A  ·  42 topics  ·  pick R, A or G in the yellow Rating column for each one</t>
        </is>
      </c>
    </row>
    <row r="3">
      <c r="A3" s="19">
        <f>"Rated so far: "&amp;(COUNTIF($D$7:$D$58,"R")+COUNTIF($D$7:$D$58,"A")+COUNTIF($D$7:$D$58,"G"))&amp;" of 42     Red "&amp;COUNTIF($D$7:$D$58,"R")&amp;"   ·   Amber "&amp;COUNTIF($D$7:$D$58,"A")&amp;"   ·   Green "&amp;COUNTIF($D$7:$D$58,"G")</f>
        <v/>
      </c>
    </row>
    <row r="4" ht="8" customHeight="1"/>
    <row r="5">
      <c r="A5" s="20" t="inlineStr">
        <is>
          <t>Your check</t>
        </is>
      </c>
      <c r="B5" s="21" t="n"/>
      <c r="C5" s="21" t="n"/>
      <c r="D5" s="21" t="n"/>
      <c r="E5" s="21" t="n"/>
      <c r="F5" s="22" t="inlineStr">
        <is>
          <t>Maths Genie</t>
        </is>
      </c>
      <c r="G5" s="21" t="n"/>
      <c r="H5" s="21" t="n"/>
      <c r="I5" s="22" t="inlineStr">
        <is>
          <t>PMT worksheet</t>
        </is>
      </c>
      <c r="J5" s="21" t="n"/>
      <c r="K5" s="21" t="n"/>
      <c r="L5" s="21" t="n"/>
      <c r="M5" s="22" t="inlineStr">
        <is>
          <t>Textbook chapter test</t>
        </is>
      </c>
      <c r="N5" s="21" t="n"/>
      <c r="O5" s="21" t="n"/>
    </row>
    <row r="6" ht="22" customHeight="1">
      <c r="A6" s="23" t="inlineStr">
        <is>
          <t>Ref</t>
        </is>
      </c>
      <c r="B6" s="24" t="inlineStr">
        <is>
          <t>Topic</t>
        </is>
      </c>
      <c r="C6" s="23" t="inlineStr">
        <is>
          <t>Year</t>
        </is>
      </c>
      <c r="D6" s="23" t="inlineStr">
        <is>
          <t>Rating</t>
        </is>
      </c>
      <c r="E6" s="24" t="inlineStr">
        <is>
          <t>Notes</t>
        </is>
      </c>
      <c r="F6" s="23" t="inlineStr">
        <is>
          <t>Video</t>
        </is>
      </c>
      <c r="G6" s="23" t="inlineStr">
        <is>
          <t>Questions</t>
        </is>
      </c>
      <c r="H6" s="23" t="inlineStr">
        <is>
          <t>Answers</t>
        </is>
      </c>
      <c r="I6" s="24" t="inlineStr">
        <is>
          <t>Worksheet</t>
        </is>
      </c>
      <c r="J6" s="23" t="inlineStr">
        <is>
          <t>Questions</t>
        </is>
      </c>
      <c r="K6" s="23" t="inlineStr">
        <is>
          <t>Mark scheme</t>
        </is>
      </c>
      <c r="L6" s="23" t="inlineStr">
        <is>
          <t>Answers</t>
        </is>
      </c>
      <c r="M6" s="23" t="inlineStr">
        <is>
          <t>Textbook</t>
        </is>
      </c>
      <c r="N6" s="23" t="inlineStr">
        <is>
          <t>Questions</t>
        </is>
      </c>
      <c r="O6" s="23" t="inlineStr">
        <is>
          <t>Mark scheme</t>
        </is>
      </c>
    </row>
    <row r="7" ht="10" customHeight="1"/>
    <row r="8" ht="26" customHeight="1">
      <c r="A8" s="25" t="inlineStr">
        <is>
          <t>1</t>
        </is>
      </c>
      <c r="B8" s="26" t="inlineStr">
        <is>
          <t>Statistical sampling</t>
        </is>
      </c>
      <c r="C8" s="27" t="n"/>
      <c r="D8" s="27" t="n"/>
      <c r="E8" s="28" t="inlineStr">
        <is>
          <t>3 topics  ·  Year 1: 3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</row>
    <row r="9" outlineLevel="1" ht="20" customHeight="1">
      <c r="A9" s="29" t="inlineStr">
        <is>
          <t>S1.1</t>
        </is>
      </c>
      <c r="B9" s="30" t="inlineStr">
        <is>
          <t>Populations, samples and census</t>
        </is>
      </c>
      <c r="C9" s="31" t="n">
        <v>1</v>
      </c>
      <c r="D9" s="32" t="n"/>
      <c r="E9" s="33" t="n"/>
      <c r="F9" s="34" t="inlineStr">
        <is>
          <t>▶ Watch</t>
        </is>
      </c>
      <c r="G9" s="34" t="inlineStr">
        <is>
          <t>Questions</t>
        </is>
      </c>
      <c r="H9" s="34" t="inlineStr">
        <is>
          <t>Answers</t>
        </is>
      </c>
      <c r="I9" s="35" t="inlineStr">
        <is>
          <t>none for this topic</t>
        </is>
      </c>
      <c r="J9" s="36" t="n"/>
      <c r="K9" s="36" t="n"/>
      <c r="L9" s="36" t="n"/>
      <c r="M9" s="29" t="inlineStr">
        <is>
          <t>Applied 1 Ch1</t>
        </is>
      </c>
      <c r="N9" s="37" t="inlineStr">
        <is>
          <t>none</t>
        </is>
      </c>
      <c r="O9" s="38" t="n"/>
      <c r="P9" t="inlineStr">
        <is>
          <t>S1</t>
        </is>
      </c>
    </row>
    <row r="10" outlineLevel="1" ht="20" customHeight="1">
      <c r="A10" s="29" t="inlineStr">
        <is>
          <t>S1.1</t>
        </is>
      </c>
      <c r="B10" s="30" t="inlineStr">
        <is>
          <t>Random sampling: simple random, systematic, stratified</t>
        </is>
      </c>
      <c r="C10" s="31" t="n">
        <v>1</v>
      </c>
      <c r="D10" s="32" t="n"/>
      <c r="E10" s="33" t="n"/>
      <c r="F10" s="34" t="inlineStr">
        <is>
          <t>▶ Watch</t>
        </is>
      </c>
      <c r="G10" s="34" t="inlineStr">
        <is>
          <t>Topic set</t>
        </is>
      </c>
      <c r="H10" s="34" t="inlineStr">
        <is>
          <t>Answers</t>
        </is>
      </c>
      <c r="I10" s="33" t="inlineStr">
        <is>
          <t>Sampling</t>
        </is>
      </c>
      <c r="J10" s="34" t="inlineStr">
        <is>
          <t>Questions</t>
        </is>
      </c>
      <c r="K10" s="34" t="inlineStr">
        <is>
          <t>Marks</t>
        </is>
      </c>
      <c r="L10" s="34" t="inlineStr">
        <is>
          <t>Answers</t>
        </is>
      </c>
      <c r="M10" s="29" t="inlineStr">
        <is>
          <t>Applied 1 Ch1</t>
        </is>
      </c>
      <c r="N10" s="37" t="inlineStr">
        <is>
          <t>none</t>
        </is>
      </c>
      <c r="O10" s="38" t="n"/>
      <c r="P10" t="inlineStr">
        <is>
          <t>S1</t>
        </is>
      </c>
    </row>
    <row r="11" outlineLevel="1" ht="20" customHeight="1">
      <c r="A11" s="29" t="inlineStr">
        <is>
          <t>S1.1</t>
        </is>
      </c>
      <c r="B11" s="30" t="inlineStr">
        <is>
          <t>Non-random sampling: quota and opportunity</t>
        </is>
      </c>
      <c r="C11" s="31" t="n">
        <v>1</v>
      </c>
      <c r="D11" s="32" t="n"/>
      <c r="E11" s="33" t="n"/>
      <c r="F11" s="34" t="inlineStr">
        <is>
          <t>▶ Watch</t>
        </is>
      </c>
      <c r="G11" s="34" t="inlineStr">
        <is>
          <t>Questions</t>
        </is>
      </c>
      <c r="H11" s="34" t="inlineStr">
        <is>
          <t>Answers</t>
        </is>
      </c>
      <c r="I11" s="33" t="inlineStr">
        <is>
          <t>Sampling</t>
        </is>
      </c>
      <c r="J11" s="34" t="inlineStr">
        <is>
          <t>Questions</t>
        </is>
      </c>
      <c r="K11" s="34" t="inlineStr">
        <is>
          <t>Marks</t>
        </is>
      </c>
      <c r="L11" s="34" t="inlineStr">
        <is>
          <t>Answers</t>
        </is>
      </c>
      <c r="M11" s="29" t="inlineStr">
        <is>
          <t>Applied 1 Ch1</t>
        </is>
      </c>
      <c r="N11" s="37" t="inlineStr">
        <is>
          <t>none</t>
        </is>
      </c>
      <c r="O11" s="38" t="n"/>
      <c r="P11" t="inlineStr">
        <is>
          <t>S1</t>
        </is>
      </c>
    </row>
    <row r="12" ht="10" customHeight="1"/>
    <row r="13" ht="26" customHeight="1">
      <c r="A13" s="25" t="inlineStr">
        <is>
          <t>2</t>
        </is>
      </c>
      <c r="B13" s="26" t="inlineStr">
        <is>
          <t>Data presentation and interpretation</t>
        </is>
      </c>
      <c r="C13" s="27" t="n"/>
      <c r="D13" s="27" t="n"/>
      <c r="E13" s="28" t="inlineStr">
        <is>
          <t>14 topics  ·  Year 1: 13  ·  Year 2: 1</t>
        </is>
      </c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</row>
    <row r="14" outlineLevel="1" ht="20" customHeight="1">
      <c r="A14" s="29" t="inlineStr">
        <is>
          <t>S2.3</t>
        </is>
      </c>
      <c r="B14" s="30" t="inlineStr">
        <is>
          <t>Types of data (qualitative, discrete, continuous, grouped)</t>
        </is>
      </c>
      <c r="C14" s="31" t="n">
        <v>1</v>
      </c>
      <c r="D14" s="32" t="n"/>
      <c r="E14" s="33" t="n"/>
      <c r="F14" s="34" t="inlineStr">
        <is>
          <t>▶ Watch</t>
        </is>
      </c>
      <c r="G14" s="34" t="inlineStr">
        <is>
          <t>Questions</t>
        </is>
      </c>
      <c r="H14" s="34" t="inlineStr">
        <is>
          <t>Answers</t>
        </is>
      </c>
      <c r="I14" s="35" t="inlineStr">
        <is>
          <t>none for this topic</t>
        </is>
      </c>
      <c r="J14" s="36" t="n"/>
      <c r="K14" s="36" t="n"/>
      <c r="L14" s="36" t="n"/>
      <c r="M14" s="29" t="inlineStr">
        <is>
          <t>Applied 1 Ch1</t>
        </is>
      </c>
      <c r="N14" s="37" t="inlineStr">
        <is>
          <t>none</t>
        </is>
      </c>
      <c r="O14" s="38" t="n"/>
      <c r="P14" t="inlineStr">
        <is>
          <t>S2</t>
        </is>
      </c>
    </row>
    <row r="15" outlineLevel="1" ht="20" customHeight="1">
      <c r="A15" s="29" t="inlineStr">
        <is>
          <t>S2.3</t>
        </is>
      </c>
      <c r="B15" s="30" t="inlineStr">
        <is>
          <t>Mean, median and mode (incl. grouped data)</t>
        </is>
      </c>
      <c r="C15" s="31" t="n">
        <v>1</v>
      </c>
      <c r="D15" s="32" t="n"/>
      <c r="E15" s="33" t="n"/>
      <c r="F15" s="34" t="inlineStr">
        <is>
          <t>▶ Watch</t>
        </is>
      </c>
      <c r="G15" s="34" t="inlineStr">
        <is>
          <t>Questions</t>
        </is>
      </c>
      <c r="H15" s="34" t="inlineStr">
        <is>
          <t>Answers</t>
        </is>
      </c>
      <c r="I15" s="33" t="inlineStr">
        <is>
          <t>Data Presentation</t>
        </is>
      </c>
      <c r="J15" s="34" t="inlineStr">
        <is>
          <t>Questions</t>
        </is>
      </c>
      <c r="K15" s="34" t="inlineStr">
        <is>
          <t>Marks</t>
        </is>
      </c>
      <c r="L15" s="34" t="inlineStr">
        <is>
          <t>Answers</t>
        </is>
      </c>
      <c r="M15" s="29" t="inlineStr">
        <is>
          <t>Applied 1 Ch2</t>
        </is>
      </c>
      <c r="N15" s="34" t="inlineStr">
        <is>
          <t>Set 1 of 2</t>
        </is>
      </c>
      <c r="O15" s="34" t="inlineStr">
        <is>
          <t>Marks</t>
        </is>
      </c>
      <c r="P15" t="inlineStr">
        <is>
          <t>S2</t>
        </is>
      </c>
    </row>
    <row r="16" outlineLevel="1" ht="20" customHeight="1">
      <c r="A16" s="29" t="inlineStr">
        <is>
          <t>S2.3</t>
        </is>
      </c>
      <c r="B16" s="30" t="inlineStr">
        <is>
          <t>Quartiles, percentiles and interpolation</t>
        </is>
      </c>
      <c r="C16" s="31" t="n">
        <v>1</v>
      </c>
      <c r="D16" s="32" t="n"/>
      <c r="E16" s="33" t="n"/>
      <c r="F16" s="34" t="inlineStr">
        <is>
          <t>▶ Watch</t>
        </is>
      </c>
      <c r="G16" s="34" t="inlineStr">
        <is>
          <t>Questions</t>
        </is>
      </c>
      <c r="H16" s="34" t="inlineStr">
        <is>
          <t>Answers</t>
        </is>
      </c>
      <c r="I16" s="33" t="inlineStr">
        <is>
          <t>Data Presentation</t>
        </is>
      </c>
      <c r="J16" s="34" t="inlineStr">
        <is>
          <t>Questions</t>
        </is>
      </c>
      <c r="K16" s="34" t="inlineStr">
        <is>
          <t>Marks</t>
        </is>
      </c>
      <c r="L16" s="34" t="inlineStr">
        <is>
          <t>Answers</t>
        </is>
      </c>
      <c r="M16" s="29" t="inlineStr">
        <is>
          <t>Applied 1 Ch2</t>
        </is>
      </c>
      <c r="N16" s="34" t="inlineStr">
        <is>
          <t>Set 1 of 2</t>
        </is>
      </c>
      <c r="O16" s="34" t="inlineStr">
        <is>
          <t>Marks</t>
        </is>
      </c>
      <c r="P16" t="inlineStr">
        <is>
          <t>S2</t>
        </is>
      </c>
    </row>
    <row r="17" outlineLevel="1" ht="20" customHeight="1">
      <c r="A17" s="29" t="inlineStr">
        <is>
          <t>S2.3</t>
        </is>
      </c>
      <c r="B17" s="30" t="inlineStr">
        <is>
          <t>Range, IQR, variance and standard deviation</t>
        </is>
      </c>
      <c r="C17" s="31" t="n">
        <v>1</v>
      </c>
      <c r="D17" s="32" t="n"/>
      <c r="E17" s="33" t="n"/>
      <c r="F17" s="34" t="inlineStr">
        <is>
          <t>▶ Watch</t>
        </is>
      </c>
      <c r="G17" s="34" t="inlineStr">
        <is>
          <t>Topic set</t>
        </is>
      </c>
      <c r="H17" s="34" t="inlineStr">
        <is>
          <t>Answers</t>
        </is>
      </c>
      <c r="I17" s="33" t="inlineStr">
        <is>
          <t>Data Presentation</t>
        </is>
      </c>
      <c r="J17" s="34" t="inlineStr">
        <is>
          <t>Questions</t>
        </is>
      </c>
      <c r="K17" s="34" t="inlineStr">
        <is>
          <t>Marks</t>
        </is>
      </c>
      <c r="L17" s="34" t="inlineStr">
        <is>
          <t>Answers</t>
        </is>
      </c>
      <c r="M17" s="29" t="inlineStr">
        <is>
          <t>Applied 1 Ch2</t>
        </is>
      </c>
      <c r="N17" s="34" t="inlineStr">
        <is>
          <t>Set 1 of 2</t>
        </is>
      </c>
      <c r="O17" s="34" t="inlineStr">
        <is>
          <t>Marks</t>
        </is>
      </c>
      <c r="P17" t="inlineStr">
        <is>
          <t>S2</t>
        </is>
      </c>
    </row>
    <row r="18" outlineLevel="1" ht="20" customHeight="1">
      <c r="A18" s="29" t="inlineStr">
        <is>
          <t>S2.3</t>
        </is>
      </c>
      <c r="B18" s="30" t="inlineStr">
        <is>
          <t>Coding</t>
        </is>
      </c>
      <c r="C18" s="31" t="n">
        <v>1</v>
      </c>
      <c r="D18" s="32" t="n"/>
      <c r="E18" s="33" t="n"/>
      <c r="F18" s="34" t="inlineStr">
        <is>
          <t>▶ Watch</t>
        </is>
      </c>
      <c r="G18" s="34" t="inlineStr">
        <is>
          <t>Questions</t>
        </is>
      </c>
      <c r="H18" s="34" t="inlineStr">
        <is>
          <t>Answers</t>
        </is>
      </c>
      <c r="I18" s="33" t="inlineStr">
        <is>
          <t>Large data sets</t>
        </is>
      </c>
      <c r="J18" s="34" t="inlineStr">
        <is>
          <t>Questions</t>
        </is>
      </c>
      <c r="K18" s="34" t="inlineStr">
        <is>
          <t>Marks</t>
        </is>
      </c>
      <c r="L18" s="34" t="inlineStr">
        <is>
          <t>Answers</t>
        </is>
      </c>
      <c r="M18" s="29" t="inlineStr">
        <is>
          <t>Applied 1 Ch2</t>
        </is>
      </c>
      <c r="N18" s="34" t="inlineStr">
        <is>
          <t>Set 1 of 2</t>
        </is>
      </c>
      <c r="O18" s="34" t="inlineStr">
        <is>
          <t>Marks</t>
        </is>
      </c>
      <c r="P18" t="inlineStr">
        <is>
          <t>S2</t>
        </is>
      </c>
    </row>
    <row r="19" outlineLevel="1" ht="20" customHeight="1">
      <c r="A19" s="29" t="inlineStr">
        <is>
          <t>S2.1</t>
        </is>
      </c>
      <c r="B19" s="30" t="inlineStr">
        <is>
          <t>Box plots</t>
        </is>
      </c>
      <c r="C19" s="31" t="n">
        <v>1</v>
      </c>
      <c r="D19" s="32" t="n"/>
      <c r="E19" s="33" t="n"/>
      <c r="F19" s="34" t="inlineStr">
        <is>
          <t>▶ Watch</t>
        </is>
      </c>
      <c r="G19" s="34" t="inlineStr">
        <is>
          <t>Topic set</t>
        </is>
      </c>
      <c r="H19" s="34" t="inlineStr">
        <is>
          <t>Answers</t>
        </is>
      </c>
      <c r="I19" s="33" t="inlineStr">
        <is>
          <t>Large data sets</t>
        </is>
      </c>
      <c r="J19" s="34" t="inlineStr">
        <is>
          <t>Questions</t>
        </is>
      </c>
      <c r="K19" s="34" t="inlineStr">
        <is>
          <t>Marks</t>
        </is>
      </c>
      <c r="L19" s="34" t="inlineStr">
        <is>
          <t>Answers</t>
        </is>
      </c>
      <c r="M19" s="29" t="inlineStr">
        <is>
          <t>Applied 1 Ch3</t>
        </is>
      </c>
      <c r="N19" s="34" t="inlineStr">
        <is>
          <t>Set 1 of 2</t>
        </is>
      </c>
      <c r="O19" s="34" t="inlineStr">
        <is>
          <t>Marks</t>
        </is>
      </c>
      <c r="P19" t="inlineStr">
        <is>
          <t>S2</t>
        </is>
      </c>
    </row>
    <row r="20" outlineLevel="1" ht="20" customHeight="1">
      <c r="A20" s="29" t="inlineStr">
        <is>
          <t>S2.1</t>
        </is>
      </c>
      <c r="B20" s="30" t="inlineStr">
        <is>
          <t>Cumulative frequency diagrams</t>
        </is>
      </c>
      <c r="C20" s="31" t="n">
        <v>1</v>
      </c>
      <c r="D20" s="32" t="n"/>
      <c r="E20" s="33" t="n"/>
      <c r="F20" s="34" t="inlineStr">
        <is>
          <t>▶ Watch</t>
        </is>
      </c>
      <c r="G20" s="34" t="inlineStr">
        <is>
          <t>Questions</t>
        </is>
      </c>
      <c r="H20" s="34" t="inlineStr">
        <is>
          <t>Answers</t>
        </is>
      </c>
      <c r="I20" s="35" t="inlineStr">
        <is>
          <t>none for this topic</t>
        </is>
      </c>
      <c r="J20" s="36" t="n"/>
      <c r="K20" s="36" t="n"/>
      <c r="L20" s="36" t="n"/>
      <c r="M20" s="29" t="inlineStr">
        <is>
          <t>Applied 1 Ch3</t>
        </is>
      </c>
      <c r="N20" s="34" t="inlineStr">
        <is>
          <t>Set 1 of 2</t>
        </is>
      </c>
      <c r="O20" s="34" t="inlineStr">
        <is>
          <t>Marks</t>
        </is>
      </c>
      <c r="P20" t="inlineStr">
        <is>
          <t>S2</t>
        </is>
      </c>
    </row>
    <row r="21" outlineLevel="1" ht="20" customHeight="1">
      <c r="A21" s="29" t="inlineStr">
        <is>
          <t>S2.1</t>
        </is>
      </c>
      <c r="B21" s="30" t="inlineStr">
        <is>
          <t>Histograms (frequency density) and frequency polygons</t>
        </is>
      </c>
      <c r="C21" s="31" t="n">
        <v>1</v>
      </c>
      <c r="D21" s="32" t="n"/>
      <c r="E21" s="33" t="n"/>
      <c r="F21" s="34" t="inlineStr">
        <is>
          <t>▶ Watch</t>
        </is>
      </c>
      <c r="G21" s="34" t="inlineStr">
        <is>
          <t>Topic set</t>
        </is>
      </c>
      <c r="H21" s="34" t="inlineStr">
        <is>
          <t>Answers</t>
        </is>
      </c>
      <c r="I21" s="33" t="inlineStr">
        <is>
          <t>Data Presentation</t>
        </is>
      </c>
      <c r="J21" s="34" t="inlineStr">
        <is>
          <t>Questions</t>
        </is>
      </c>
      <c r="K21" s="34" t="inlineStr">
        <is>
          <t>Marks</t>
        </is>
      </c>
      <c r="L21" s="34" t="inlineStr">
        <is>
          <t>Answers</t>
        </is>
      </c>
      <c r="M21" s="29" t="inlineStr">
        <is>
          <t>Applied 1 Ch3</t>
        </is>
      </c>
      <c r="N21" s="34" t="inlineStr">
        <is>
          <t>Set 1 of 2</t>
        </is>
      </c>
      <c r="O21" s="34" t="inlineStr">
        <is>
          <t>Marks</t>
        </is>
      </c>
      <c r="P21" t="inlineStr">
        <is>
          <t>S2</t>
        </is>
      </c>
    </row>
    <row r="22" outlineLevel="1" ht="20" customHeight="1">
      <c r="A22" s="29" t="inlineStr">
        <is>
          <t>S2.4</t>
        </is>
      </c>
      <c r="B22" s="30" t="inlineStr">
        <is>
          <t>Outliers and cleaning data</t>
        </is>
      </c>
      <c r="C22" s="31" t="n">
        <v>1</v>
      </c>
      <c r="D22" s="32" t="n"/>
      <c r="E22" s="33" t="n"/>
      <c r="F22" s="34" t="inlineStr">
        <is>
          <t>▶ Watch</t>
        </is>
      </c>
      <c r="G22" s="34" t="inlineStr">
        <is>
          <t>Questions</t>
        </is>
      </c>
      <c r="H22" s="34" t="inlineStr">
        <is>
          <t>Answers</t>
        </is>
      </c>
      <c r="I22" s="33" t="inlineStr">
        <is>
          <t>Data Presentation</t>
        </is>
      </c>
      <c r="J22" s="34" t="inlineStr">
        <is>
          <t>Questions</t>
        </is>
      </c>
      <c r="K22" s="34" t="inlineStr">
        <is>
          <t>Marks</t>
        </is>
      </c>
      <c r="L22" s="34" t="inlineStr">
        <is>
          <t>Answers</t>
        </is>
      </c>
      <c r="M22" s="29" t="inlineStr">
        <is>
          <t>Applied 1 Ch3</t>
        </is>
      </c>
      <c r="N22" s="34" t="inlineStr">
        <is>
          <t>Set 1 of 2</t>
        </is>
      </c>
      <c r="O22" s="34" t="inlineStr">
        <is>
          <t>Marks</t>
        </is>
      </c>
      <c r="P22" t="inlineStr">
        <is>
          <t>S2</t>
        </is>
      </c>
    </row>
    <row r="23" outlineLevel="1" ht="20" customHeight="1">
      <c r="A23" s="29" t="inlineStr">
        <is>
          <t>S2.4</t>
        </is>
      </c>
      <c r="B23" s="30" t="inlineStr">
        <is>
          <t>Comparing distributions</t>
        </is>
      </c>
      <c r="C23" s="31" t="n">
        <v>1</v>
      </c>
      <c r="D23" s="32" t="n"/>
      <c r="E23" s="33" t="n"/>
      <c r="F23" s="34" t="inlineStr">
        <is>
          <t>▶ Watch</t>
        </is>
      </c>
      <c r="G23" s="34" t="inlineStr">
        <is>
          <t>Questions</t>
        </is>
      </c>
      <c r="H23" s="34" t="inlineStr">
        <is>
          <t>Answers</t>
        </is>
      </c>
      <c r="I23" s="33" t="inlineStr">
        <is>
          <t>Large data sets</t>
        </is>
      </c>
      <c r="J23" s="34" t="inlineStr">
        <is>
          <t>Questions</t>
        </is>
      </c>
      <c r="K23" s="34" t="inlineStr">
        <is>
          <t>Marks</t>
        </is>
      </c>
      <c r="L23" s="34" t="inlineStr">
        <is>
          <t>Answers</t>
        </is>
      </c>
      <c r="M23" s="29" t="inlineStr">
        <is>
          <t>Applied 1 Ch3</t>
        </is>
      </c>
      <c r="N23" s="34" t="inlineStr">
        <is>
          <t>Set 1 of 2</t>
        </is>
      </c>
      <c r="O23" s="34" t="inlineStr">
        <is>
          <t>Marks</t>
        </is>
      </c>
      <c r="P23" t="inlineStr">
        <is>
          <t>S2</t>
        </is>
      </c>
    </row>
    <row r="24" outlineLevel="1" ht="32" customHeight="1">
      <c r="A24" s="29" t="inlineStr">
        <is>
          <t>S2.2</t>
        </is>
      </c>
      <c r="B24" s="30" t="inlineStr">
        <is>
          <t>Scatter diagrams and correlation (correlation vs causation)</t>
        </is>
      </c>
      <c r="C24" s="31" t="n">
        <v>1</v>
      </c>
      <c r="D24" s="32" t="n"/>
      <c r="E24" s="33" t="n"/>
      <c r="F24" s="34" t="inlineStr">
        <is>
          <t>▶ Watch</t>
        </is>
      </c>
      <c r="G24" s="34" t="inlineStr">
        <is>
          <t>Questions</t>
        </is>
      </c>
      <c r="H24" s="34" t="inlineStr">
        <is>
          <t>Answers</t>
        </is>
      </c>
      <c r="I24" s="33" t="inlineStr">
        <is>
          <t>Regression and Correlation</t>
        </is>
      </c>
      <c r="J24" s="34" t="inlineStr">
        <is>
          <t>Questions</t>
        </is>
      </c>
      <c r="K24" s="34" t="inlineStr">
        <is>
          <t>Marks</t>
        </is>
      </c>
      <c r="L24" s="34" t="inlineStr">
        <is>
          <t>Answers</t>
        </is>
      </c>
      <c r="M24" s="29" t="inlineStr">
        <is>
          <t>Applied 1 Ch4</t>
        </is>
      </c>
      <c r="N24" s="34" t="inlineStr">
        <is>
          <t>Questions</t>
        </is>
      </c>
      <c r="O24" s="34" t="inlineStr">
        <is>
          <t>Marks</t>
        </is>
      </c>
      <c r="P24" t="inlineStr">
        <is>
          <t>S2</t>
        </is>
      </c>
    </row>
    <row r="25" outlineLevel="1" ht="20" customHeight="1">
      <c r="A25" s="29" t="inlineStr">
        <is>
          <t>S2.2</t>
        </is>
      </c>
      <c r="B25" s="30" t="inlineStr">
        <is>
          <t>Linear regression lines (interpolation and extrapolation)</t>
        </is>
      </c>
      <c r="C25" s="31" t="n">
        <v>1</v>
      </c>
      <c r="D25" s="32" t="n"/>
      <c r="E25" s="33" t="n"/>
      <c r="F25" s="34" t="inlineStr">
        <is>
          <t>▶ Watch</t>
        </is>
      </c>
      <c r="G25" s="34" t="inlineStr">
        <is>
          <t>Questions</t>
        </is>
      </c>
      <c r="H25" s="34" t="inlineStr">
        <is>
          <t>Answers</t>
        </is>
      </c>
      <c r="I25" s="33" t="inlineStr">
        <is>
          <t>Regression and Correlation</t>
        </is>
      </c>
      <c r="J25" s="34" t="inlineStr">
        <is>
          <t>Questions</t>
        </is>
      </c>
      <c r="K25" s="34" t="inlineStr">
        <is>
          <t>Marks</t>
        </is>
      </c>
      <c r="L25" s="34" t="inlineStr">
        <is>
          <t>Answers</t>
        </is>
      </c>
      <c r="M25" s="29" t="inlineStr">
        <is>
          <t>Applied 1 Ch4</t>
        </is>
      </c>
      <c r="N25" s="34" t="inlineStr">
        <is>
          <t>Questions</t>
        </is>
      </c>
      <c r="O25" s="34" t="inlineStr">
        <is>
          <t>Marks</t>
        </is>
      </c>
      <c r="P25" t="inlineStr">
        <is>
          <t>S2</t>
        </is>
      </c>
    </row>
    <row r="26" outlineLevel="1" ht="32" customHeight="1">
      <c r="A26" s="29" t="inlineStr">
        <is>
          <t>S2.2</t>
        </is>
      </c>
      <c r="B26" s="30" t="inlineStr">
        <is>
          <t>Exponential models and log coding (y = axⁿ, y = kbˣ)</t>
        </is>
      </c>
      <c r="C26" s="39" t="n">
        <v>2</v>
      </c>
      <c r="D26" s="32" t="n"/>
      <c r="E26" s="33" t="n"/>
      <c r="F26" s="34" t="inlineStr">
        <is>
          <t>▶ Watch</t>
        </is>
      </c>
      <c r="G26" s="34" t="inlineStr">
        <is>
          <t>Questions</t>
        </is>
      </c>
      <c r="H26" s="34" t="inlineStr">
        <is>
          <t>Answers</t>
        </is>
      </c>
      <c r="I26" s="33" t="inlineStr">
        <is>
          <t>Regression and Correlation (Yr 2)</t>
        </is>
      </c>
      <c r="J26" s="34" t="inlineStr">
        <is>
          <t>Questions</t>
        </is>
      </c>
      <c r="K26" s="34" t="inlineStr">
        <is>
          <t>Marks</t>
        </is>
      </c>
      <c r="L26" s="34" t="inlineStr">
        <is>
          <t>Answers</t>
        </is>
      </c>
      <c r="M26" s="29" t="inlineStr">
        <is>
          <t>Applied 2 Ch1</t>
        </is>
      </c>
      <c r="N26" s="34" t="inlineStr">
        <is>
          <t>Questions</t>
        </is>
      </c>
      <c r="O26" s="34" t="inlineStr">
        <is>
          <t>Marks</t>
        </is>
      </c>
      <c r="P26" t="inlineStr">
        <is>
          <t>S2</t>
        </is>
      </c>
    </row>
    <row r="27" outlineLevel="1" ht="20" customHeight="1">
      <c r="A27" s="29" t="inlineStr">
        <is>
          <t>LDS</t>
        </is>
      </c>
      <c r="B27" s="30" t="inlineStr">
        <is>
          <t>The large data set (context and familiarity)</t>
        </is>
      </c>
      <c r="C27" s="31" t="n">
        <v>1</v>
      </c>
      <c r="D27" s="32" t="n"/>
      <c r="E27" s="33" t="n"/>
      <c r="F27" s="34" t="inlineStr">
        <is>
          <t>▶ Watch</t>
        </is>
      </c>
      <c r="G27" s="34" t="inlineStr">
        <is>
          <t>Questions</t>
        </is>
      </c>
      <c r="H27" s="34" t="inlineStr">
        <is>
          <t>Answers</t>
        </is>
      </c>
      <c r="I27" s="33" t="inlineStr">
        <is>
          <t>Large data sets</t>
        </is>
      </c>
      <c r="J27" s="34" t="inlineStr">
        <is>
          <t>Questions</t>
        </is>
      </c>
      <c r="K27" s="34" t="inlineStr">
        <is>
          <t>Marks</t>
        </is>
      </c>
      <c r="L27" s="34" t="inlineStr">
        <is>
          <t>Answers</t>
        </is>
      </c>
      <c r="M27" s="29" t="inlineStr">
        <is>
          <t>Applied 1 Ch1</t>
        </is>
      </c>
      <c r="N27" s="37" t="inlineStr">
        <is>
          <t>none</t>
        </is>
      </c>
      <c r="O27" s="38" t="n"/>
      <c r="P27" t="inlineStr">
        <is>
          <t>S2</t>
        </is>
      </c>
    </row>
    <row r="28" ht="10" customHeight="1"/>
    <row r="29" ht="26" customHeight="1">
      <c r="A29" s="25" t="inlineStr">
        <is>
          <t>3</t>
        </is>
      </c>
      <c r="B29" s="26" t="inlineStr">
        <is>
          <t>Probability</t>
        </is>
      </c>
      <c r="C29" s="27" t="n"/>
      <c r="D29" s="27" t="n"/>
      <c r="E29" s="28" t="inlineStr">
        <is>
          <t>10 topics  ·  Year 1: 4  ·  Year 2: 6</t>
        </is>
      </c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</row>
    <row r="30" outlineLevel="1" ht="20" customHeight="1">
      <c r="A30" s="29" t="inlineStr">
        <is>
          <t>S3.1</t>
        </is>
      </c>
      <c r="B30" s="30" t="inlineStr">
        <is>
          <t>Calculating probabilities and sample spaces</t>
        </is>
      </c>
      <c r="C30" s="31" t="n">
        <v>1</v>
      </c>
      <c r="D30" s="32" t="n"/>
      <c r="E30" s="33" t="n"/>
      <c r="F30" s="34" t="inlineStr">
        <is>
          <t>▶ Watch</t>
        </is>
      </c>
      <c r="G30" s="34" t="inlineStr">
        <is>
          <t>Questions</t>
        </is>
      </c>
      <c r="H30" s="34" t="inlineStr">
        <is>
          <t>Answers</t>
        </is>
      </c>
      <c r="I30" s="33" t="inlineStr">
        <is>
          <t>Probability</t>
        </is>
      </c>
      <c r="J30" s="34" t="inlineStr">
        <is>
          <t>Questions</t>
        </is>
      </c>
      <c r="K30" s="34" t="inlineStr">
        <is>
          <t>Marks</t>
        </is>
      </c>
      <c r="L30" s="34" t="inlineStr">
        <is>
          <t>Answers</t>
        </is>
      </c>
      <c r="M30" s="29" t="inlineStr">
        <is>
          <t>Applied 1 Ch5</t>
        </is>
      </c>
      <c r="N30" s="34" t="inlineStr">
        <is>
          <t>Questions</t>
        </is>
      </c>
      <c r="O30" s="34" t="inlineStr">
        <is>
          <t>Marks</t>
        </is>
      </c>
      <c r="P30" t="inlineStr">
        <is>
          <t>S3</t>
        </is>
      </c>
    </row>
    <row r="31" outlineLevel="1" ht="20" customHeight="1">
      <c r="A31" s="29" t="inlineStr">
        <is>
          <t>S3.1</t>
        </is>
      </c>
      <c r="B31" s="30" t="inlineStr">
        <is>
          <t>Venn diagrams</t>
        </is>
      </c>
      <c r="C31" s="31" t="n">
        <v>1</v>
      </c>
      <c r="D31" s="32" t="n"/>
      <c r="E31" s="33" t="n"/>
      <c r="F31" s="34" t="inlineStr">
        <is>
          <t>▶ Watch</t>
        </is>
      </c>
      <c r="G31" s="34" t="inlineStr">
        <is>
          <t>Questions</t>
        </is>
      </c>
      <c r="H31" s="34" t="inlineStr">
        <is>
          <t>Answers</t>
        </is>
      </c>
      <c r="I31" s="33" t="inlineStr">
        <is>
          <t>Probability</t>
        </is>
      </c>
      <c r="J31" s="34" t="inlineStr">
        <is>
          <t>Questions</t>
        </is>
      </c>
      <c r="K31" s="34" t="inlineStr">
        <is>
          <t>Marks</t>
        </is>
      </c>
      <c r="L31" s="34" t="inlineStr">
        <is>
          <t>Answers</t>
        </is>
      </c>
      <c r="M31" s="29" t="inlineStr">
        <is>
          <t>Applied 1 Ch5</t>
        </is>
      </c>
      <c r="N31" s="34" t="inlineStr">
        <is>
          <t>Questions</t>
        </is>
      </c>
      <c r="O31" s="34" t="inlineStr">
        <is>
          <t>Marks</t>
        </is>
      </c>
      <c r="P31" t="inlineStr">
        <is>
          <t>S3</t>
        </is>
      </c>
    </row>
    <row r="32" outlineLevel="1" ht="20" customHeight="1">
      <c r="A32" s="29" t="inlineStr">
        <is>
          <t>S3.1</t>
        </is>
      </c>
      <c r="B32" s="30" t="inlineStr">
        <is>
          <t>Mutually exclusive and independent events</t>
        </is>
      </c>
      <c r="C32" s="31" t="n">
        <v>1</v>
      </c>
      <c r="D32" s="32" t="n"/>
      <c r="E32" s="33" t="n"/>
      <c r="F32" s="34" t="inlineStr">
        <is>
          <t>▶ Watch</t>
        </is>
      </c>
      <c r="G32" s="34" t="inlineStr">
        <is>
          <t>Questions</t>
        </is>
      </c>
      <c r="H32" s="34" t="inlineStr">
        <is>
          <t>Answers</t>
        </is>
      </c>
      <c r="I32" s="33" t="inlineStr">
        <is>
          <t>Probability</t>
        </is>
      </c>
      <c r="J32" s="34" t="inlineStr">
        <is>
          <t>Questions</t>
        </is>
      </c>
      <c r="K32" s="34" t="inlineStr">
        <is>
          <t>Marks</t>
        </is>
      </c>
      <c r="L32" s="34" t="inlineStr">
        <is>
          <t>Answers</t>
        </is>
      </c>
      <c r="M32" s="29" t="inlineStr">
        <is>
          <t>Applied 1 Ch5</t>
        </is>
      </c>
      <c r="N32" s="34" t="inlineStr">
        <is>
          <t>Questions</t>
        </is>
      </c>
      <c r="O32" s="34" t="inlineStr">
        <is>
          <t>Marks</t>
        </is>
      </c>
      <c r="P32" t="inlineStr">
        <is>
          <t>S3</t>
        </is>
      </c>
    </row>
    <row r="33" outlineLevel="1" ht="20" customHeight="1">
      <c r="A33" s="29" t="inlineStr">
        <is>
          <t>S3.1</t>
        </is>
      </c>
      <c r="B33" s="30" t="inlineStr">
        <is>
          <t>Tree diagrams</t>
        </is>
      </c>
      <c r="C33" s="31" t="n">
        <v>1</v>
      </c>
      <c r="D33" s="32" t="n"/>
      <c r="E33" s="33" t="n"/>
      <c r="F33" s="34" t="inlineStr">
        <is>
          <t>▶ Watch</t>
        </is>
      </c>
      <c r="G33" s="34" t="inlineStr">
        <is>
          <t>Questions</t>
        </is>
      </c>
      <c r="H33" s="34" t="inlineStr">
        <is>
          <t>Answers</t>
        </is>
      </c>
      <c r="I33" s="35" t="inlineStr">
        <is>
          <t>none for this topic</t>
        </is>
      </c>
      <c r="J33" s="36" t="n"/>
      <c r="K33" s="36" t="n"/>
      <c r="L33" s="36" t="n"/>
      <c r="M33" s="29" t="inlineStr">
        <is>
          <t>Applied 1 Ch5</t>
        </is>
      </c>
      <c r="N33" s="34" t="inlineStr">
        <is>
          <t>Questions</t>
        </is>
      </c>
      <c r="O33" s="34" t="inlineStr">
        <is>
          <t>Marks</t>
        </is>
      </c>
      <c r="P33" t="inlineStr">
        <is>
          <t>S3</t>
        </is>
      </c>
    </row>
    <row r="34" outlineLevel="1" ht="20" customHeight="1">
      <c r="A34" s="29" t="inlineStr">
        <is>
          <t>S3.1</t>
        </is>
      </c>
      <c r="B34" s="30" t="inlineStr">
        <is>
          <t>Set notation for probability</t>
        </is>
      </c>
      <c r="C34" s="39" t="n">
        <v>2</v>
      </c>
      <c r="D34" s="32" t="n"/>
      <c r="E34" s="33" t="n"/>
      <c r="F34" s="34" t="inlineStr">
        <is>
          <t>▶ Watch</t>
        </is>
      </c>
      <c r="G34" s="34" t="inlineStr">
        <is>
          <t>Questions</t>
        </is>
      </c>
      <c r="H34" s="34" t="inlineStr">
        <is>
          <t>Answers</t>
        </is>
      </c>
      <c r="I34" s="33" t="inlineStr">
        <is>
          <t>Probability (Yr 2)</t>
        </is>
      </c>
      <c r="J34" s="34" t="inlineStr">
        <is>
          <t>Questions</t>
        </is>
      </c>
      <c r="K34" s="34" t="inlineStr">
        <is>
          <t>Marks</t>
        </is>
      </c>
      <c r="L34" s="34" t="inlineStr">
        <is>
          <t>Answers</t>
        </is>
      </c>
      <c r="M34" s="29" t="inlineStr">
        <is>
          <t>Applied 2 Ch2</t>
        </is>
      </c>
      <c r="N34" s="34" t="inlineStr">
        <is>
          <t>Questions</t>
        </is>
      </c>
      <c r="O34" s="34" t="inlineStr">
        <is>
          <t>Marks</t>
        </is>
      </c>
      <c r="P34" t="inlineStr">
        <is>
          <t>S3</t>
        </is>
      </c>
    </row>
    <row r="35" outlineLevel="1" ht="20" customHeight="1">
      <c r="A35" s="29" t="inlineStr">
        <is>
          <t>S3.2</t>
        </is>
      </c>
      <c r="B35" s="30" t="inlineStr">
        <is>
          <t>Conditional probability (incl. two-way tables)</t>
        </is>
      </c>
      <c r="C35" s="39" t="n">
        <v>2</v>
      </c>
      <c r="D35" s="32" t="n"/>
      <c r="E35" s="33" t="n"/>
      <c r="F35" s="34" t="inlineStr">
        <is>
          <t>▶ Watch</t>
        </is>
      </c>
      <c r="G35" s="34" t="inlineStr">
        <is>
          <t>Questions</t>
        </is>
      </c>
      <c r="H35" s="34" t="inlineStr">
        <is>
          <t>Answers</t>
        </is>
      </c>
      <c r="I35" s="33" t="inlineStr">
        <is>
          <t>Conditional Probability (Yr 2)</t>
        </is>
      </c>
      <c r="J35" s="34" t="inlineStr">
        <is>
          <t>Questions</t>
        </is>
      </c>
      <c r="K35" s="34" t="inlineStr">
        <is>
          <t>Marks</t>
        </is>
      </c>
      <c r="L35" s="34" t="inlineStr">
        <is>
          <t>Answers</t>
        </is>
      </c>
      <c r="M35" s="29" t="inlineStr">
        <is>
          <t>Applied 2 Ch2</t>
        </is>
      </c>
      <c r="N35" s="34" t="inlineStr">
        <is>
          <t>Questions</t>
        </is>
      </c>
      <c r="O35" s="34" t="inlineStr">
        <is>
          <t>Marks</t>
        </is>
      </c>
      <c r="P35" t="inlineStr">
        <is>
          <t>S3</t>
        </is>
      </c>
    </row>
    <row r="36" outlineLevel="1" ht="20" customHeight="1">
      <c r="A36" s="29" t="inlineStr">
        <is>
          <t>S3.2</t>
        </is>
      </c>
      <c r="B36" s="30" t="inlineStr">
        <is>
          <t>Conditional probability with Venn diagrams</t>
        </is>
      </c>
      <c r="C36" s="39" t="n">
        <v>2</v>
      </c>
      <c r="D36" s="32" t="n"/>
      <c r="E36" s="33" t="n"/>
      <c r="F36" s="34" t="inlineStr">
        <is>
          <t>▶ Watch</t>
        </is>
      </c>
      <c r="G36" s="34" t="inlineStr">
        <is>
          <t>Questions</t>
        </is>
      </c>
      <c r="H36" s="34" t="inlineStr">
        <is>
          <t>Answers</t>
        </is>
      </c>
      <c r="I36" s="33" t="inlineStr">
        <is>
          <t>Conditional Probability (Yr 2)</t>
        </is>
      </c>
      <c r="J36" s="34" t="inlineStr">
        <is>
          <t>Questions</t>
        </is>
      </c>
      <c r="K36" s="34" t="inlineStr">
        <is>
          <t>Marks</t>
        </is>
      </c>
      <c r="L36" s="34" t="inlineStr">
        <is>
          <t>Answers</t>
        </is>
      </c>
      <c r="M36" s="29" t="inlineStr">
        <is>
          <t>Applied 2 Ch2</t>
        </is>
      </c>
      <c r="N36" s="34" t="inlineStr">
        <is>
          <t>Questions</t>
        </is>
      </c>
      <c r="O36" s="34" t="inlineStr">
        <is>
          <t>Marks</t>
        </is>
      </c>
      <c r="P36" t="inlineStr">
        <is>
          <t>S3</t>
        </is>
      </c>
    </row>
    <row r="37" outlineLevel="1" ht="20" customHeight="1">
      <c r="A37" s="29" t="inlineStr">
        <is>
          <t>S3.2</t>
        </is>
      </c>
      <c r="B37" s="30" t="inlineStr">
        <is>
          <t>Probability formulae: P(A ∪ B) and P(A | B)</t>
        </is>
      </c>
      <c r="C37" s="39" t="n">
        <v>2</v>
      </c>
      <c r="D37" s="32" t="n"/>
      <c r="E37" s="33" t="n"/>
      <c r="F37" s="34" t="inlineStr">
        <is>
          <t>▶ Watch</t>
        </is>
      </c>
      <c r="G37" s="34" t="inlineStr">
        <is>
          <t>Questions</t>
        </is>
      </c>
      <c r="H37" s="34" t="inlineStr">
        <is>
          <t>Answers</t>
        </is>
      </c>
      <c r="I37" s="33" t="inlineStr">
        <is>
          <t>Conditional Probability (Yr 2)</t>
        </is>
      </c>
      <c r="J37" s="34" t="inlineStr">
        <is>
          <t>Questions</t>
        </is>
      </c>
      <c r="K37" s="34" t="inlineStr">
        <is>
          <t>Marks</t>
        </is>
      </c>
      <c r="L37" s="34" t="inlineStr">
        <is>
          <t>Answers</t>
        </is>
      </c>
      <c r="M37" s="29" t="inlineStr">
        <is>
          <t>Applied 2 Ch2</t>
        </is>
      </c>
      <c r="N37" s="34" t="inlineStr">
        <is>
          <t>Questions</t>
        </is>
      </c>
      <c r="O37" s="34" t="inlineStr">
        <is>
          <t>Marks</t>
        </is>
      </c>
      <c r="P37" t="inlineStr">
        <is>
          <t>S3</t>
        </is>
      </c>
    </row>
    <row r="38" outlineLevel="1" ht="20" customHeight="1">
      <c r="A38" s="29" t="inlineStr">
        <is>
          <t>S3.2</t>
        </is>
      </c>
      <c r="B38" s="30" t="inlineStr">
        <is>
          <t>Conditional probability with tree diagrams</t>
        </is>
      </c>
      <c r="C38" s="39" t="n">
        <v>2</v>
      </c>
      <c r="D38" s="32" t="n"/>
      <c r="E38" s="33" t="n"/>
      <c r="F38" s="34" t="inlineStr">
        <is>
          <t>▶ Watch</t>
        </is>
      </c>
      <c r="G38" s="34" t="inlineStr">
        <is>
          <t>Questions</t>
        </is>
      </c>
      <c r="H38" s="34" t="inlineStr">
        <is>
          <t>Answers</t>
        </is>
      </c>
      <c r="I38" s="35" t="inlineStr">
        <is>
          <t>none for this topic</t>
        </is>
      </c>
      <c r="J38" s="36" t="n"/>
      <c r="K38" s="36" t="n"/>
      <c r="L38" s="36" t="n"/>
      <c r="M38" s="29" t="inlineStr">
        <is>
          <t>Applied 2 Ch2</t>
        </is>
      </c>
      <c r="N38" s="34" t="inlineStr">
        <is>
          <t>Questions</t>
        </is>
      </c>
      <c r="O38" s="34" t="inlineStr">
        <is>
          <t>Marks</t>
        </is>
      </c>
      <c r="P38" t="inlineStr">
        <is>
          <t>S3</t>
        </is>
      </c>
    </row>
    <row r="39" outlineLevel="1" ht="32" customHeight="1">
      <c r="A39" s="29" t="inlineStr">
        <is>
          <t>S3.3</t>
        </is>
      </c>
      <c r="B39" s="30" t="inlineStr">
        <is>
          <t>Modelling with probability: critiquing assumptions (e.g. a fair die)</t>
        </is>
      </c>
      <c r="C39" s="39" t="n">
        <v>2</v>
      </c>
      <c r="D39" s="32" t="n"/>
      <c r="E39" s="33" t="n"/>
      <c r="F39" s="34" t="inlineStr">
        <is>
          <t>▶ Watch</t>
        </is>
      </c>
      <c r="G39" s="34" t="inlineStr">
        <is>
          <t>Questions</t>
        </is>
      </c>
      <c r="H39" s="34" t="inlineStr">
        <is>
          <t>Answers</t>
        </is>
      </c>
      <c r="I39" s="33" t="inlineStr">
        <is>
          <t>Probability (Yr 2)</t>
        </is>
      </c>
      <c r="J39" s="34" t="inlineStr">
        <is>
          <t>Questions</t>
        </is>
      </c>
      <c r="K39" s="34" t="inlineStr">
        <is>
          <t>Marks</t>
        </is>
      </c>
      <c r="L39" s="34" t="inlineStr">
        <is>
          <t>Answers</t>
        </is>
      </c>
      <c r="M39" s="29" t="inlineStr">
        <is>
          <t>Applied 2 Ch2</t>
        </is>
      </c>
      <c r="N39" s="34" t="inlineStr">
        <is>
          <t>Questions</t>
        </is>
      </c>
      <c r="O39" s="34" t="inlineStr">
        <is>
          <t>Marks</t>
        </is>
      </c>
      <c r="P39" t="inlineStr">
        <is>
          <t>S3</t>
        </is>
      </c>
    </row>
    <row r="40" ht="10" customHeight="1"/>
    <row r="41" ht="26" customHeight="1">
      <c r="A41" s="25" t="inlineStr">
        <is>
          <t>4</t>
        </is>
      </c>
      <c r="B41" s="26" t="inlineStr">
        <is>
          <t>Statistical distributions</t>
        </is>
      </c>
      <c r="C41" s="27" t="n"/>
      <c r="D41" s="27" t="n"/>
      <c r="E41" s="28" t="inlineStr">
        <is>
          <t>8 topics  ·  Year 1: 3  ·  Year 2: 5</t>
        </is>
      </c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</row>
    <row r="42" outlineLevel="1" ht="32" customHeight="1">
      <c r="A42" s="29" t="inlineStr">
        <is>
          <t>S4.1</t>
        </is>
      </c>
      <c r="B42" s="30" t="inlineStr">
        <is>
          <t>Discrete random variables, probability distributions and the discrete uniform distribution</t>
        </is>
      </c>
      <c r="C42" s="31" t="n">
        <v>1</v>
      </c>
      <c r="D42" s="32" t="n"/>
      <c r="E42" s="33" t="n"/>
      <c r="F42" s="34" t="inlineStr">
        <is>
          <t>▶ Watch</t>
        </is>
      </c>
      <c r="G42" s="34" t="inlineStr">
        <is>
          <t>Questions</t>
        </is>
      </c>
      <c r="H42" s="34" t="inlineStr">
        <is>
          <t>Answers</t>
        </is>
      </c>
      <c r="I42" s="33" t="inlineStr">
        <is>
          <t>Probability</t>
        </is>
      </c>
      <c r="J42" s="34" t="inlineStr">
        <is>
          <t>Questions</t>
        </is>
      </c>
      <c r="K42" s="34" t="inlineStr">
        <is>
          <t>Marks</t>
        </is>
      </c>
      <c r="L42" s="34" t="inlineStr">
        <is>
          <t>Answers</t>
        </is>
      </c>
      <c r="M42" s="29" t="inlineStr">
        <is>
          <t>Applied 1 Ch6</t>
        </is>
      </c>
      <c r="N42" s="34" t="inlineStr">
        <is>
          <t>Questions</t>
        </is>
      </c>
      <c r="O42" s="34" t="inlineStr">
        <is>
          <t>Marks</t>
        </is>
      </c>
      <c r="P42" t="inlineStr">
        <is>
          <t>S4</t>
        </is>
      </c>
    </row>
    <row r="43" outlineLevel="1" ht="20" customHeight="1">
      <c r="A43" s="29" t="inlineStr">
        <is>
          <t>S4.1</t>
        </is>
      </c>
      <c r="B43" s="30" t="inlineStr">
        <is>
          <t>The binomial distribution B(n, p)</t>
        </is>
      </c>
      <c r="C43" s="31" t="n">
        <v>1</v>
      </c>
      <c r="D43" s="32" t="n"/>
      <c r="E43" s="33" t="n"/>
      <c r="F43" s="34" t="inlineStr">
        <is>
          <t>▶ Watch</t>
        </is>
      </c>
      <c r="G43" s="34" t="inlineStr">
        <is>
          <t>Questions</t>
        </is>
      </c>
      <c r="H43" s="34" t="inlineStr">
        <is>
          <t>Answers</t>
        </is>
      </c>
      <c r="I43" s="33" t="inlineStr">
        <is>
          <t>Binomial Distribution</t>
        </is>
      </c>
      <c r="J43" s="34" t="inlineStr">
        <is>
          <t>Questions</t>
        </is>
      </c>
      <c r="K43" s="34" t="inlineStr">
        <is>
          <t>Marks</t>
        </is>
      </c>
      <c r="L43" s="34" t="inlineStr">
        <is>
          <t>Answers</t>
        </is>
      </c>
      <c r="M43" s="29" t="inlineStr">
        <is>
          <t>Applied 1 Ch6</t>
        </is>
      </c>
      <c r="N43" s="34" t="inlineStr">
        <is>
          <t>Questions</t>
        </is>
      </c>
      <c r="O43" s="34" t="inlineStr">
        <is>
          <t>Marks</t>
        </is>
      </c>
      <c r="P43" t="inlineStr">
        <is>
          <t>S4</t>
        </is>
      </c>
    </row>
    <row r="44" outlineLevel="1" ht="20" customHeight="1">
      <c r="A44" s="29" t="inlineStr">
        <is>
          <t>S4.1</t>
        </is>
      </c>
      <c r="B44" s="30" t="inlineStr">
        <is>
          <t>Cumulative binomial probabilities</t>
        </is>
      </c>
      <c r="C44" s="31" t="n">
        <v>1</v>
      </c>
      <c r="D44" s="32" t="n"/>
      <c r="E44" s="33" t="n"/>
      <c r="F44" s="34" t="inlineStr">
        <is>
          <t>▶ Watch</t>
        </is>
      </c>
      <c r="G44" s="34" t="inlineStr">
        <is>
          <t>Questions</t>
        </is>
      </c>
      <c r="H44" s="34" t="inlineStr">
        <is>
          <t>Answers</t>
        </is>
      </c>
      <c r="I44" s="33" t="inlineStr">
        <is>
          <t>Binomial Distribution</t>
        </is>
      </c>
      <c r="J44" s="34" t="inlineStr">
        <is>
          <t>Questions</t>
        </is>
      </c>
      <c r="K44" s="34" t="inlineStr">
        <is>
          <t>Marks</t>
        </is>
      </c>
      <c r="L44" s="34" t="inlineStr">
        <is>
          <t>Answers</t>
        </is>
      </c>
      <c r="M44" s="29" t="inlineStr">
        <is>
          <t>Applied 1 Ch6</t>
        </is>
      </c>
      <c r="N44" s="34" t="inlineStr">
        <is>
          <t>Questions</t>
        </is>
      </c>
      <c r="O44" s="34" t="inlineStr">
        <is>
          <t>Marks</t>
        </is>
      </c>
      <c r="P44" t="inlineStr">
        <is>
          <t>S4</t>
        </is>
      </c>
    </row>
    <row r="45" outlineLevel="1" ht="32" customHeight="1">
      <c r="A45" s="29" t="inlineStr">
        <is>
          <t>S4.2</t>
        </is>
      </c>
      <c r="B45" s="30" t="inlineStr">
        <is>
          <t>The normal distribution: properties (incl. inflection at μ ± σ) and finding probabilities</t>
        </is>
      </c>
      <c r="C45" s="39" t="n">
        <v>2</v>
      </c>
      <c r="D45" s="32" t="n"/>
      <c r="E45" s="33" t="n"/>
      <c r="F45" s="34" t="inlineStr">
        <is>
          <t>▶ Watch</t>
        </is>
      </c>
      <c r="G45" s="34" t="inlineStr">
        <is>
          <t>Questions</t>
        </is>
      </c>
      <c r="H45" s="34" t="inlineStr">
        <is>
          <t>Answers</t>
        </is>
      </c>
      <c r="I45" s="33" t="inlineStr">
        <is>
          <t>Normal Distribution (Yr 2)</t>
        </is>
      </c>
      <c r="J45" s="34" t="inlineStr">
        <is>
          <t>Questions</t>
        </is>
      </c>
      <c r="K45" s="34" t="inlineStr">
        <is>
          <t>Marks</t>
        </is>
      </c>
      <c r="L45" s="34" t="inlineStr">
        <is>
          <t>Answers</t>
        </is>
      </c>
      <c r="M45" s="29" t="inlineStr">
        <is>
          <t>Applied 2 Ch3</t>
        </is>
      </c>
      <c r="N45" s="34" t="inlineStr">
        <is>
          <t>Questions</t>
        </is>
      </c>
      <c r="O45" s="34" t="inlineStr">
        <is>
          <t>Marks</t>
        </is>
      </c>
      <c r="P45" t="inlineStr">
        <is>
          <t>S4</t>
        </is>
      </c>
    </row>
    <row r="46" outlineLevel="1" ht="20" customHeight="1">
      <c r="A46" s="29" t="inlineStr">
        <is>
          <t>S4.2</t>
        </is>
      </c>
      <c r="B46" s="30" t="inlineStr">
        <is>
          <t>The inverse normal distribution</t>
        </is>
      </c>
      <c r="C46" s="39" t="n">
        <v>2</v>
      </c>
      <c r="D46" s="32" t="n"/>
      <c r="E46" s="33" t="n"/>
      <c r="F46" s="34" t="inlineStr">
        <is>
          <t>▶ Watch</t>
        </is>
      </c>
      <c r="G46" s="34" t="inlineStr">
        <is>
          <t>Questions</t>
        </is>
      </c>
      <c r="H46" s="34" t="inlineStr">
        <is>
          <t>Answers</t>
        </is>
      </c>
      <c r="I46" s="33" t="inlineStr">
        <is>
          <t>Normal Distribution (Yr 2)</t>
        </is>
      </c>
      <c r="J46" s="34" t="inlineStr">
        <is>
          <t>Questions</t>
        </is>
      </c>
      <c r="K46" s="34" t="inlineStr">
        <is>
          <t>Marks</t>
        </is>
      </c>
      <c r="L46" s="34" t="inlineStr">
        <is>
          <t>Answers</t>
        </is>
      </c>
      <c r="M46" s="29" t="inlineStr">
        <is>
          <t>Applied 2 Ch3</t>
        </is>
      </c>
      <c r="N46" s="34" t="inlineStr">
        <is>
          <t>Questions</t>
        </is>
      </c>
      <c r="O46" s="34" t="inlineStr">
        <is>
          <t>Marks</t>
        </is>
      </c>
      <c r="P46" t="inlineStr">
        <is>
          <t>S4</t>
        </is>
      </c>
    </row>
    <row r="47" outlineLevel="1" ht="32" customHeight="1">
      <c r="A47" s="29" t="inlineStr">
        <is>
          <t>S4.2</t>
        </is>
      </c>
      <c r="B47" s="30" t="inlineStr">
        <is>
          <t>Standard normal Z and finding an unknown mean or standard deviation</t>
        </is>
      </c>
      <c r="C47" s="39" t="n">
        <v>2</v>
      </c>
      <c r="D47" s="32" t="n"/>
      <c r="E47" s="33" t="n"/>
      <c r="F47" s="34" t="inlineStr">
        <is>
          <t>▶ Watch</t>
        </is>
      </c>
      <c r="G47" s="34" t="inlineStr">
        <is>
          <t>Questions</t>
        </is>
      </c>
      <c r="H47" s="34" t="inlineStr">
        <is>
          <t>Answers</t>
        </is>
      </c>
      <c r="I47" s="33" t="inlineStr">
        <is>
          <t>Binomial Distribution (Yr 2)</t>
        </is>
      </c>
      <c r="J47" s="34" t="inlineStr">
        <is>
          <t>Questions</t>
        </is>
      </c>
      <c r="K47" s="34" t="inlineStr">
        <is>
          <t>Marks</t>
        </is>
      </c>
      <c r="L47" s="34" t="inlineStr">
        <is>
          <t>Answers</t>
        </is>
      </c>
      <c r="M47" s="29" t="inlineStr">
        <is>
          <t>Applied 2 Ch3</t>
        </is>
      </c>
      <c r="N47" s="34" t="inlineStr">
        <is>
          <t>Questions</t>
        </is>
      </c>
      <c r="O47" s="34" t="inlineStr">
        <is>
          <t>Marks</t>
        </is>
      </c>
      <c r="P47" t="inlineStr">
        <is>
          <t>S4</t>
        </is>
      </c>
    </row>
    <row r="48" outlineLevel="1" ht="32" customHeight="1">
      <c r="A48" s="29" t="inlineStr">
        <is>
          <t>S4.2</t>
        </is>
      </c>
      <c r="B48" s="30" t="inlineStr">
        <is>
          <t>Normal approximation to the binomial (incl. continuity correction)</t>
        </is>
      </c>
      <c r="C48" s="39" t="n">
        <v>2</v>
      </c>
      <c r="D48" s="32" t="n"/>
      <c r="E48" s="33" t="n"/>
      <c r="F48" s="34" t="inlineStr">
        <is>
          <t>▶ Watch</t>
        </is>
      </c>
      <c r="G48" s="34" t="inlineStr">
        <is>
          <t>Questions</t>
        </is>
      </c>
      <c r="H48" s="34" t="inlineStr">
        <is>
          <t>Answers</t>
        </is>
      </c>
      <c r="I48" s="33" t="inlineStr">
        <is>
          <t>Normal Distribution (Yr 2)</t>
        </is>
      </c>
      <c r="J48" s="34" t="inlineStr">
        <is>
          <t>Questions</t>
        </is>
      </c>
      <c r="K48" s="34" t="inlineStr">
        <is>
          <t>Marks</t>
        </is>
      </c>
      <c r="L48" s="34" t="inlineStr">
        <is>
          <t>Answers</t>
        </is>
      </c>
      <c r="M48" s="29" t="inlineStr">
        <is>
          <t>Applied 2 Ch3</t>
        </is>
      </c>
      <c r="N48" s="34" t="inlineStr">
        <is>
          <t>Questions</t>
        </is>
      </c>
      <c r="O48" s="34" t="inlineStr">
        <is>
          <t>Marks</t>
        </is>
      </c>
      <c r="P48" t="inlineStr">
        <is>
          <t>S4</t>
        </is>
      </c>
    </row>
    <row r="49" outlineLevel="1" ht="20" customHeight="1">
      <c r="A49" s="29" t="inlineStr">
        <is>
          <t>S4.3</t>
        </is>
      </c>
      <c r="B49" s="30" t="inlineStr">
        <is>
          <t>Choosing a suitable distribution for a model</t>
        </is>
      </c>
      <c r="C49" s="39" t="n">
        <v>2</v>
      </c>
      <c r="D49" s="32" t="n"/>
      <c r="E49" s="33" t="n"/>
      <c r="F49" s="34" t="inlineStr">
        <is>
          <t>▶ Watch</t>
        </is>
      </c>
      <c r="G49" s="34" t="inlineStr">
        <is>
          <t>Questions</t>
        </is>
      </c>
      <c r="H49" s="34" t="inlineStr">
        <is>
          <t>Answers</t>
        </is>
      </c>
      <c r="I49" s="33" t="inlineStr">
        <is>
          <t>Normal Distribution (Yr 2)</t>
        </is>
      </c>
      <c r="J49" s="34" t="inlineStr">
        <is>
          <t>Questions</t>
        </is>
      </c>
      <c r="K49" s="34" t="inlineStr">
        <is>
          <t>Marks</t>
        </is>
      </c>
      <c r="L49" s="34" t="inlineStr">
        <is>
          <t>Answers</t>
        </is>
      </c>
      <c r="M49" s="29" t="inlineStr">
        <is>
          <t>Applied 2 Ch3</t>
        </is>
      </c>
      <c r="N49" s="34" t="inlineStr">
        <is>
          <t>Questions</t>
        </is>
      </c>
      <c r="O49" s="34" t="inlineStr">
        <is>
          <t>Marks</t>
        </is>
      </c>
      <c r="P49" t="inlineStr">
        <is>
          <t>S4</t>
        </is>
      </c>
    </row>
    <row r="50" ht="10" customHeight="1"/>
    <row r="51" ht="26" customHeight="1">
      <c r="A51" s="25" t="inlineStr">
        <is>
          <t>5</t>
        </is>
      </c>
      <c r="B51" s="26" t="inlineStr">
        <is>
          <t>Statistical hypothesis testing</t>
        </is>
      </c>
      <c r="C51" s="27" t="n"/>
      <c r="D51" s="27" t="n"/>
      <c r="E51" s="28" t="inlineStr">
        <is>
          <t>7 topics  ·  Year 1: 4  ·  Year 2: 3</t>
        </is>
      </c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</row>
    <row r="52" outlineLevel="1" ht="32" customHeight="1">
      <c r="A52" s="29" t="inlineStr">
        <is>
          <t>S5.1</t>
        </is>
      </c>
      <c r="B52" s="30" t="inlineStr">
        <is>
          <t>Language of hypothesis testing (H₀, H₁, significance level, p-value)</t>
        </is>
      </c>
      <c r="C52" s="31" t="n">
        <v>1</v>
      </c>
      <c r="D52" s="32" t="n"/>
      <c r="E52" s="33" t="n"/>
      <c r="F52" s="34" t="inlineStr">
        <is>
          <t>▶ Watch</t>
        </is>
      </c>
      <c r="G52" s="34" t="inlineStr">
        <is>
          <t>Questions</t>
        </is>
      </c>
      <c r="H52" s="34" t="inlineStr">
        <is>
          <t>Answers</t>
        </is>
      </c>
      <c r="I52" s="33" t="inlineStr">
        <is>
          <t>Binomial Tests</t>
        </is>
      </c>
      <c r="J52" s="34" t="inlineStr">
        <is>
          <t>Questions</t>
        </is>
      </c>
      <c r="K52" s="34" t="inlineStr">
        <is>
          <t>Marks</t>
        </is>
      </c>
      <c r="L52" s="34" t="inlineStr">
        <is>
          <t>Answers</t>
        </is>
      </c>
      <c r="M52" s="29" t="inlineStr">
        <is>
          <t>Applied 1 Ch7</t>
        </is>
      </c>
      <c r="N52" s="34" t="inlineStr">
        <is>
          <t>Questions</t>
        </is>
      </c>
      <c r="O52" s="34" t="inlineStr">
        <is>
          <t>Marks</t>
        </is>
      </c>
      <c r="P52" t="inlineStr">
        <is>
          <t>S5</t>
        </is>
      </c>
    </row>
    <row r="53" outlineLevel="1" ht="32" customHeight="1">
      <c r="A53" s="29" t="inlineStr">
        <is>
          <t>S5.1</t>
        </is>
      </c>
      <c r="B53" s="30" t="inlineStr">
        <is>
          <t>Critical values, critical regions and actual significance level</t>
        </is>
      </c>
      <c r="C53" s="31" t="n">
        <v>1</v>
      </c>
      <c r="D53" s="32" t="n"/>
      <c r="E53" s="33" t="n"/>
      <c r="F53" s="34" t="inlineStr">
        <is>
          <t>▶ Watch</t>
        </is>
      </c>
      <c r="G53" s="34" t="inlineStr">
        <is>
          <t>Questions</t>
        </is>
      </c>
      <c r="H53" s="34" t="inlineStr">
        <is>
          <t>Answers</t>
        </is>
      </c>
      <c r="I53" s="33" t="inlineStr">
        <is>
          <t>Binomial Tests</t>
        </is>
      </c>
      <c r="J53" s="34" t="inlineStr">
        <is>
          <t>Questions</t>
        </is>
      </c>
      <c r="K53" s="34" t="inlineStr">
        <is>
          <t>Marks</t>
        </is>
      </c>
      <c r="L53" s="34" t="inlineStr">
        <is>
          <t>Answers</t>
        </is>
      </c>
      <c r="M53" s="29" t="inlineStr">
        <is>
          <t>Applied 1 Ch7</t>
        </is>
      </c>
      <c r="N53" s="34" t="inlineStr">
        <is>
          <t>Questions</t>
        </is>
      </c>
      <c r="O53" s="34" t="inlineStr">
        <is>
          <t>Marks</t>
        </is>
      </c>
      <c r="P53" t="inlineStr">
        <is>
          <t>S5</t>
        </is>
      </c>
    </row>
    <row r="54" outlineLevel="1" ht="20" customHeight="1">
      <c r="A54" s="29" t="inlineStr">
        <is>
          <t>S5.2</t>
        </is>
      </c>
      <c r="B54" s="30" t="inlineStr">
        <is>
          <t>One-tailed binomial tests</t>
        </is>
      </c>
      <c r="C54" s="31" t="n">
        <v>1</v>
      </c>
      <c r="D54" s="32" t="n"/>
      <c r="E54" s="33" t="n"/>
      <c r="F54" s="34" t="inlineStr">
        <is>
          <t>▶ Watch</t>
        </is>
      </c>
      <c r="G54" s="34" t="inlineStr">
        <is>
          <t>Questions</t>
        </is>
      </c>
      <c r="H54" s="34" t="inlineStr">
        <is>
          <t>Answers</t>
        </is>
      </c>
      <c r="I54" s="33" t="inlineStr">
        <is>
          <t>Binomial Tests</t>
        </is>
      </c>
      <c r="J54" s="34" t="inlineStr">
        <is>
          <t>Questions</t>
        </is>
      </c>
      <c r="K54" s="34" t="inlineStr">
        <is>
          <t>Marks</t>
        </is>
      </c>
      <c r="L54" s="34" t="inlineStr">
        <is>
          <t>Answers</t>
        </is>
      </c>
      <c r="M54" s="29" t="inlineStr">
        <is>
          <t>Applied 1 Ch7</t>
        </is>
      </c>
      <c r="N54" s="34" t="inlineStr">
        <is>
          <t>Questions</t>
        </is>
      </c>
      <c r="O54" s="34" t="inlineStr">
        <is>
          <t>Marks</t>
        </is>
      </c>
      <c r="P54" t="inlineStr">
        <is>
          <t>S5</t>
        </is>
      </c>
    </row>
    <row r="55" outlineLevel="1" ht="20" customHeight="1">
      <c r="A55" s="29" t="inlineStr">
        <is>
          <t>S5.2</t>
        </is>
      </c>
      <c r="B55" s="30" t="inlineStr">
        <is>
          <t>Two-tailed binomial tests</t>
        </is>
      </c>
      <c r="C55" s="31" t="n">
        <v>1</v>
      </c>
      <c r="D55" s="32" t="n"/>
      <c r="E55" s="33" t="n"/>
      <c r="F55" s="34" t="inlineStr">
        <is>
          <t>▶ Watch</t>
        </is>
      </c>
      <c r="G55" s="34" t="inlineStr">
        <is>
          <t>Questions</t>
        </is>
      </c>
      <c r="H55" s="34" t="inlineStr">
        <is>
          <t>Answers</t>
        </is>
      </c>
      <c r="I55" s="33" t="inlineStr">
        <is>
          <t>Binomial Tests</t>
        </is>
      </c>
      <c r="J55" s="34" t="inlineStr">
        <is>
          <t>Questions</t>
        </is>
      </c>
      <c r="K55" s="34" t="inlineStr">
        <is>
          <t>Marks</t>
        </is>
      </c>
      <c r="L55" s="34" t="inlineStr">
        <is>
          <t>Answers</t>
        </is>
      </c>
      <c r="M55" s="29" t="inlineStr">
        <is>
          <t>Applied 1 Ch7</t>
        </is>
      </c>
      <c r="N55" s="34" t="inlineStr">
        <is>
          <t>Questions</t>
        </is>
      </c>
      <c r="O55" s="34" t="inlineStr">
        <is>
          <t>Marks</t>
        </is>
      </c>
      <c r="P55" t="inlineStr">
        <is>
          <t>S5</t>
        </is>
      </c>
    </row>
    <row r="56" outlineLevel="1" ht="32" customHeight="1">
      <c r="A56" s="29" t="inlineStr">
        <is>
          <t>S5.1</t>
        </is>
      </c>
      <c r="B56" s="30" t="inlineStr">
        <is>
          <t>Product moment correlation coefficient (PMCC) and interpreting it</t>
        </is>
      </c>
      <c r="C56" s="39" t="n">
        <v>2</v>
      </c>
      <c r="D56" s="32" t="n"/>
      <c r="E56" s="33" t="n"/>
      <c r="F56" s="34" t="inlineStr">
        <is>
          <t>▶ Watch</t>
        </is>
      </c>
      <c r="G56" s="34" t="inlineStr">
        <is>
          <t>Questions</t>
        </is>
      </c>
      <c r="H56" s="34" t="inlineStr">
        <is>
          <t>Answers</t>
        </is>
      </c>
      <c r="I56" s="33" t="inlineStr">
        <is>
          <t>Regression and Correlation (Yr 2)</t>
        </is>
      </c>
      <c r="J56" s="34" t="inlineStr">
        <is>
          <t>Questions</t>
        </is>
      </c>
      <c r="K56" s="34" t="inlineStr">
        <is>
          <t>Marks</t>
        </is>
      </c>
      <c r="L56" s="34" t="inlineStr">
        <is>
          <t>Answers</t>
        </is>
      </c>
      <c r="M56" s="29" t="inlineStr">
        <is>
          <t>Applied 2 Ch1</t>
        </is>
      </c>
      <c r="N56" s="34" t="inlineStr">
        <is>
          <t>Questions</t>
        </is>
      </c>
      <c r="O56" s="34" t="inlineStr">
        <is>
          <t>Marks</t>
        </is>
      </c>
      <c r="P56" t="inlineStr">
        <is>
          <t>S5</t>
        </is>
      </c>
    </row>
    <row r="57" outlineLevel="1" ht="20" customHeight="1">
      <c r="A57" s="29" t="inlineStr">
        <is>
          <t>S5.1</t>
        </is>
      </c>
      <c r="B57" s="30" t="inlineStr">
        <is>
          <t>Hypothesis test for zero correlation (PMCC)</t>
        </is>
      </c>
      <c r="C57" s="39" t="n">
        <v>2</v>
      </c>
      <c r="D57" s="32" t="n"/>
      <c r="E57" s="33" t="n"/>
      <c r="F57" s="34" t="inlineStr">
        <is>
          <t>▶ Watch</t>
        </is>
      </c>
      <c r="G57" s="34" t="inlineStr">
        <is>
          <t>Questions</t>
        </is>
      </c>
      <c r="H57" s="34" t="inlineStr">
        <is>
          <t>Answers</t>
        </is>
      </c>
      <c r="I57" s="33" t="inlineStr">
        <is>
          <t>Regression (Yr 2)</t>
        </is>
      </c>
      <c r="J57" s="34" t="inlineStr">
        <is>
          <t>Questions</t>
        </is>
      </c>
      <c r="K57" s="34" t="inlineStr">
        <is>
          <t>Marks</t>
        </is>
      </c>
      <c r="L57" s="34" t="inlineStr">
        <is>
          <t>Answers</t>
        </is>
      </c>
      <c r="M57" s="29" t="inlineStr">
        <is>
          <t>Applied 2 Ch1</t>
        </is>
      </c>
      <c r="N57" s="34" t="inlineStr">
        <is>
          <t>Questions</t>
        </is>
      </c>
      <c r="O57" s="34" t="inlineStr">
        <is>
          <t>Marks</t>
        </is>
      </c>
      <c r="P57" t="inlineStr">
        <is>
          <t>S5</t>
        </is>
      </c>
    </row>
    <row r="58" outlineLevel="1" ht="20" customHeight="1">
      <c r="A58" s="29" t="inlineStr">
        <is>
          <t>S5.3</t>
        </is>
      </c>
      <c r="B58" s="30" t="inlineStr">
        <is>
          <t>Hypothesis test for the mean of a normal distribution</t>
        </is>
      </c>
      <c r="C58" s="39" t="n">
        <v>2</v>
      </c>
      <c r="D58" s="32" t="n"/>
      <c r="E58" s="33" t="n"/>
      <c r="F58" s="34" t="inlineStr">
        <is>
          <t>▶ Watch</t>
        </is>
      </c>
      <c r="G58" s="34" t="inlineStr">
        <is>
          <t>Questions</t>
        </is>
      </c>
      <c r="H58" s="34" t="inlineStr">
        <is>
          <t>Answers</t>
        </is>
      </c>
      <c r="I58" s="33" t="inlineStr">
        <is>
          <t>Normal Tests (Yr 2)</t>
        </is>
      </c>
      <c r="J58" s="34" t="inlineStr">
        <is>
          <t>Questions</t>
        </is>
      </c>
      <c r="K58" s="34" t="inlineStr">
        <is>
          <t>Marks</t>
        </is>
      </c>
      <c r="L58" s="34" t="inlineStr">
        <is>
          <t>Answers</t>
        </is>
      </c>
      <c r="M58" s="29" t="inlineStr">
        <is>
          <t>Applied 2 Ch3</t>
        </is>
      </c>
      <c r="N58" s="34" t="inlineStr">
        <is>
          <t>Questions</t>
        </is>
      </c>
      <c r="O58" s="34" t="inlineStr">
        <is>
          <t>Marks</t>
        </is>
      </c>
      <c r="P58" t="inlineStr">
        <is>
          <t>S5</t>
        </is>
      </c>
    </row>
  </sheetData>
  <mergeCells count="4">
    <mergeCell ref="M5:O5"/>
    <mergeCell ref="A5:E5"/>
    <mergeCell ref="F5:H5"/>
    <mergeCell ref="I5:L5"/>
  </mergeCells>
  <conditionalFormatting sqref="D7:D58">
    <cfRule type="cellIs" priority="1" operator="equal" dxfId="0">
      <formula>"R"</formula>
    </cfRule>
    <cfRule type="cellIs" priority="3" operator="equal" dxfId="1">
      <formula>"A"</formula>
    </cfRule>
    <cfRule type="cellIs" priority="5" operator="equal" dxfId="2">
      <formula>"G"</formula>
    </cfRule>
  </conditionalFormatting>
  <conditionalFormatting sqref="B7:B58">
    <cfRule type="expression" priority="2" dxfId="3">
      <formula>$D7="R"</formula>
    </cfRule>
    <cfRule type="expression" priority="4" dxfId="4">
      <formula>$D7="A"</formula>
    </cfRule>
    <cfRule type="expression" priority="6" dxfId="5">
      <formula>$D7="G"</formula>
    </cfRule>
  </conditionalFormatting>
  <dataValidations count="1">
    <dataValidation sqref="D7:D58" showDropDown="0" showInputMessage="0" showErrorMessage="1" allowBlank="1" errorTitle="R, A or G" error="Please pick R, A or G from the list." promptTitle="How confident are you?" prompt="R = can't do it yet&#10;A = getting there&#10;G = confident" type="list">
      <formula1>"R,A,G"</formula1>
    </dataValidation>
  </dataValidations>
  <hyperlinks>
    <hyperlink xmlns:r="http://schemas.openxmlformats.org/officeDocument/2006/relationships" ref="F9" r:id="rId1"/>
    <hyperlink xmlns:r="http://schemas.openxmlformats.org/officeDocument/2006/relationships" ref="G9" r:id="rId2"/>
    <hyperlink xmlns:r="http://schemas.openxmlformats.org/officeDocument/2006/relationships" ref="H9" r:id="rId3"/>
    <hyperlink xmlns:r="http://schemas.openxmlformats.org/officeDocument/2006/relationships" ref="F10" r:id="rId4"/>
    <hyperlink xmlns:r="http://schemas.openxmlformats.org/officeDocument/2006/relationships" ref="G10" r:id="rId5"/>
    <hyperlink xmlns:r="http://schemas.openxmlformats.org/officeDocument/2006/relationships" ref="H10" r:id="rId6"/>
    <hyperlink xmlns:r="http://schemas.openxmlformats.org/officeDocument/2006/relationships" ref="J10" r:id="rId7"/>
    <hyperlink xmlns:r="http://schemas.openxmlformats.org/officeDocument/2006/relationships" ref="K10" r:id="rId8"/>
    <hyperlink xmlns:r="http://schemas.openxmlformats.org/officeDocument/2006/relationships" ref="L10" r:id="rId9"/>
    <hyperlink xmlns:r="http://schemas.openxmlformats.org/officeDocument/2006/relationships" ref="F11" r:id="rId10"/>
    <hyperlink xmlns:r="http://schemas.openxmlformats.org/officeDocument/2006/relationships" ref="G11" r:id="rId11"/>
    <hyperlink xmlns:r="http://schemas.openxmlformats.org/officeDocument/2006/relationships" ref="H11" r:id="rId12"/>
    <hyperlink xmlns:r="http://schemas.openxmlformats.org/officeDocument/2006/relationships" ref="J11" r:id="rId13"/>
    <hyperlink xmlns:r="http://schemas.openxmlformats.org/officeDocument/2006/relationships" ref="K11" r:id="rId14"/>
    <hyperlink xmlns:r="http://schemas.openxmlformats.org/officeDocument/2006/relationships" ref="L11" r:id="rId15"/>
    <hyperlink xmlns:r="http://schemas.openxmlformats.org/officeDocument/2006/relationships" ref="F14" r:id="rId16"/>
    <hyperlink xmlns:r="http://schemas.openxmlformats.org/officeDocument/2006/relationships" ref="G14" r:id="rId17"/>
    <hyperlink xmlns:r="http://schemas.openxmlformats.org/officeDocument/2006/relationships" ref="H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H15" r:id="rId21"/>
    <hyperlink xmlns:r="http://schemas.openxmlformats.org/officeDocument/2006/relationships" ref="J15" r:id="rId22"/>
    <hyperlink xmlns:r="http://schemas.openxmlformats.org/officeDocument/2006/relationships" ref="K15" r:id="rId23"/>
    <hyperlink xmlns:r="http://schemas.openxmlformats.org/officeDocument/2006/relationships" ref="L15" r:id="rId24"/>
    <hyperlink xmlns:r="http://schemas.openxmlformats.org/officeDocument/2006/relationships" ref="N15" r:id="rId25"/>
    <hyperlink xmlns:r="http://schemas.openxmlformats.org/officeDocument/2006/relationships" ref="O15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H16" r:id="rId29"/>
    <hyperlink xmlns:r="http://schemas.openxmlformats.org/officeDocument/2006/relationships" ref="J16" r:id="rId30"/>
    <hyperlink xmlns:r="http://schemas.openxmlformats.org/officeDocument/2006/relationships" ref="K16" r:id="rId31"/>
    <hyperlink xmlns:r="http://schemas.openxmlformats.org/officeDocument/2006/relationships" ref="L16" r:id="rId32"/>
    <hyperlink xmlns:r="http://schemas.openxmlformats.org/officeDocument/2006/relationships" ref="N16" r:id="rId33"/>
    <hyperlink xmlns:r="http://schemas.openxmlformats.org/officeDocument/2006/relationships" ref="O16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H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L17" r:id="rId40"/>
    <hyperlink xmlns:r="http://schemas.openxmlformats.org/officeDocument/2006/relationships" ref="N17" r:id="rId41"/>
    <hyperlink xmlns:r="http://schemas.openxmlformats.org/officeDocument/2006/relationships" ref="O17" r:id="rId42"/>
    <hyperlink xmlns:r="http://schemas.openxmlformats.org/officeDocument/2006/relationships" ref="F18" r:id="rId43"/>
    <hyperlink xmlns:r="http://schemas.openxmlformats.org/officeDocument/2006/relationships" ref="G18" r:id="rId44"/>
    <hyperlink xmlns:r="http://schemas.openxmlformats.org/officeDocument/2006/relationships" ref="H18" r:id="rId45"/>
    <hyperlink xmlns:r="http://schemas.openxmlformats.org/officeDocument/2006/relationships" ref="J18" r:id="rId46"/>
    <hyperlink xmlns:r="http://schemas.openxmlformats.org/officeDocument/2006/relationships" ref="K18" r:id="rId47"/>
    <hyperlink xmlns:r="http://schemas.openxmlformats.org/officeDocument/2006/relationships" ref="L18" r:id="rId48"/>
    <hyperlink xmlns:r="http://schemas.openxmlformats.org/officeDocument/2006/relationships" ref="N18" r:id="rId49"/>
    <hyperlink xmlns:r="http://schemas.openxmlformats.org/officeDocument/2006/relationships" ref="O18" r:id="rId50"/>
    <hyperlink xmlns:r="http://schemas.openxmlformats.org/officeDocument/2006/relationships" ref="F19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J19" r:id="rId54"/>
    <hyperlink xmlns:r="http://schemas.openxmlformats.org/officeDocument/2006/relationships" ref="K19" r:id="rId55"/>
    <hyperlink xmlns:r="http://schemas.openxmlformats.org/officeDocument/2006/relationships" ref="L19" r:id="rId56"/>
    <hyperlink xmlns:r="http://schemas.openxmlformats.org/officeDocument/2006/relationships" ref="N19" r:id="rId57"/>
    <hyperlink xmlns:r="http://schemas.openxmlformats.org/officeDocument/2006/relationships" ref="O19" r:id="rId58"/>
    <hyperlink xmlns:r="http://schemas.openxmlformats.org/officeDocument/2006/relationships" ref="F20" r:id="rId59"/>
    <hyperlink xmlns:r="http://schemas.openxmlformats.org/officeDocument/2006/relationships" ref="G20" r:id="rId60"/>
    <hyperlink xmlns:r="http://schemas.openxmlformats.org/officeDocument/2006/relationships" ref="H20" r:id="rId61"/>
    <hyperlink xmlns:r="http://schemas.openxmlformats.org/officeDocument/2006/relationships" ref="N20" r:id="rId62"/>
    <hyperlink xmlns:r="http://schemas.openxmlformats.org/officeDocument/2006/relationships" ref="O20" r:id="rId63"/>
    <hyperlink xmlns:r="http://schemas.openxmlformats.org/officeDocument/2006/relationships" ref="F21" r:id="rId64"/>
    <hyperlink xmlns:r="http://schemas.openxmlformats.org/officeDocument/2006/relationships" ref="G21" r:id="rId65"/>
    <hyperlink xmlns:r="http://schemas.openxmlformats.org/officeDocument/2006/relationships" ref="H21" r:id="rId66"/>
    <hyperlink xmlns:r="http://schemas.openxmlformats.org/officeDocument/2006/relationships" ref="J21" r:id="rId67"/>
    <hyperlink xmlns:r="http://schemas.openxmlformats.org/officeDocument/2006/relationships" ref="K21" r:id="rId68"/>
    <hyperlink xmlns:r="http://schemas.openxmlformats.org/officeDocument/2006/relationships" ref="L21" r:id="rId69"/>
    <hyperlink xmlns:r="http://schemas.openxmlformats.org/officeDocument/2006/relationships" ref="N21" r:id="rId70"/>
    <hyperlink xmlns:r="http://schemas.openxmlformats.org/officeDocument/2006/relationships" ref="O21" r:id="rId71"/>
    <hyperlink xmlns:r="http://schemas.openxmlformats.org/officeDocument/2006/relationships" ref="F22" r:id="rId72"/>
    <hyperlink xmlns:r="http://schemas.openxmlformats.org/officeDocument/2006/relationships" ref="G22" r:id="rId73"/>
    <hyperlink xmlns:r="http://schemas.openxmlformats.org/officeDocument/2006/relationships" ref="H22" r:id="rId74"/>
    <hyperlink xmlns:r="http://schemas.openxmlformats.org/officeDocument/2006/relationships" ref="J22" r:id="rId75"/>
    <hyperlink xmlns:r="http://schemas.openxmlformats.org/officeDocument/2006/relationships" ref="K22" r:id="rId76"/>
    <hyperlink xmlns:r="http://schemas.openxmlformats.org/officeDocument/2006/relationships" ref="L22" r:id="rId77"/>
    <hyperlink xmlns:r="http://schemas.openxmlformats.org/officeDocument/2006/relationships" ref="N22" r:id="rId78"/>
    <hyperlink xmlns:r="http://schemas.openxmlformats.org/officeDocument/2006/relationships" ref="O22" r:id="rId79"/>
    <hyperlink xmlns:r="http://schemas.openxmlformats.org/officeDocument/2006/relationships" ref="F23" r:id="rId80"/>
    <hyperlink xmlns:r="http://schemas.openxmlformats.org/officeDocument/2006/relationships" ref="G23" r:id="rId81"/>
    <hyperlink xmlns:r="http://schemas.openxmlformats.org/officeDocument/2006/relationships" ref="H23" r:id="rId82"/>
    <hyperlink xmlns:r="http://schemas.openxmlformats.org/officeDocument/2006/relationships" ref="J23" r:id="rId83"/>
    <hyperlink xmlns:r="http://schemas.openxmlformats.org/officeDocument/2006/relationships" ref="K23" r:id="rId84"/>
    <hyperlink xmlns:r="http://schemas.openxmlformats.org/officeDocument/2006/relationships" ref="L23" r:id="rId85"/>
    <hyperlink xmlns:r="http://schemas.openxmlformats.org/officeDocument/2006/relationships" ref="N23" r:id="rId86"/>
    <hyperlink xmlns:r="http://schemas.openxmlformats.org/officeDocument/2006/relationships" ref="O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H24" r:id="rId90"/>
    <hyperlink xmlns:r="http://schemas.openxmlformats.org/officeDocument/2006/relationships" ref="J24" r:id="rId91"/>
    <hyperlink xmlns:r="http://schemas.openxmlformats.org/officeDocument/2006/relationships" ref="K24" r:id="rId92"/>
    <hyperlink xmlns:r="http://schemas.openxmlformats.org/officeDocument/2006/relationships" ref="L24" r:id="rId93"/>
    <hyperlink xmlns:r="http://schemas.openxmlformats.org/officeDocument/2006/relationships" ref="N24" r:id="rId94"/>
    <hyperlink xmlns:r="http://schemas.openxmlformats.org/officeDocument/2006/relationships" ref="O24" r:id="rId95"/>
    <hyperlink xmlns:r="http://schemas.openxmlformats.org/officeDocument/2006/relationships" ref="F25" r:id="rId96"/>
    <hyperlink xmlns:r="http://schemas.openxmlformats.org/officeDocument/2006/relationships" ref="G25" r:id="rId97"/>
    <hyperlink xmlns:r="http://schemas.openxmlformats.org/officeDocument/2006/relationships" ref="H25" r:id="rId98"/>
    <hyperlink xmlns:r="http://schemas.openxmlformats.org/officeDocument/2006/relationships" ref="J25" r:id="rId99"/>
    <hyperlink xmlns:r="http://schemas.openxmlformats.org/officeDocument/2006/relationships" ref="K25" r:id="rId100"/>
    <hyperlink xmlns:r="http://schemas.openxmlformats.org/officeDocument/2006/relationships" ref="L25" r:id="rId101"/>
    <hyperlink xmlns:r="http://schemas.openxmlformats.org/officeDocument/2006/relationships" ref="N25" r:id="rId102"/>
    <hyperlink xmlns:r="http://schemas.openxmlformats.org/officeDocument/2006/relationships" ref="O25" r:id="rId103"/>
    <hyperlink xmlns:r="http://schemas.openxmlformats.org/officeDocument/2006/relationships" ref="F26" r:id="rId104"/>
    <hyperlink xmlns:r="http://schemas.openxmlformats.org/officeDocument/2006/relationships" ref="G26" r:id="rId105"/>
    <hyperlink xmlns:r="http://schemas.openxmlformats.org/officeDocument/2006/relationships" ref="H26" r:id="rId106"/>
    <hyperlink xmlns:r="http://schemas.openxmlformats.org/officeDocument/2006/relationships" ref="J26" r:id="rId107"/>
    <hyperlink xmlns:r="http://schemas.openxmlformats.org/officeDocument/2006/relationships" ref="K26" r:id="rId108"/>
    <hyperlink xmlns:r="http://schemas.openxmlformats.org/officeDocument/2006/relationships" ref="L26" r:id="rId109"/>
    <hyperlink xmlns:r="http://schemas.openxmlformats.org/officeDocument/2006/relationships" ref="N26" r:id="rId110"/>
    <hyperlink xmlns:r="http://schemas.openxmlformats.org/officeDocument/2006/relationships" ref="O26" r:id="rId111"/>
    <hyperlink xmlns:r="http://schemas.openxmlformats.org/officeDocument/2006/relationships" ref="F27" r:id="rId112"/>
    <hyperlink xmlns:r="http://schemas.openxmlformats.org/officeDocument/2006/relationships" ref="G27" r:id="rId113"/>
    <hyperlink xmlns:r="http://schemas.openxmlformats.org/officeDocument/2006/relationships" ref="H27" r:id="rId114"/>
    <hyperlink xmlns:r="http://schemas.openxmlformats.org/officeDocument/2006/relationships" ref="J27" r:id="rId115"/>
    <hyperlink xmlns:r="http://schemas.openxmlformats.org/officeDocument/2006/relationships" ref="K27" r:id="rId116"/>
    <hyperlink xmlns:r="http://schemas.openxmlformats.org/officeDocument/2006/relationships" ref="L27" r:id="rId117"/>
    <hyperlink xmlns:r="http://schemas.openxmlformats.org/officeDocument/2006/relationships" ref="F30" r:id="rId118"/>
    <hyperlink xmlns:r="http://schemas.openxmlformats.org/officeDocument/2006/relationships" ref="G30" r:id="rId119"/>
    <hyperlink xmlns:r="http://schemas.openxmlformats.org/officeDocument/2006/relationships" ref="H30" r:id="rId120"/>
    <hyperlink xmlns:r="http://schemas.openxmlformats.org/officeDocument/2006/relationships" ref="J30" r:id="rId121"/>
    <hyperlink xmlns:r="http://schemas.openxmlformats.org/officeDocument/2006/relationships" ref="K30" r:id="rId122"/>
    <hyperlink xmlns:r="http://schemas.openxmlformats.org/officeDocument/2006/relationships" ref="L30" r:id="rId123"/>
    <hyperlink xmlns:r="http://schemas.openxmlformats.org/officeDocument/2006/relationships" ref="N30" r:id="rId124"/>
    <hyperlink xmlns:r="http://schemas.openxmlformats.org/officeDocument/2006/relationships" ref="O30" r:id="rId125"/>
    <hyperlink xmlns:r="http://schemas.openxmlformats.org/officeDocument/2006/relationships" ref="F31" r:id="rId126"/>
    <hyperlink xmlns:r="http://schemas.openxmlformats.org/officeDocument/2006/relationships" ref="G31" r:id="rId127"/>
    <hyperlink xmlns:r="http://schemas.openxmlformats.org/officeDocument/2006/relationships" ref="H31" r:id="rId128"/>
    <hyperlink xmlns:r="http://schemas.openxmlformats.org/officeDocument/2006/relationships" ref="J31" r:id="rId129"/>
    <hyperlink xmlns:r="http://schemas.openxmlformats.org/officeDocument/2006/relationships" ref="K31" r:id="rId130"/>
    <hyperlink xmlns:r="http://schemas.openxmlformats.org/officeDocument/2006/relationships" ref="L31" r:id="rId131"/>
    <hyperlink xmlns:r="http://schemas.openxmlformats.org/officeDocument/2006/relationships" ref="N31" r:id="rId132"/>
    <hyperlink xmlns:r="http://schemas.openxmlformats.org/officeDocument/2006/relationships" ref="O31" r:id="rId133"/>
    <hyperlink xmlns:r="http://schemas.openxmlformats.org/officeDocument/2006/relationships" ref="F32" r:id="rId134"/>
    <hyperlink xmlns:r="http://schemas.openxmlformats.org/officeDocument/2006/relationships" ref="G32" r:id="rId135"/>
    <hyperlink xmlns:r="http://schemas.openxmlformats.org/officeDocument/2006/relationships" ref="H32" r:id="rId136"/>
    <hyperlink xmlns:r="http://schemas.openxmlformats.org/officeDocument/2006/relationships" ref="J32" r:id="rId137"/>
    <hyperlink xmlns:r="http://schemas.openxmlformats.org/officeDocument/2006/relationships" ref="K32" r:id="rId138"/>
    <hyperlink xmlns:r="http://schemas.openxmlformats.org/officeDocument/2006/relationships" ref="L32" r:id="rId139"/>
    <hyperlink xmlns:r="http://schemas.openxmlformats.org/officeDocument/2006/relationships" ref="N32" r:id="rId140"/>
    <hyperlink xmlns:r="http://schemas.openxmlformats.org/officeDocument/2006/relationships" ref="O32" r:id="rId141"/>
    <hyperlink xmlns:r="http://schemas.openxmlformats.org/officeDocument/2006/relationships" ref="F33" r:id="rId142"/>
    <hyperlink xmlns:r="http://schemas.openxmlformats.org/officeDocument/2006/relationships" ref="G33" r:id="rId143"/>
    <hyperlink xmlns:r="http://schemas.openxmlformats.org/officeDocument/2006/relationships" ref="H33" r:id="rId144"/>
    <hyperlink xmlns:r="http://schemas.openxmlformats.org/officeDocument/2006/relationships" ref="N33" r:id="rId145"/>
    <hyperlink xmlns:r="http://schemas.openxmlformats.org/officeDocument/2006/relationships" ref="O33" r:id="rId146"/>
    <hyperlink xmlns:r="http://schemas.openxmlformats.org/officeDocument/2006/relationships" ref="F34" r:id="rId147"/>
    <hyperlink xmlns:r="http://schemas.openxmlformats.org/officeDocument/2006/relationships" ref="G34" r:id="rId148"/>
    <hyperlink xmlns:r="http://schemas.openxmlformats.org/officeDocument/2006/relationships" ref="H34" r:id="rId149"/>
    <hyperlink xmlns:r="http://schemas.openxmlformats.org/officeDocument/2006/relationships" ref="J34" r:id="rId150"/>
    <hyperlink xmlns:r="http://schemas.openxmlformats.org/officeDocument/2006/relationships" ref="K34" r:id="rId151"/>
    <hyperlink xmlns:r="http://schemas.openxmlformats.org/officeDocument/2006/relationships" ref="L34" r:id="rId152"/>
    <hyperlink xmlns:r="http://schemas.openxmlformats.org/officeDocument/2006/relationships" ref="N34" r:id="rId153"/>
    <hyperlink xmlns:r="http://schemas.openxmlformats.org/officeDocument/2006/relationships" ref="O34" r:id="rId154"/>
    <hyperlink xmlns:r="http://schemas.openxmlformats.org/officeDocument/2006/relationships" ref="F35" r:id="rId155"/>
    <hyperlink xmlns:r="http://schemas.openxmlformats.org/officeDocument/2006/relationships" ref="G35" r:id="rId156"/>
    <hyperlink xmlns:r="http://schemas.openxmlformats.org/officeDocument/2006/relationships" ref="H35" r:id="rId157"/>
    <hyperlink xmlns:r="http://schemas.openxmlformats.org/officeDocument/2006/relationships" ref="J35" r:id="rId158"/>
    <hyperlink xmlns:r="http://schemas.openxmlformats.org/officeDocument/2006/relationships" ref="K35" r:id="rId159"/>
    <hyperlink xmlns:r="http://schemas.openxmlformats.org/officeDocument/2006/relationships" ref="L35" r:id="rId160"/>
    <hyperlink xmlns:r="http://schemas.openxmlformats.org/officeDocument/2006/relationships" ref="N35" r:id="rId161"/>
    <hyperlink xmlns:r="http://schemas.openxmlformats.org/officeDocument/2006/relationships" ref="O35" r:id="rId162"/>
    <hyperlink xmlns:r="http://schemas.openxmlformats.org/officeDocument/2006/relationships" ref="F36" r:id="rId163"/>
    <hyperlink xmlns:r="http://schemas.openxmlformats.org/officeDocument/2006/relationships" ref="G36" r:id="rId164"/>
    <hyperlink xmlns:r="http://schemas.openxmlformats.org/officeDocument/2006/relationships" ref="H36" r:id="rId165"/>
    <hyperlink xmlns:r="http://schemas.openxmlformats.org/officeDocument/2006/relationships" ref="J36" r:id="rId166"/>
    <hyperlink xmlns:r="http://schemas.openxmlformats.org/officeDocument/2006/relationships" ref="K36" r:id="rId167"/>
    <hyperlink xmlns:r="http://schemas.openxmlformats.org/officeDocument/2006/relationships" ref="L36" r:id="rId168"/>
    <hyperlink xmlns:r="http://schemas.openxmlformats.org/officeDocument/2006/relationships" ref="N36" r:id="rId169"/>
    <hyperlink xmlns:r="http://schemas.openxmlformats.org/officeDocument/2006/relationships" ref="O36" r:id="rId170"/>
    <hyperlink xmlns:r="http://schemas.openxmlformats.org/officeDocument/2006/relationships" ref="F37" r:id="rId171"/>
    <hyperlink xmlns:r="http://schemas.openxmlformats.org/officeDocument/2006/relationships" ref="G37" r:id="rId172"/>
    <hyperlink xmlns:r="http://schemas.openxmlformats.org/officeDocument/2006/relationships" ref="H37" r:id="rId173"/>
    <hyperlink xmlns:r="http://schemas.openxmlformats.org/officeDocument/2006/relationships" ref="J37" r:id="rId174"/>
    <hyperlink xmlns:r="http://schemas.openxmlformats.org/officeDocument/2006/relationships" ref="K37" r:id="rId175"/>
    <hyperlink xmlns:r="http://schemas.openxmlformats.org/officeDocument/2006/relationships" ref="L37" r:id="rId176"/>
    <hyperlink xmlns:r="http://schemas.openxmlformats.org/officeDocument/2006/relationships" ref="N37" r:id="rId177"/>
    <hyperlink xmlns:r="http://schemas.openxmlformats.org/officeDocument/2006/relationships" ref="O37" r:id="rId178"/>
    <hyperlink xmlns:r="http://schemas.openxmlformats.org/officeDocument/2006/relationships" ref="F38" r:id="rId179"/>
    <hyperlink xmlns:r="http://schemas.openxmlformats.org/officeDocument/2006/relationships" ref="G38" r:id="rId180"/>
    <hyperlink xmlns:r="http://schemas.openxmlformats.org/officeDocument/2006/relationships" ref="H38" r:id="rId181"/>
    <hyperlink xmlns:r="http://schemas.openxmlformats.org/officeDocument/2006/relationships" ref="N38" r:id="rId182"/>
    <hyperlink xmlns:r="http://schemas.openxmlformats.org/officeDocument/2006/relationships" ref="O38" r:id="rId183"/>
    <hyperlink xmlns:r="http://schemas.openxmlformats.org/officeDocument/2006/relationships" ref="F39" r:id="rId184"/>
    <hyperlink xmlns:r="http://schemas.openxmlformats.org/officeDocument/2006/relationships" ref="G39" r:id="rId185"/>
    <hyperlink xmlns:r="http://schemas.openxmlformats.org/officeDocument/2006/relationships" ref="H39" r:id="rId186"/>
    <hyperlink xmlns:r="http://schemas.openxmlformats.org/officeDocument/2006/relationships" ref="J39" r:id="rId187"/>
    <hyperlink xmlns:r="http://schemas.openxmlformats.org/officeDocument/2006/relationships" ref="K39" r:id="rId188"/>
    <hyperlink xmlns:r="http://schemas.openxmlformats.org/officeDocument/2006/relationships" ref="L39" r:id="rId189"/>
    <hyperlink xmlns:r="http://schemas.openxmlformats.org/officeDocument/2006/relationships" ref="N39" r:id="rId190"/>
    <hyperlink xmlns:r="http://schemas.openxmlformats.org/officeDocument/2006/relationships" ref="O39" r:id="rId191"/>
    <hyperlink xmlns:r="http://schemas.openxmlformats.org/officeDocument/2006/relationships" ref="F42" r:id="rId192"/>
    <hyperlink xmlns:r="http://schemas.openxmlformats.org/officeDocument/2006/relationships" ref="G42" r:id="rId193"/>
    <hyperlink xmlns:r="http://schemas.openxmlformats.org/officeDocument/2006/relationships" ref="H42" r:id="rId194"/>
    <hyperlink xmlns:r="http://schemas.openxmlformats.org/officeDocument/2006/relationships" ref="J42" r:id="rId195"/>
    <hyperlink xmlns:r="http://schemas.openxmlformats.org/officeDocument/2006/relationships" ref="K42" r:id="rId196"/>
    <hyperlink xmlns:r="http://schemas.openxmlformats.org/officeDocument/2006/relationships" ref="L42" r:id="rId197"/>
    <hyperlink xmlns:r="http://schemas.openxmlformats.org/officeDocument/2006/relationships" ref="N42" r:id="rId198"/>
    <hyperlink xmlns:r="http://schemas.openxmlformats.org/officeDocument/2006/relationships" ref="O42" r:id="rId199"/>
    <hyperlink xmlns:r="http://schemas.openxmlformats.org/officeDocument/2006/relationships" ref="F43" r:id="rId200"/>
    <hyperlink xmlns:r="http://schemas.openxmlformats.org/officeDocument/2006/relationships" ref="G43" r:id="rId201"/>
    <hyperlink xmlns:r="http://schemas.openxmlformats.org/officeDocument/2006/relationships" ref="H43" r:id="rId202"/>
    <hyperlink xmlns:r="http://schemas.openxmlformats.org/officeDocument/2006/relationships" ref="J43" r:id="rId203"/>
    <hyperlink xmlns:r="http://schemas.openxmlformats.org/officeDocument/2006/relationships" ref="K43" r:id="rId204"/>
    <hyperlink xmlns:r="http://schemas.openxmlformats.org/officeDocument/2006/relationships" ref="L43" r:id="rId205"/>
    <hyperlink xmlns:r="http://schemas.openxmlformats.org/officeDocument/2006/relationships" ref="N43" r:id="rId206"/>
    <hyperlink xmlns:r="http://schemas.openxmlformats.org/officeDocument/2006/relationships" ref="O43" r:id="rId207"/>
    <hyperlink xmlns:r="http://schemas.openxmlformats.org/officeDocument/2006/relationships" ref="F44" r:id="rId208"/>
    <hyperlink xmlns:r="http://schemas.openxmlformats.org/officeDocument/2006/relationships" ref="G44" r:id="rId209"/>
    <hyperlink xmlns:r="http://schemas.openxmlformats.org/officeDocument/2006/relationships" ref="H44" r:id="rId210"/>
    <hyperlink xmlns:r="http://schemas.openxmlformats.org/officeDocument/2006/relationships" ref="J44" r:id="rId211"/>
    <hyperlink xmlns:r="http://schemas.openxmlformats.org/officeDocument/2006/relationships" ref="K44" r:id="rId212"/>
    <hyperlink xmlns:r="http://schemas.openxmlformats.org/officeDocument/2006/relationships" ref="L44" r:id="rId213"/>
    <hyperlink xmlns:r="http://schemas.openxmlformats.org/officeDocument/2006/relationships" ref="N44" r:id="rId214"/>
    <hyperlink xmlns:r="http://schemas.openxmlformats.org/officeDocument/2006/relationships" ref="O44" r:id="rId215"/>
    <hyperlink xmlns:r="http://schemas.openxmlformats.org/officeDocument/2006/relationships" ref="F45" r:id="rId216"/>
    <hyperlink xmlns:r="http://schemas.openxmlformats.org/officeDocument/2006/relationships" ref="G45" r:id="rId217"/>
    <hyperlink xmlns:r="http://schemas.openxmlformats.org/officeDocument/2006/relationships" ref="H45" r:id="rId218"/>
    <hyperlink xmlns:r="http://schemas.openxmlformats.org/officeDocument/2006/relationships" ref="J45" r:id="rId219"/>
    <hyperlink xmlns:r="http://schemas.openxmlformats.org/officeDocument/2006/relationships" ref="K45" r:id="rId220"/>
    <hyperlink xmlns:r="http://schemas.openxmlformats.org/officeDocument/2006/relationships" ref="L45" r:id="rId221"/>
    <hyperlink xmlns:r="http://schemas.openxmlformats.org/officeDocument/2006/relationships" ref="N45" r:id="rId222"/>
    <hyperlink xmlns:r="http://schemas.openxmlformats.org/officeDocument/2006/relationships" ref="O45" r:id="rId223"/>
    <hyperlink xmlns:r="http://schemas.openxmlformats.org/officeDocument/2006/relationships" ref="F46" r:id="rId224"/>
    <hyperlink xmlns:r="http://schemas.openxmlformats.org/officeDocument/2006/relationships" ref="G46" r:id="rId225"/>
    <hyperlink xmlns:r="http://schemas.openxmlformats.org/officeDocument/2006/relationships" ref="H46" r:id="rId226"/>
    <hyperlink xmlns:r="http://schemas.openxmlformats.org/officeDocument/2006/relationships" ref="J46" r:id="rId227"/>
    <hyperlink xmlns:r="http://schemas.openxmlformats.org/officeDocument/2006/relationships" ref="K46" r:id="rId228"/>
    <hyperlink xmlns:r="http://schemas.openxmlformats.org/officeDocument/2006/relationships" ref="L46" r:id="rId229"/>
    <hyperlink xmlns:r="http://schemas.openxmlformats.org/officeDocument/2006/relationships" ref="N46" r:id="rId230"/>
    <hyperlink xmlns:r="http://schemas.openxmlformats.org/officeDocument/2006/relationships" ref="O46" r:id="rId231"/>
    <hyperlink xmlns:r="http://schemas.openxmlformats.org/officeDocument/2006/relationships" ref="F47" r:id="rId232"/>
    <hyperlink xmlns:r="http://schemas.openxmlformats.org/officeDocument/2006/relationships" ref="G47" r:id="rId233"/>
    <hyperlink xmlns:r="http://schemas.openxmlformats.org/officeDocument/2006/relationships" ref="H47" r:id="rId234"/>
    <hyperlink xmlns:r="http://schemas.openxmlformats.org/officeDocument/2006/relationships" ref="J47" r:id="rId235"/>
    <hyperlink xmlns:r="http://schemas.openxmlformats.org/officeDocument/2006/relationships" ref="K47" r:id="rId236"/>
    <hyperlink xmlns:r="http://schemas.openxmlformats.org/officeDocument/2006/relationships" ref="L47" r:id="rId237"/>
    <hyperlink xmlns:r="http://schemas.openxmlformats.org/officeDocument/2006/relationships" ref="N47" r:id="rId238"/>
    <hyperlink xmlns:r="http://schemas.openxmlformats.org/officeDocument/2006/relationships" ref="O47" r:id="rId239"/>
    <hyperlink xmlns:r="http://schemas.openxmlformats.org/officeDocument/2006/relationships" ref="F48" r:id="rId240"/>
    <hyperlink xmlns:r="http://schemas.openxmlformats.org/officeDocument/2006/relationships" ref="G48" r:id="rId241"/>
    <hyperlink xmlns:r="http://schemas.openxmlformats.org/officeDocument/2006/relationships" ref="H48" r:id="rId242"/>
    <hyperlink xmlns:r="http://schemas.openxmlformats.org/officeDocument/2006/relationships" ref="J48" r:id="rId243"/>
    <hyperlink xmlns:r="http://schemas.openxmlformats.org/officeDocument/2006/relationships" ref="K48" r:id="rId244"/>
    <hyperlink xmlns:r="http://schemas.openxmlformats.org/officeDocument/2006/relationships" ref="L48" r:id="rId245"/>
    <hyperlink xmlns:r="http://schemas.openxmlformats.org/officeDocument/2006/relationships" ref="N48" r:id="rId246"/>
    <hyperlink xmlns:r="http://schemas.openxmlformats.org/officeDocument/2006/relationships" ref="O48" r:id="rId247"/>
    <hyperlink xmlns:r="http://schemas.openxmlformats.org/officeDocument/2006/relationships" ref="F49" r:id="rId248"/>
    <hyperlink xmlns:r="http://schemas.openxmlformats.org/officeDocument/2006/relationships" ref="G49" r:id="rId249"/>
    <hyperlink xmlns:r="http://schemas.openxmlformats.org/officeDocument/2006/relationships" ref="H49" r:id="rId250"/>
    <hyperlink xmlns:r="http://schemas.openxmlformats.org/officeDocument/2006/relationships" ref="J49" r:id="rId251"/>
    <hyperlink xmlns:r="http://schemas.openxmlformats.org/officeDocument/2006/relationships" ref="K49" r:id="rId252"/>
    <hyperlink xmlns:r="http://schemas.openxmlformats.org/officeDocument/2006/relationships" ref="L49" r:id="rId253"/>
    <hyperlink xmlns:r="http://schemas.openxmlformats.org/officeDocument/2006/relationships" ref="N49" r:id="rId254"/>
    <hyperlink xmlns:r="http://schemas.openxmlformats.org/officeDocument/2006/relationships" ref="O49" r:id="rId255"/>
    <hyperlink xmlns:r="http://schemas.openxmlformats.org/officeDocument/2006/relationships" ref="F52" r:id="rId256"/>
    <hyperlink xmlns:r="http://schemas.openxmlformats.org/officeDocument/2006/relationships" ref="G52" r:id="rId257"/>
    <hyperlink xmlns:r="http://schemas.openxmlformats.org/officeDocument/2006/relationships" ref="H52" r:id="rId258"/>
    <hyperlink xmlns:r="http://schemas.openxmlformats.org/officeDocument/2006/relationships" ref="J52" r:id="rId259"/>
    <hyperlink xmlns:r="http://schemas.openxmlformats.org/officeDocument/2006/relationships" ref="K52" r:id="rId260"/>
    <hyperlink xmlns:r="http://schemas.openxmlformats.org/officeDocument/2006/relationships" ref="L52" r:id="rId261"/>
    <hyperlink xmlns:r="http://schemas.openxmlformats.org/officeDocument/2006/relationships" ref="N52" r:id="rId262"/>
    <hyperlink xmlns:r="http://schemas.openxmlformats.org/officeDocument/2006/relationships" ref="O52" r:id="rId263"/>
    <hyperlink xmlns:r="http://schemas.openxmlformats.org/officeDocument/2006/relationships" ref="F53" r:id="rId264"/>
    <hyperlink xmlns:r="http://schemas.openxmlformats.org/officeDocument/2006/relationships" ref="G53" r:id="rId265"/>
    <hyperlink xmlns:r="http://schemas.openxmlformats.org/officeDocument/2006/relationships" ref="H53" r:id="rId266"/>
    <hyperlink xmlns:r="http://schemas.openxmlformats.org/officeDocument/2006/relationships" ref="J53" r:id="rId267"/>
    <hyperlink xmlns:r="http://schemas.openxmlformats.org/officeDocument/2006/relationships" ref="K53" r:id="rId268"/>
    <hyperlink xmlns:r="http://schemas.openxmlformats.org/officeDocument/2006/relationships" ref="L53" r:id="rId269"/>
    <hyperlink xmlns:r="http://schemas.openxmlformats.org/officeDocument/2006/relationships" ref="N53" r:id="rId270"/>
    <hyperlink xmlns:r="http://schemas.openxmlformats.org/officeDocument/2006/relationships" ref="O53" r:id="rId271"/>
    <hyperlink xmlns:r="http://schemas.openxmlformats.org/officeDocument/2006/relationships" ref="F54" r:id="rId272"/>
    <hyperlink xmlns:r="http://schemas.openxmlformats.org/officeDocument/2006/relationships" ref="G54" r:id="rId273"/>
    <hyperlink xmlns:r="http://schemas.openxmlformats.org/officeDocument/2006/relationships" ref="H54" r:id="rId274"/>
    <hyperlink xmlns:r="http://schemas.openxmlformats.org/officeDocument/2006/relationships" ref="J54" r:id="rId275"/>
    <hyperlink xmlns:r="http://schemas.openxmlformats.org/officeDocument/2006/relationships" ref="K54" r:id="rId276"/>
    <hyperlink xmlns:r="http://schemas.openxmlformats.org/officeDocument/2006/relationships" ref="L54" r:id="rId277"/>
    <hyperlink xmlns:r="http://schemas.openxmlformats.org/officeDocument/2006/relationships" ref="N54" r:id="rId278"/>
    <hyperlink xmlns:r="http://schemas.openxmlformats.org/officeDocument/2006/relationships" ref="O54" r:id="rId279"/>
    <hyperlink xmlns:r="http://schemas.openxmlformats.org/officeDocument/2006/relationships" ref="F55" r:id="rId280"/>
    <hyperlink xmlns:r="http://schemas.openxmlformats.org/officeDocument/2006/relationships" ref="G55" r:id="rId281"/>
    <hyperlink xmlns:r="http://schemas.openxmlformats.org/officeDocument/2006/relationships" ref="H55" r:id="rId282"/>
    <hyperlink xmlns:r="http://schemas.openxmlformats.org/officeDocument/2006/relationships" ref="J55" r:id="rId283"/>
    <hyperlink xmlns:r="http://schemas.openxmlformats.org/officeDocument/2006/relationships" ref="K55" r:id="rId284"/>
    <hyperlink xmlns:r="http://schemas.openxmlformats.org/officeDocument/2006/relationships" ref="L55" r:id="rId285"/>
    <hyperlink xmlns:r="http://schemas.openxmlformats.org/officeDocument/2006/relationships" ref="N55" r:id="rId286"/>
    <hyperlink xmlns:r="http://schemas.openxmlformats.org/officeDocument/2006/relationships" ref="O55" r:id="rId287"/>
    <hyperlink xmlns:r="http://schemas.openxmlformats.org/officeDocument/2006/relationships" ref="F56" r:id="rId288"/>
    <hyperlink xmlns:r="http://schemas.openxmlformats.org/officeDocument/2006/relationships" ref="G56" r:id="rId289"/>
    <hyperlink xmlns:r="http://schemas.openxmlformats.org/officeDocument/2006/relationships" ref="H56" r:id="rId290"/>
    <hyperlink xmlns:r="http://schemas.openxmlformats.org/officeDocument/2006/relationships" ref="J56" r:id="rId291"/>
    <hyperlink xmlns:r="http://schemas.openxmlformats.org/officeDocument/2006/relationships" ref="K56" r:id="rId292"/>
    <hyperlink xmlns:r="http://schemas.openxmlformats.org/officeDocument/2006/relationships" ref="L56" r:id="rId293"/>
    <hyperlink xmlns:r="http://schemas.openxmlformats.org/officeDocument/2006/relationships" ref="N56" r:id="rId294"/>
    <hyperlink xmlns:r="http://schemas.openxmlformats.org/officeDocument/2006/relationships" ref="O56" r:id="rId295"/>
    <hyperlink xmlns:r="http://schemas.openxmlformats.org/officeDocument/2006/relationships" ref="F57" r:id="rId296"/>
    <hyperlink xmlns:r="http://schemas.openxmlformats.org/officeDocument/2006/relationships" ref="G57" r:id="rId297"/>
    <hyperlink xmlns:r="http://schemas.openxmlformats.org/officeDocument/2006/relationships" ref="H57" r:id="rId298"/>
    <hyperlink xmlns:r="http://schemas.openxmlformats.org/officeDocument/2006/relationships" ref="J57" r:id="rId299"/>
    <hyperlink xmlns:r="http://schemas.openxmlformats.org/officeDocument/2006/relationships" ref="K57" r:id="rId300"/>
    <hyperlink xmlns:r="http://schemas.openxmlformats.org/officeDocument/2006/relationships" ref="L57" r:id="rId301"/>
    <hyperlink xmlns:r="http://schemas.openxmlformats.org/officeDocument/2006/relationships" ref="N57" r:id="rId302"/>
    <hyperlink xmlns:r="http://schemas.openxmlformats.org/officeDocument/2006/relationships" ref="O57" r:id="rId303"/>
    <hyperlink xmlns:r="http://schemas.openxmlformats.org/officeDocument/2006/relationships" ref="F58" r:id="rId304"/>
    <hyperlink xmlns:r="http://schemas.openxmlformats.org/officeDocument/2006/relationships" ref="G58" r:id="rId305"/>
    <hyperlink xmlns:r="http://schemas.openxmlformats.org/officeDocument/2006/relationships" ref="H58" r:id="rId306"/>
    <hyperlink xmlns:r="http://schemas.openxmlformats.org/officeDocument/2006/relationships" ref="J58" r:id="rId307"/>
    <hyperlink xmlns:r="http://schemas.openxmlformats.org/officeDocument/2006/relationships" ref="K58" r:id="rId308"/>
    <hyperlink xmlns:r="http://schemas.openxmlformats.org/officeDocument/2006/relationships" ref="L58" r:id="rId309"/>
    <hyperlink xmlns:r="http://schemas.openxmlformats.org/officeDocument/2006/relationships" ref="N58" r:id="rId310"/>
    <hyperlink xmlns:r="http://schemas.openxmlformats.org/officeDocument/2006/relationships" ref="O58" r:id="rId31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1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50" customWidth="1" min="3" max="3"/>
    <col width="11" customWidth="1" min="4" max="4"/>
    <col width="11" customWidth="1" min="5" max="5"/>
    <col width="11" customWidth="1" min="6" max="6"/>
    <col width="32" customWidth="1" min="7" max="7"/>
  </cols>
  <sheetData>
    <row r="1" ht="34" customHeight="1">
      <c r="A1" s="40" t="inlineStr">
        <is>
          <t>Chapter tests</t>
        </is>
      </c>
    </row>
    <row r="2">
      <c r="A2" s="18" t="inlineStr">
        <is>
          <t>Real Edexcel exam questions for each textbook chapter, plus the textbook review exercises. Try one once every topic in it is Amber or Green.</t>
        </is>
      </c>
    </row>
    <row r="4" ht="22" customHeight="1">
      <c r="A4" s="41" t="inlineStr">
        <is>
          <t>Book</t>
        </is>
      </c>
      <c r="B4" s="41" t="inlineStr">
        <is>
          <t>Chapters</t>
        </is>
      </c>
      <c r="C4" s="41" t="inlineStr">
        <is>
          <t>Test</t>
        </is>
      </c>
      <c r="D4" s="42" t="inlineStr">
        <is>
          <t>Questions</t>
        </is>
      </c>
      <c r="E4" s="42" t="inlineStr">
        <is>
          <t>Mark scheme</t>
        </is>
      </c>
      <c r="F4" s="42" t="inlineStr">
        <is>
          <t>Done?</t>
        </is>
      </c>
      <c r="G4" s="41" t="inlineStr">
        <is>
          <t>Score / notes</t>
        </is>
      </c>
    </row>
    <row r="5" ht="10" customHeight="1"/>
    <row r="6" ht="26" customHeight="1">
      <c r="A6" s="43" t="inlineStr">
        <is>
          <t>Statistics</t>
        </is>
      </c>
      <c r="B6" s="44" t="n"/>
      <c r="C6" s="45" t="inlineStr">
        <is>
          <t>Paper 3, Section A</t>
        </is>
      </c>
      <c r="D6" s="44" t="n"/>
      <c r="E6" s="44" t="n"/>
      <c r="F6" s="44" t="n"/>
      <c r="G6" s="44" t="n"/>
    </row>
    <row r="7" ht="30" customHeight="1">
      <c r="A7" s="46" t="inlineStr">
        <is>
          <t>Applied 1</t>
        </is>
      </c>
      <c r="B7" s="33" t="inlineStr">
        <is>
          <t>Ch2 Measures of Location and Spread, Ch3 Representations of Data</t>
        </is>
      </c>
      <c r="C7" s="33" t="inlineStr">
        <is>
          <t>Ch2 Measures of Location and Spread + Ch3 Representation of Data Exam Questions 1</t>
        </is>
      </c>
      <c r="D7" s="34" t="inlineStr">
        <is>
          <t>Questions</t>
        </is>
      </c>
      <c r="E7" s="34" t="inlineStr">
        <is>
          <t>Marks</t>
        </is>
      </c>
      <c r="F7" s="47" t="n"/>
      <c r="G7" s="36" t="n"/>
    </row>
    <row r="8" ht="30" customHeight="1">
      <c r="A8" s="46" t="inlineStr">
        <is>
          <t>Applied 1</t>
        </is>
      </c>
      <c r="B8" s="33" t="inlineStr">
        <is>
          <t>Ch2 Measures of Location and Spread, Ch3 Representations of Data</t>
        </is>
      </c>
      <c r="C8" s="33" t="inlineStr">
        <is>
          <t>Ch2 Measures of Location and Spread + Ch3 Representation of Data Exam Questions 2</t>
        </is>
      </c>
      <c r="D8" s="34" t="inlineStr">
        <is>
          <t>Questions</t>
        </is>
      </c>
      <c r="E8" s="34" t="inlineStr">
        <is>
          <t>Marks</t>
        </is>
      </c>
      <c r="F8" s="47" t="n"/>
      <c r="G8" s="36" t="n"/>
    </row>
    <row r="9" ht="30" customHeight="1">
      <c r="A9" s="46" t="inlineStr">
        <is>
          <t>Applied 1</t>
        </is>
      </c>
      <c r="B9" s="33" t="inlineStr">
        <is>
          <t>Ch4 Correlation</t>
        </is>
      </c>
      <c r="C9" s="33" t="inlineStr">
        <is>
          <t>Ch4 Correlation Exam Questions</t>
        </is>
      </c>
      <c r="D9" s="34" t="inlineStr">
        <is>
          <t>Questions</t>
        </is>
      </c>
      <c r="E9" s="34" t="inlineStr">
        <is>
          <t>Marks</t>
        </is>
      </c>
      <c r="F9" s="47" t="n"/>
      <c r="G9" s="36" t="n"/>
    </row>
    <row r="10" ht="30" customHeight="1">
      <c r="A10" s="46" t="inlineStr">
        <is>
          <t>Applied 1</t>
        </is>
      </c>
      <c r="B10" s="33" t="inlineStr">
        <is>
          <t>Ch5 Probability</t>
        </is>
      </c>
      <c r="C10" s="33" t="inlineStr">
        <is>
          <t>Ch5 Probability Exam Questions</t>
        </is>
      </c>
      <c r="D10" s="34" t="inlineStr">
        <is>
          <t>Questions</t>
        </is>
      </c>
      <c r="E10" s="34" t="inlineStr">
        <is>
          <t>Marks</t>
        </is>
      </c>
      <c r="F10" s="47" t="n"/>
      <c r="G10" s="36" t="n"/>
    </row>
    <row r="11" ht="30" customHeight="1">
      <c r="A11" s="46" t="inlineStr">
        <is>
          <t>Applied 1</t>
        </is>
      </c>
      <c r="B11" s="33" t="inlineStr">
        <is>
          <t>Ch6 Statistical Distributions, Ch7 Hypothesis Testing</t>
        </is>
      </c>
      <c r="C11" s="33" t="inlineStr">
        <is>
          <t>Ch6 Statistical Distributions and Ch7 Hypothesis Testing Exam Questions</t>
        </is>
      </c>
      <c r="D11" s="34" t="inlineStr">
        <is>
          <t>Questions</t>
        </is>
      </c>
      <c r="E11" s="34" t="inlineStr">
        <is>
          <t>Marks</t>
        </is>
      </c>
      <c r="F11" s="47" t="n"/>
      <c r="G11" s="36" t="n"/>
    </row>
    <row r="12" ht="30" customHeight="1">
      <c r="A12" s="46" t="inlineStr">
        <is>
          <t>Applied 1</t>
        </is>
      </c>
      <c r="B12" s="48" t="inlineStr">
        <is>
          <t>Ch1-Ch7 review (textbook)</t>
        </is>
      </c>
      <c r="C12" s="48" t="inlineStr">
        <is>
          <t>Textbook review exercise 1 - pg. 113-117</t>
        </is>
      </c>
      <c r="D12" s="37" t="inlineStr">
        <is>
          <t>in the book</t>
        </is>
      </c>
      <c r="E12" s="38" t="n"/>
      <c r="F12" s="47" t="n"/>
      <c r="G12" s="36" t="n"/>
    </row>
    <row r="13" ht="30" customHeight="1">
      <c r="A13" s="46" t="inlineStr">
        <is>
          <t>Applied 2</t>
        </is>
      </c>
      <c r="B13" s="33" t="inlineStr">
        <is>
          <t>Ch1 Regression, Correlation and Hypothesis Testing</t>
        </is>
      </c>
      <c r="C13" s="33" t="inlineStr">
        <is>
          <t>Ch1 Regression, Correlation and Hypothesis Testing Exam Questions</t>
        </is>
      </c>
      <c r="D13" s="34" t="inlineStr">
        <is>
          <t>Questions</t>
        </is>
      </c>
      <c r="E13" s="34" t="inlineStr">
        <is>
          <t>Marks</t>
        </is>
      </c>
      <c r="F13" s="47" t="n"/>
      <c r="G13" s="36" t="n"/>
    </row>
    <row r="14" ht="30" customHeight="1">
      <c r="A14" s="46" t="inlineStr">
        <is>
          <t>Applied 2</t>
        </is>
      </c>
      <c r="B14" s="33" t="inlineStr">
        <is>
          <t>Ch2 Conditional Probability</t>
        </is>
      </c>
      <c r="C14" s="33" t="inlineStr">
        <is>
          <t>Ch2 Conditional Probability Exam Questions</t>
        </is>
      </c>
      <c r="D14" s="34" t="inlineStr">
        <is>
          <t>Questions</t>
        </is>
      </c>
      <c r="E14" s="34" t="inlineStr">
        <is>
          <t>Marks</t>
        </is>
      </c>
      <c r="F14" s="47" t="n"/>
      <c r="G14" s="36" t="n"/>
    </row>
    <row r="15" ht="30" customHeight="1">
      <c r="A15" s="46" t="inlineStr">
        <is>
          <t>Applied 2</t>
        </is>
      </c>
      <c r="B15" s="33" t="inlineStr">
        <is>
          <t>Ch3 The Normal Distribution</t>
        </is>
      </c>
      <c r="C15" s="33" t="inlineStr">
        <is>
          <t>Ch3 The Normal Distribution Exam Questions</t>
        </is>
      </c>
      <c r="D15" s="34" t="inlineStr">
        <is>
          <t>Questions</t>
        </is>
      </c>
      <c r="E15" s="34" t="inlineStr">
        <is>
          <t>Marks</t>
        </is>
      </c>
      <c r="F15" s="47" t="n"/>
      <c r="G15" s="36" t="n"/>
    </row>
    <row r="16" ht="30" customHeight="1">
      <c r="A16" s="46" t="inlineStr">
        <is>
          <t>Applied 2</t>
        </is>
      </c>
      <c r="B16" s="48" t="inlineStr">
        <is>
          <t>Ch1-Ch3 review (textbook)</t>
        </is>
      </c>
      <c r="C16" s="48" t="inlineStr">
        <is>
          <t>Textbook review exercise 1 - pg.65-69</t>
        </is>
      </c>
      <c r="D16" s="37" t="inlineStr">
        <is>
          <t>in the book</t>
        </is>
      </c>
      <c r="E16" s="38" t="n"/>
      <c r="F16" s="47" t="n"/>
      <c r="G16" s="36" t="n"/>
    </row>
  </sheetData>
  <conditionalFormatting sqref="F5:F16">
    <cfRule type="cellIs" priority="1" operator="equal" dxfId="2">
      <formula>"Done"</formula>
    </cfRule>
    <cfRule type="cellIs" priority="2" operator="equal" dxfId="1">
      <formula>"Started"</formula>
    </cfRule>
  </conditionalFormatting>
  <dataValidations count="1">
    <dataValidation sqref="F5:F16" showDropDown="0" showInputMessage="0" showErrorMessage="0" allowBlank="1" type="list">
      <formula1>"Done,Started"</formula1>
    </dataValidation>
  </dataValidations>
  <hyperlinks>
    <hyperlink xmlns:r="http://schemas.openxmlformats.org/officeDocument/2006/relationships" ref="D7" r:id="rId1"/>
    <hyperlink xmlns:r="http://schemas.openxmlformats.org/officeDocument/2006/relationships" ref="E7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D9" r:id="rId5"/>
    <hyperlink xmlns:r="http://schemas.openxmlformats.org/officeDocument/2006/relationships" ref="E9" r:id="rId6"/>
    <hyperlink xmlns:r="http://schemas.openxmlformats.org/officeDocument/2006/relationships" ref="D10" r:id="rId7"/>
    <hyperlink xmlns:r="http://schemas.openxmlformats.org/officeDocument/2006/relationships" ref="E10" r:id="rId8"/>
    <hyperlink xmlns:r="http://schemas.openxmlformats.org/officeDocument/2006/relationships" ref="D11" r:id="rId9"/>
    <hyperlink xmlns:r="http://schemas.openxmlformats.org/officeDocument/2006/relationships" ref="E11" r:id="rId10"/>
    <hyperlink xmlns:r="http://schemas.openxmlformats.org/officeDocument/2006/relationships" ref="D13" r:id="rId11"/>
    <hyperlink xmlns:r="http://schemas.openxmlformats.org/officeDocument/2006/relationships" ref="E13" r:id="rId12"/>
    <hyperlink xmlns:r="http://schemas.openxmlformats.org/officeDocument/2006/relationships" ref="D14" r:id="rId13"/>
    <hyperlink xmlns:r="http://schemas.openxmlformats.org/officeDocument/2006/relationships" ref="E14" r:id="rId14"/>
    <hyperlink xmlns:r="http://schemas.openxmlformats.org/officeDocument/2006/relationships" ref="D15" r:id="rId15"/>
    <hyperlink xmlns:r="http://schemas.openxmlformats.org/officeDocument/2006/relationships" ref="E15" r:id="rId16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E6B3A"/>
    <outlinePr summaryBelow="1" summaryRight="1"/>
    <pageSetUpPr fitToPage="1"/>
  </sheetPr>
  <dimension ref="A1:H29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" customWidth="1" min="9" max="9"/>
  </cols>
  <sheetData>
    <row r="1" ht="34" customHeight="1">
      <c r="A1" s="40" t="inlineStr">
        <is>
          <t>Progress</t>
        </is>
      </c>
    </row>
    <row r="2">
      <c r="A2" s="18" t="inlineStr">
        <is>
          <t>This page fills itself in from your ratings. Nothing to type here except the yellow cells, if you want to change them.</t>
        </is>
      </c>
    </row>
    <row r="4" ht="44" customHeight="1">
      <c r="A4" s="49">
        <f>TEXT((COUNTIFS('Statistics'!$D$7:$D$58,"R",'Statistics'!$C$7:$C$58,"&gt;0")+COUNTIFS('Statistics'!$D$7:$D$58,"A",'Statistics'!$C$7:$C$58,"&gt;0")+COUNTIFS('Statistics'!$D$7:$D$58,"G",'Statistics'!$C$7:$C$58,"&gt;0"))/42,"0%")</f>
        <v/>
      </c>
      <c r="C4" s="50">
        <f>COUNTIFS('Statistics'!$D$7:$D$58,"R",'Statistics'!$C$7:$C$58,"&gt;0")</f>
        <v/>
      </c>
      <c r="D4" s="51" t="n"/>
      <c r="E4" s="52">
        <f>COUNTIFS('Statistics'!$D$7:$D$58,"A",'Statistics'!$C$7:$C$58,"&gt;0")</f>
        <v/>
      </c>
      <c r="F4" s="53" t="n"/>
      <c r="G4" s="54">
        <f>COUNTIFS('Statistics'!$D$7:$D$58,"G",'Statistics'!$C$7:$C$58,"&gt;0")</f>
        <v/>
      </c>
      <c r="H4" s="55" t="n"/>
    </row>
    <row r="5" ht="20" customHeight="1">
      <c r="A5" s="56" t="inlineStr">
        <is>
          <t>Topics rated (of 42)</t>
        </is>
      </c>
      <c r="C5" s="57" t="inlineStr">
        <is>
          <t>Red</t>
        </is>
      </c>
      <c r="D5" s="51" t="n"/>
      <c r="E5" s="58" t="inlineStr">
        <is>
          <t>Amber</t>
        </is>
      </c>
      <c r="F5" s="53" t="n"/>
      <c r="G5" s="59" t="inlineStr">
        <is>
          <t>Green</t>
        </is>
      </c>
      <c r="H5" s="55" t="n"/>
    </row>
    <row r="7">
      <c r="A7" s="3" t="inlineStr">
        <is>
          <t>Your practice plan</t>
        </is>
      </c>
    </row>
    <row r="8" ht="20" customHeight="1">
      <c r="A8" s="41" t="inlineStr">
        <is>
          <t>Rating</t>
        </is>
      </c>
      <c r="B8" s="42" t="inlineStr">
        <is>
          <t>Topics</t>
        </is>
      </c>
      <c r="C8" s="42" t="inlineStr">
        <is>
          <t>Qs each</t>
        </is>
      </c>
      <c r="D8" s="42" t="inlineStr">
        <is>
          <t>Qs total</t>
        </is>
      </c>
      <c r="E8" s="42" t="inlineStr">
        <is>
          <t>What to do</t>
        </is>
      </c>
    </row>
    <row r="9">
      <c r="A9" s="60" t="inlineStr">
        <is>
          <t>Red</t>
        </is>
      </c>
      <c r="B9" s="61">
        <f>COUNTIFS('Statistics'!$D$7:$D$58,"R",'Statistics'!$C$7:$C$58,"&gt;0")</f>
        <v/>
      </c>
      <c r="C9" s="62" t="n">
        <v>10</v>
      </c>
      <c r="D9" s="61">
        <f>B9*C9</f>
        <v/>
      </c>
      <c r="E9" s="63" t="inlineStr">
        <is>
          <t>Full worksheet, taught first</t>
        </is>
      </c>
    </row>
    <row r="10">
      <c r="A10" s="64" t="inlineStr">
        <is>
          <t>Amber</t>
        </is>
      </c>
      <c r="B10" s="61">
        <f>COUNTIFS('Statistics'!$D$7:$D$58,"A",'Statistics'!$C$7:$C$58,"&gt;0")</f>
        <v/>
      </c>
      <c r="C10" s="62" t="n">
        <v>5</v>
      </c>
      <c r="D10" s="61">
        <f>B10*C10</f>
        <v/>
      </c>
      <c r="E10" s="63" t="inlineStr">
        <is>
          <t>Practise until 3 right in a row</t>
        </is>
      </c>
    </row>
    <row r="11">
      <c r="A11" s="65" t="inlineStr">
        <is>
          <t>Green</t>
        </is>
      </c>
      <c r="B11" s="61">
        <f>COUNTIFS('Statistics'!$D$7:$D$58,"G",'Statistics'!$C$7:$C$58,"&gt;0")</f>
        <v/>
      </c>
      <c r="C11" s="62" t="n">
        <v>2</v>
      </c>
      <c r="D11" s="61">
        <f>B11*C11</f>
        <v/>
      </c>
      <c r="E11" s="63" t="inlineStr">
        <is>
          <t>2-question spot check</t>
        </is>
      </c>
    </row>
    <row r="12">
      <c r="A12" t="inlineStr">
        <is>
          <t>Not rated yet</t>
        </is>
      </c>
      <c r="B12" s="66">
        <f>COUNTIFS('Statistics'!$D$7:$D$58,"",'Statistics'!$C$7:$C$58,"&gt;0")</f>
        <v/>
      </c>
    </row>
    <row r="13">
      <c r="A13" s="19" t="inlineStr">
        <is>
          <t>Total questions</t>
        </is>
      </c>
      <c r="D13" s="67">
        <f>SUM(D9:D11)</f>
        <v/>
      </c>
    </row>
    <row r="14">
      <c r="A14" t="inlineStr">
        <is>
          <t>Minutes per question</t>
        </is>
      </c>
      <c r="D14" s="68" t="n">
        <v>6</v>
      </c>
    </row>
    <row r="15">
      <c r="A15" s="19" t="inlineStr">
        <is>
          <t>Hours of practice</t>
        </is>
      </c>
      <c r="D15" s="67">
        <f>ROUND(D13*D14/60,1)</f>
        <v/>
      </c>
    </row>
    <row r="16">
      <c r="A16" t="inlineStr">
        <is>
          <t>Chapter tests done</t>
        </is>
      </c>
      <c r="D16" s="66">
        <f>COUNTIF('Chapter tests'!$F$5:$F$16,"Done")&amp;" of 10"</f>
        <v/>
      </c>
    </row>
    <row r="18">
      <c r="A18" s="3" t="inlineStr">
        <is>
          <t>By year</t>
        </is>
      </c>
    </row>
    <row r="19" ht="20" customHeight="1">
      <c r="A19" s="41" t="inlineStr"/>
      <c r="B19" s="42" t="inlineStr">
        <is>
          <t>Topics</t>
        </is>
      </c>
      <c r="C19" s="42" t="inlineStr">
        <is>
          <t>Red</t>
        </is>
      </c>
      <c r="D19" s="42" t="inlineStr">
        <is>
          <t>Amber</t>
        </is>
      </c>
      <c r="E19" s="42" t="inlineStr">
        <is>
          <t>Green</t>
        </is>
      </c>
      <c r="F19" s="42" t="inlineStr">
        <is>
          <t>Not rated</t>
        </is>
      </c>
      <c r="G19" s="42" t="inlineStr">
        <is>
          <t>% Green</t>
        </is>
      </c>
    </row>
    <row r="20">
      <c r="A20" s="69" t="inlineStr">
        <is>
          <t>Year 1 (AS content)</t>
        </is>
      </c>
      <c r="B20" s="61">
        <f>COUNTIFS('Statistics'!$C$7:$C$58,1)</f>
        <v/>
      </c>
      <c r="C20" s="61">
        <f>COUNTIFS('Statistics'!$C$7:$C$58,1,'Statistics'!$D$7:$D$58,"R")</f>
        <v/>
      </c>
      <c r="D20" s="61">
        <f>COUNTIFS('Statistics'!$C$7:$C$58,1,'Statistics'!$D$7:$D$58,"A")</f>
        <v/>
      </c>
      <c r="E20" s="61">
        <f>COUNTIFS('Statistics'!$C$7:$C$58,1,'Statistics'!$D$7:$D$58,"G")</f>
        <v/>
      </c>
      <c r="F20" s="61">
        <f>COUNTIFS('Statistics'!$C$7:$C$58,1,'Statistics'!$D$7:$D$58,"")</f>
        <v/>
      </c>
      <c r="G20" s="70">
        <f>IFERROR(E20/B20,0)</f>
        <v/>
      </c>
    </row>
    <row r="21">
      <c r="A21" s="69" t="inlineStr">
        <is>
          <t>Year 2</t>
        </is>
      </c>
      <c r="B21" s="61">
        <f>COUNTIFS('Statistics'!$C$7:$C$58,2)</f>
        <v/>
      </c>
      <c r="C21" s="61">
        <f>COUNTIFS('Statistics'!$C$7:$C$58,2,'Statistics'!$D$7:$D$58,"R")</f>
        <v/>
      </c>
      <c r="D21" s="61">
        <f>COUNTIFS('Statistics'!$C$7:$C$58,2,'Statistics'!$D$7:$D$58,"A")</f>
        <v/>
      </c>
      <c r="E21" s="61">
        <f>COUNTIFS('Statistics'!$C$7:$C$58,2,'Statistics'!$D$7:$D$58,"G")</f>
        <v/>
      </c>
      <c r="F21" s="61">
        <f>COUNTIFS('Statistics'!$C$7:$C$58,2,'Statistics'!$D$7:$D$58,"")</f>
        <v/>
      </c>
      <c r="G21" s="70">
        <f>IFERROR(E21/B21,0)</f>
        <v/>
      </c>
    </row>
    <row r="23">
      <c r="A23" s="3" t="inlineStr">
        <is>
          <t>By topic area</t>
        </is>
      </c>
    </row>
    <row r="24" ht="20" customHeight="1">
      <c r="A24" s="41" t="inlineStr"/>
      <c r="B24" s="42" t="inlineStr">
        <is>
          <t>Topics</t>
        </is>
      </c>
      <c r="C24" s="42" t="inlineStr">
        <is>
          <t>Red</t>
        </is>
      </c>
      <c r="D24" s="42" t="inlineStr">
        <is>
          <t>Amber</t>
        </is>
      </c>
      <c r="E24" s="42" t="inlineStr">
        <is>
          <t>Green</t>
        </is>
      </c>
      <c r="F24" s="42" t="inlineStr">
        <is>
          <t>Not rated</t>
        </is>
      </c>
      <c r="G24" s="42" t="inlineStr">
        <is>
          <t>% Green</t>
        </is>
      </c>
    </row>
    <row r="25">
      <c r="A25" s="69" t="inlineStr">
        <is>
          <t>Statistics 1: Statistical sampling</t>
        </is>
      </c>
      <c r="B25" s="61">
        <f>COUNTIFS('Statistics'!$P$7:$P$58,"S1")</f>
        <v/>
      </c>
      <c r="C25" s="61">
        <f>COUNTIFS('Statistics'!$P$7:$P$58,"S1",'Statistics'!$D$7:$D$58,"R")</f>
        <v/>
      </c>
      <c r="D25" s="61">
        <f>COUNTIFS('Statistics'!$P$7:$P$58,"S1",'Statistics'!$D$7:$D$58,"A")</f>
        <v/>
      </c>
      <c r="E25" s="61">
        <f>COUNTIFS('Statistics'!$P$7:$P$58,"S1",'Statistics'!$D$7:$D$58,"G")</f>
        <v/>
      </c>
      <c r="F25" s="61">
        <f>COUNTIFS('Statistics'!$P$7:$P$58,"S1",'Statistics'!$D$7:$D$58,"")</f>
        <v/>
      </c>
      <c r="G25" s="70">
        <f>IFERROR(E25/B25,0)</f>
        <v/>
      </c>
    </row>
    <row r="26">
      <c r="A26" s="69" t="inlineStr">
        <is>
          <t>Statistics 2: Data presentation and interpretation</t>
        </is>
      </c>
      <c r="B26" s="61">
        <f>COUNTIFS('Statistics'!$P$7:$P$58,"S2")</f>
        <v/>
      </c>
      <c r="C26" s="61">
        <f>COUNTIFS('Statistics'!$P$7:$P$58,"S2",'Statistics'!$D$7:$D$58,"R")</f>
        <v/>
      </c>
      <c r="D26" s="61">
        <f>COUNTIFS('Statistics'!$P$7:$P$58,"S2",'Statistics'!$D$7:$D$58,"A")</f>
        <v/>
      </c>
      <c r="E26" s="61">
        <f>COUNTIFS('Statistics'!$P$7:$P$58,"S2",'Statistics'!$D$7:$D$58,"G")</f>
        <v/>
      </c>
      <c r="F26" s="61">
        <f>COUNTIFS('Statistics'!$P$7:$P$58,"S2",'Statistics'!$D$7:$D$58,"")</f>
        <v/>
      </c>
      <c r="G26" s="70">
        <f>IFERROR(E26/B26,0)</f>
        <v/>
      </c>
    </row>
    <row r="27">
      <c r="A27" s="69" t="inlineStr">
        <is>
          <t>Statistics 3: Probability</t>
        </is>
      </c>
      <c r="B27" s="61">
        <f>COUNTIFS('Statistics'!$P$7:$P$58,"S3")</f>
        <v/>
      </c>
      <c r="C27" s="61">
        <f>COUNTIFS('Statistics'!$P$7:$P$58,"S3",'Statistics'!$D$7:$D$58,"R")</f>
        <v/>
      </c>
      <c r="D27" s="61">
        <f>COUNTIFS('Statistics'!$P$7:$P$58,"S3",'Statistics'!$D$7:$D$58,"A")</f>
        <v/>
      </c>
      <c r="E27" s="61">
        <f>COUNTIFS('Statistics'!$P$7:$P$58,"S3",'Statistics'!$D$7:$D$58,"G")</f>
        <v/>
      </c>
      <c r="F27" s="61">
        <f>COUNTIFS('Statistics'!$P$7:$P$58,"S3",'Statistics'!$D$7:$D$58,"")</f>
        <v/>
      </c>
      <c r="G27" s="70">
        <f>IFERROR(E27/B27,0)</f>
        <v/>
      </c>
    </row>
    <row r="28">
      <c r="A28" s="69" t="inlineStr">
        <is>
          <t>Statistics 4: Statistical distributions</t>
        </is>
      </c>
      <c r="B28" s="61">
        <f>COUNTIFS('Statistics'!$P$7:$P$58,"S4")</f>
        <v/>
      </c>
      <c r="C28" s="61">
        <f>COUNTIFS('Statistics'!$P$7:$P$58,"S4",'Statistics'!$D$7:$D$58,"R")</f>
        <v/>
      </c>
      <c r="D28" s="61">
        <f>COUNTIFS('Statistics'!$P$7:$P$58,"S4",'Statistics'!$D$7:$D$58,"A")</f>
        <v/>
      </c>
      <c r="E28" s="61">
        <f>COUNTIFS('Statistics'!$P$7:$P$58,"S4",'Statistics'!$D$7:$D$58,"G")</f>
        <v/>
      </c>
      <c r="F28" s="61">
        <f>COUNTIFS('Statistics'!$P$7:$P$58,"S4",'Statistics'!$D$7:$D$58,"")</f>
        <v/>
      </c>
      <c r="G28" s="70">
        <f>IFERROR(E28/B28,0)</f>
        <v/>
      </c>
    </row>
    <row r="29">
      <c r="A29" s="69" t="inlineStr">
        <is>
          <t>Statistics 5: Statistical hypothesis testing</t>
        </is>
      </c>
      <c r="B29" s="61">
        <f>COUNTIFS('Statistics'!$P$7:$P$58,"S5")</f>
        <v/>
      </c>
      <c r="C29" s="61">
        <f>COUNTIFS('Statistics'!$P$7:$P$58,"S5",'Statistics'!$D$7:$D$58,"R")</f>
        <v/>
      </c>
      <c r="D29" s="61">
        <f>COUNTIFS('Statistics'!$P$7:$P$58,"S5",'Statistics'!$D$7:$D$58,"A")</f>
        <v/>
      </c>
      <c r="E29" s="61">
        <f>COUNTIFS('Statistics'!$P$7:$P$58,"S5",'Statistics'!$D$7:$D$58,"G")</f>
        <v/>
      </c>
      <c r="F29" s="61">
        <f>COUNTIFS('Statistics'!$P$7:$P$58,"S5",'Statistics'!$D$7:$D$58,"")</f>
        <v/>
      </c>
      <c r="G29" s="70">
        <f>IFERROR(E29/B29,0)</f>
        <v/>
      </c>
    </row>
  </sheetData>
  <mergeCells count="8">
    <mergeCell ref="G4:H4"/>
    <mergeCell ref="E4:F4"/>
    <mergeCell ref="A4"/>
    <mergeCell ref="C5:D5"/>
    <mergeCell ref="G5:H5"/>
    <mergeCell ref="E5:F5"/>
    <mergeCell ref="A5"/>
    <mergeCell ref="C4:D4"/>
  </mergeCells>
  <conditionalFormatting sqref="C20:C21">
    <cfRule type="cellIs" priority="1" operator="greaterThan" dxfId="6">
      <formula>0</formula>
    </cfRule>
  </conditionalFormatting>
  <conditionalFormatting sqref="D20:D21">
    <cfRule type="cellIs" priority="2" operator="greaterThan" dxfId="7">
      <formula>0</formula>
    </cfRule>
  </conditionalFormatting>
  <conditionalFormatting sqref="E20:E21">
    <cfRule type="cellIs" priority="3" operator="greaterThan" dxfId="8">
      <formula>0</formula>
    </cfRule>
  </conditionalFormatting>
  <conditionalFormatting sqref="G20:G21">
    <cfRule type="dataBar" priority="4">
      <dataBar>
        <cfvo type="num" val="0"/>
        <cfvo type="num" val="1"/>
        <color rgb="0063BE7B"/>
      </dataBar>
    </cfRule>
  </conditionalFormatting>
  <conditionalFormatting sqref="C25:C29">
    <cfRule type="cellIs" priority="5" operator="greaterThan" dxfId="6">
      <formula>0</formula>
    </cfRule>
  </conditionalFormatting>
  <conditionalFormatting sqref="D25:D29">
    <cfRule type="cellIs" priority="6" operator="greaterThan" dxfId="7">
      <formula>0</formula>
    </cfRule>
  </conditionalFormatting>
  <conditionalFormatting sqref="E25:E29">
    <cfRule type="cellIs" priority="7" operator="greaterThan" dxfId="8">
      <formula>0</formula>
    </cfRule>
  </conditionalFormatting>
  <conditionalFormatting sqref="G25:G29">
    <cfRule type="dataBar" priority="8">
      <dataBar>
        <cfvo type="num" val="0"/>
        <cfvo type="num" val="1"/>
        <color rgb="0063BE7B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2026-09-24T09:53:53Z</dcterms:created>
  <dcterms:modified xsi:type="dcterms:W3CDTF">2026-09-24T09:53:53Z</dcterms:modified>
</cp:coreProperties>
</file>