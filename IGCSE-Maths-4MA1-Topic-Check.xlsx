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 chec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Where to practise" sheetId="3" state="visible" r:id="rId3"/>
  </sheets>
  <definedNames>
    <definedName name="_xlnm.Print_Titles" localSheetId="0">'Topic check'!$12:$12</definedName>
    <definedName name="_xlnm.Print_Area" localSheetId="0">'Topic check'!$A$1:$D$127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0D2B4E"/>
      <sz val="17"/>
    </font>
    <font>
      <name val="Calibri"/>
      <color rgb="005A6B7C"/>
      <sz val="10.5"/>
    </font>
    <font>
      <name val="Calibri"/>
      <b val="1"/>
      <color rgb="00D4861B"/>
      <sz val="9"/>
    </font>
    <font>
      <name val="Calibri"/>
      <color rgb="00000000"/>
      <sz val="11"/>
    </font>
    <font>
      <name val="Calibri"/>
      <color rgb="001B6B4A"/>
      <sz val="10.5"/>
    </font>
    <font>
      <name val="Calibri"/>
      <color rgb="008A5A00"/>
      <sz val="10.5"/>
    </font>
    <font>
      <name val="Calibri"/>
      <color rgb="009B2C20"/>
      <sz val="10.5"/>
    </font>
    <font>
      <name val="Calibri"/>
      <i val="1"/>
      <color rgb="005A6B7C"/>
      <sz val="10"/>
    </font>
    <font>
      <name val="Calibri"/>
      <b val="1"/>
      <color rgb="000D2B4E"/>
      <sz val="12"/>
    </font>
    <font>
      <name val="Calibri"/>
      <i val="1"/>
      <color rgb="005A6B7C"/>
      <sz val="9.5"/>
    </font>
    <font>
      <name val="Calibri"/>
      <b val="1"/>
      <color rgb="00FFFFFF"/>
      <sz val="10.5"/>
    </font>
    <font>
      <name val="Calibri"/>
      <b val="1"/>
      <color rgb="000D2B4E"/>
      <sz val="11.5"/>
    </font>
    <font>
      <name val="Calibri"/>
      <color rgb="00000000"/>
      <sz val="10.5"/>
    </font>
    <font>
      <name val="Calibri"/>
      <color rgb="005A6B7C"/>
      <sz val="9.5"/>
    </font>
    <font>
      <name val="Calibri"/>
      <color rgb="005A6B7C"/>
      <sz val="10"/>
    </font>
    <font>
      <name val="Calibri"/>
      <b val="1"/>
      <color rgb="00D4861B"/>
      <sz val="9.5"/>
    </font>
    <font>
      <name val="Calibri"/>
      <b val="1"/>
      <color rgb="000D2B4E"/>
      <sz val="18"/>
    </font>
    <font>
      <name val="Calibri"/>
      <b val="1"/>
      <color rgb="001B6B4A"/>
      <sz val="10.5"/>
    </font>
    <font>
      <name val="Calibri"/>
      <b val="1"/>
      <color rgb="008A5A00"/>
      <sz val="10.5"/>
    </font>
    <font>
      <name val="Calibri"/>
      <b val="1"/>
      <color rgb="009B2C20"/>
      <sz val="10.5"/>
    </font>
    <font>
      <name val="Calibri"/>
      <b val="1"/>
      <color rgb="000D2B4E"/>
      <sz val="11"/>
    </font>
    <font>
      <name val="Calibri"/>
      <i val="1"/>
      <color rgb="000D2B4E"/>
      <sz val="11"/>
    </font>
    <font>
      <name val="Calibri"/>
      <i val="1"/>
      <color rgb="000D2B4E"/>
      <sz val="10.5"/>
    </font>
  </fonts>
  <fills count="7">
    <fill>
      <patternFill/>
    </fill>
    <fill>
      <patternFill patternType="gray125"/>
    </fill>
    <fill>
      <patternFill patternType="solid">
        <fgColor rgb="00EEF3F8"/>
      </patternFill>
    </fill>
    <fill>
      <patternFill patternType="solid">
        <fgColor rgb="00DCF0E4"/>
      </patternFill>
    </fill>
    <fill>
      <patternFill patternType="solid">
        <fgColor rgb="00FCEBCE"/>
      </patternFill>
    </fill>
    <fill>
      <patternFill patternType="solid">
        <fgColor rgb="00FADCD9"/>
      </patternFill>
    </fill>
    <fill>
      <patternFill patternType="solid">
        <fgColor rgb="000D2B4E"/>
      </patternFill>
    </fill>
  </fills>
  <borders count="2">
    <border>
      <left/>
      <right/>
      <top/>
      <bottom/>
      <diagonal/>
    </border>
    <border>
      <bottom style="thin">
        <color rgb="00DCE6F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9" fillId="0" borderId="0" pivotButton="0" quotePrefix="0" xfId="0"/>
    <xf numFmtId="0" fontId="7" fillId="5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name val="Calibri"/>
        <b val="1"/>
        <color rgb="001B6B4A"/>
        <sz val="10.5"/>
      </font>
      <fill>
        <patternFill patternType="solid">
          <fgColor rgb="00DCF0E4"/>
          <bgColor rgb="00DCF0E4"/>
        </patternFill>
      </fill>
    </dxf>
    <dxf>
      <font>
        <name val="Calibri"/>
        <b val="1"/>
        <color rgb="008A5A00"/>
        <sz val="10.5"/>
      </font>
      <fill>
        <patternFill patternType="solid">
          <fgColor rgb="00FCEBCE"/>
          <bgColor rgb="00FCEBCE"/>
        </patternFill>
      </fill>
    </dxf>
    <dxf>
      <font>
        <name val="Calibri"/>
        <b val="1"/>
        <color rgb="009B2C20"/>
        <sz val="10.5"/>
      </font>
      <fill>
        <patternFill patternType="solid">
          <fgColor rgb="00FADCD9"/>
          <bgColor rgb="00FADC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74" customWidth="1" min="1" max="1"/>
    <col width="10" customWidth="1" min="2" max="2"/>
    <col width="21" customWidth="1" min="3" max="3"/>
    <col width="42" customWidth="1" min="4" max="4"/>
  </cols>
  <sheetData>
    <row r="1">
      <c r="A1" s="1" t="inlineStr">
        <is>
          <t>Edexcel IGCSE Mathematics A (4MA1)  —  Topic check</t>
        </is>
      </c>
    </row>
    <row r="2">
      <c r="A2" s="2" t="inlineStr">
        <is>
          <t>Please fill this in before our first lesson. It takes about ten minutes. Don't think too hard about any single row.</t>
        </is>
      </c>
    </row>
    <row r="4">
      <c r="A4" s="3" t="inlineStr">
        <is>
          <t>NAME</t>
        </is>
      </c>
      <c r="B4" s="3" t="inlineStr">
        <is>
          <t>TIER</t>
        </is>
      </c>
      <c r="C4" s="3" t="inlineStr">
        <is>
          <t>DATE</t>
        </is>
      </c>
    </row>
    <row r="5">
      <c r="A5" s="4" t="inlineStr"/>
      <c r="B5" s="4" t="inlineStr"/>
      <c r="C5" s="4" t="inlineStr"/>
    </row>
    <row r="7">
      <c r="A7" s="5" t="inlineStr">
        <is>
          <t>Green  —  I could do this in a test tomorrow</t>
        </is>
      </c>
      <c r="D7" s="3" t="inlineStr">
        <is>
          <t>RUNNING TOTAL</t>
        </is>
      </c>
    </row>
    <row r="8">
      <c r="A8" s="6" t="inlineStr">
        <is>
          <t>Amber  —  I've seen it, but I'd need reminding</t>
        </is>
      </c>
      <c r="D8" s="7">
        <f>COUNTIF(C13:C127,"Green")&amp;" green    "&amp;COUNTIF(C13:C127,"Amber")&amp;" amber    "&amp;COUNTIF(C13:C127,"Red")&amp;" red"</f>
        <v/>
      </c>
    </row>
    <row r="9">
      <c r="A9" s="8" t="inlineStr">
        <is>
          <t>Red  —  I don't recognise this, or I always get it wrong</t>
        </is>
      </c>
      <c r="D9" s="9" t="inlineStr">
        <is>
          <t>Fills in as you go.</t>
        </is>
      </c>
    </row>
    <row r="10">
      <c r="A10" s="10" t="inlineStr">
        <is>
          <t>Rows marked Higher are on the Higher paper only. On Foundation, leave those blank. There is no wrong answer here — an honest red is worth far more to me than a hopeful green.</t>
        </is>
      </c>
    </row>
    <row r="12" ht="22" customHeight="1">
      <c r="A12" s="11" t="inlineStr">
        <is>
          <t>Topic</t>
        </is>
      </c>
      <c r="B12" s="12" t="inlineStr">
        <is>
          <t>Tier</t>
        </is>
      </c>
      <c r="C12" s="12" t="inlineStr">
        <is>
          <t>How I feel about it</t>
        </is>
      </c>
      <c r="D12" s="11" t="inlineStr">
        <is>
          <t>Anything you want to tell me</t>
        </is>
      </c>
    </row>
    <row r="13" ht="21" customHeight="1">
      <c r="A13" s="13" t="inlineStr">
        <is>
          <t>1  Number and the number system</t>
        </is>
      </c>
      <c r="B13" s="14" t="inlineStr"/>
      <c r="C13" s="14" t="inlineStr"/>
      <c r="D13" s="14" t="inlineStr"/>
    </row>
    <row r="14" ht="18" customHeight="1">
      <c r="A14" s="15" t="inlineStr">
        <is>
          <t>Place value, ordering, rounding to decimal places and significant figures</t>
        </is>
      </c>
      <c r="B14" s="16" t="inlineStr">
        <is>
          <t>Both</t>
        </is>
      </c>
      <c r="C14" s="17" t="inlineStr"/>
      <c r="D14" s="18" t="inlineStr"/>
    </row>
    <row r="15" ht="18" customHeight="1">
      <c r="A15" s="15" t="inlineStr">
        <is>
          <t>Four operations with integers, decimals and negative numbers</t>
        </is>
      </c>
      <c r="B15" s="16" t="inlineStr">
        <is>
          <t>Both</t>
        </is>
      </c>
      <c r="C15" s="17" t="inlineStr"/>
      <c r="D15" s="18" t="inlineStr"/>
    </row>
    <row r="16" ht="18" customHeight="1">
      <c r="A16" s="15" t="inlineStr">
        <is>
          <t>Factors, multiples, primes, HCF and LCM, prime factorisation</t>
        </is>
      </c>
      <c r="B16" s="16" t="inlineStr">
        <is>
          <t>Both</t>
        </is>
      </c>
      <c r="C16" s="17" t="inlineStr"/>
      <c r="D16" s="18" t="inlineStr"/>
    </row>
    <row r="17" ht="18" customHeight="1">
      <c r="A17" s="15" t="inlineStr">
        <is>
          <t>Fractions: simplifying, comparing, all four operations, mixed numbers</t>
        </is>
      </c>
      <c r="B17" s="16" t="inlineStr">
        <is>
          <t>Both</t>
        </is>
      </c>
      <c r="C17" s="17" t="inlineStr"/>
      <c r="D17" s="18" t="inlineStr"/>
    </row>
    <row r="18" ht="18" customHeight="1">
      <c r="A18" s="15" t="inlineStr">
        <is>
          <t>Converting between fractions, decimals and percentages</t>
        </is>
      </c>
      <c r="B18" s="16" t="inlineStr">
        <is>
          <t>Both</t>
        </is>
      </c>
      <c r="C18" s="17" t="inlineStr"/>
      <c r="D18" s="18" t="inlineStr"/>
    </row>
    <row r="19" ht="18" customHeight="1">
      <c r="A19" s="15" t="inlineStr">
        <is>
          <t>Percentage of an amount; percentage increase and decrease</t>
        </is>
      </c>
      <c r="B19" s="16" t="inlineStr">
        <is>
          <t>Both</t>
        </is>
      </c>
      <c r="C19" s="17" t="inlineStr"/>
      <c r="D19" s="18" t="inlineStr"/>
    </row>
    <row r="20" ht="18" customHeight="1">
      <c r="A20" s="15" t="inlineStr">
        <is>
          <t>Percentage change, profit and loss</t>
        </is>
      </c>
      <c r="B20" s="16" t="inlineStr">
        <is>
          <t>Both</t>
        </is>
      </c>
      <c r="C20" s="17" t="inlineStr"/>
      <c r="D20" s="18" t="inlineStr"/>
    </row>
    <row r="21" ht="18" customHeight="1">
      <c r="A21" s="15" t="inlineStr">
        <is>
          <t>Reverse percentages (finding the original amount)</t>
        </is>
      </c>
      <c r="B21" s="16" t="inlineStr">
        <is>
          <t>Both</t>
        </is>
      </c>
      <c r="C21" s="17" t="inlineStr"/>
      <c r="D21" s="18" t="inlineStr"/>
    </row>
    <row r="22" ht="18" customHeight="1">
      <c r="A22" s="15" t="inlineStr">
        <is>
          <t>Compound interest, depreciation, growth and decay</t>
        </is>
      </c>
      <c r="B22" s="16" t="inlineStr">
        <is>
          <t>Both</t>
        </is>
      </c>
      <c r="C22" s="17" t="inlineStr"/>
      <c r="D22" s="18" t="inlineStr"/>
    </row>
    <row r="23" ht="18" customHeight="1">
      <c r="A23" s="15" t="inlineStr">
        <is>
          <t>Ratio: simplifying, sharing in a ratio, the unitary method</t>
        </is>
      </c>
      <c r="B23" s="16" t="inlineStr">
        <is>
          <t>Both</t>
        </is>
      </c>
      <c r="C23" s="17" t="inlineStr"/>
      <c r="D23" s="18" t="inlineStr"/>
    </row>
    <row r="24" ht="18" customHeight="1">
      <c r="A24" s="15" t="inlineStr">
        <is>
          <t>Direct and inverse proportion</t>
        </is>
      </c>
      <c r="B24" s="16" t="inlineStr">
        <is>
          <t>Both</t>
        </is>
      </c>
      <c r="C24" s="17" t="inlineStr"/>
      <c r="D24" s="18" t="inlineStr"/>
    </row>
    <row r="25" ht="18" customHeight="1">
      <c r="A25" s="15" t="inlineStr">
        <is>
          <t>Compound measures: speed, density and pressure</t>
        </is>
      </c>
      <c r="B25" s="16" t="inlineStr">
        <is>
          <t>Both</t>
        </is>
      </c>
      <c r="C25" s="17" t="inlineStr"/>
      <c r="D25" s="18" t="inlineStr"/>
    </row>
    <row r="26" ht="18" customHeight="1">
      <c r="A26" s="15" t="inlineStr">
        <is>
          <t>Powers, roots and the index laws</t>
        </is>
      </c>
      <c r="B26" s="16" t="inlineStr">
        <is>
          <t>Both</t>
        </is>
      </c>
      <c r="C26" s="17" t="inlineStr"/>
      <c r="D26" s="18" t="inlineStr"/>
    </row>
    <row r="27" ht="18" customHeight="1">
      <c r="A27" s="15" t="inlineStr">
        <is>
          <t>Negative and fractional indices</t>
        </is>
      </c>
      <c r="B27" s="19" t="inlineStr">
        <is>
          <t>Higher</t>
        </is>
      </c>
      <c r="C27" s="17" t="inlineStr"/>
      <c r="D27" s="18" t="inlineStr"/>
    </row>
    <row r="28" ht="18" customHeight="1">
      <c r="A28" s="15" t="inlineStr">
        <is>
          <t>Standard form: writing, converting and calculating</t>
        </is>
      </c>
      <c r="B28" s="16" t="inlineStr">
        <is>
          <t>Both</t>
        </is>
      </c>
      <c r="C28" s="17" t="inlineStr"/>
      <c r="D28" s="18" t="inlineStr"/>
    </row>
    <row r="29" ht="18" customHeight="1">
      <c r="A29" s="15" t="inlineStr">
        <is>
          <t>Surds: simplifying and rationalising the denominator</t>
        </is>
      </c>
      <c r="B29" s="19" t="inlineStr">
        <is>
          <t>Higher</t>
        </is>
      </c>
      <c r="C29" s="17" t="inlineStr"/>
      <c r="D29" s="18" t="inlineStr"/>
    </row>
    <row r="30" ht="18" customHeight="1">
      <c r="A30" s="15" t="inlineStr">
        <is>
          <t>Upper and lower bounds; error intervals</t>
        </is>
      </c>
      <c r="B30" s="19" t="inlineStr">
        <is>
          <t>Higher</t>
        </is>
      </c>
      <c r="C30" s="17" t="inlineStr"/>
      <c r="D30" s="18" t="inlineStr"/>
    </row>
    <row r="31" ht="18" customHeight="1">
      <c r="A31" s="15" t="inlineStr">
        <is>
          <t>Recurring decimals into fractions</t>
        </is>
      </c>
      <c r="B31" s="19" t="inlineStr">
        <is>
          <t>Higher</t>
        </is>
      </c>
      <c r="C31" s="17" t="inlineStr"/>
      <c r="D31" s="18" t="inlineStr"/>
    </row>
    <row r="32" ht="18" customHeight="1">
      <c r="A32" s="15" t="inlineStr">
        <is>
          <t>Set language, set notation and Venn diagrams</t>
        </is>
      </c>
      <c r="B32" s="16" t="inlineStr">
        <is>
          <t>Both</t>
        </is>
      </c>
      <c r="C32" s="17" t="inlineStr"/>
      <c r="D32" s="18" t="inlineStr"/>
    </row>
    <row r="33" ht="21" customHeight="1">
      <c r="A33" s="13" t="inlineStr">
        <is>
          <t>2  Equations, formulae and identities</t>
        </is>
      </c>
      <c r="B33" s="14" t="inlineStr"/>
      <c r="C33" s="14" t="inlineStr"/>
      <c r="D33" s="14" t="inlineStr"/>
    </row>
    <row r="34" ht="18" customHeight="1">
      <c r="A34" s="15" t="inlineStr">
        <is>
          <t>Algebraic notation and collecting like terms</t>
        </is>
      </c>
      <c r="B34" s="16" t="inlineStr">
        <is>
          <t>Both</t>
        </is>
      </c>
      <c r="C34" s="17" t="inlineStr"/>
      <c r="D34" s="18" t="inlineStr"/>
    </row>
    <row r="35" ht="18" customHeight="1">
      <c r="A35" s="15" t="inlineStr">
        <is>
          <t>Expanding single brackets</t>
        </is>
      </c>
      <c r="B35" s="16" t="inlineStr">
        <is>
          <t>Both</t>
        </is>
      </c>
      <c r="C35" s="17" t="inlineStr"/>
      <c r="D35" s="18" t="inlineStr"/>
    </row>
    <row r="36" ht="18" customHeight="1">
      <c r="A36" s="15" t="inlineStr">
        <is>
          <t>Expanding double brackets</t>
        </is>
      </c>
      <c r="B36" s="16" t="inlineStr">
        <is>
          <t>Both</t>
        </is>
      </c>
      <c r="C36" s="17" t="inlineStr"/>
      <c r="D36" s="18" t="inlineStr"/>
    </row>
    <row r="37" ht="18" customHeight="1">
      <c r="A37" s="15" t="inlineStr">
        <is>
          <t>Factorising using a common factor</t>
        </is>
      </c>
      <c r="B37" s="16" t="inlineStr">
        <is>
          <t>Both</t>
        </is>
      </c>
      <c r="C37" s="17" t="inlineStr"/>
      <c r="D37" s="18" t="inlineStr"/>
    </row>
    <row r="38" ht="18" customHeight="1">
      <c r="A38" s="15" t="inlineStr">
        <is>
          <t>Factorising quadratics of the form x² + bx + c</t>
        </is>
      </c>
      <c r="B38" s="16" t="inlineStr">
        <is>
          <t>Both</t>
        </is>
      </c>
      <c r="C38" s="17" t="inlineStr"/>
      <c r="D38" s="18" t="inlineStr"/>
    </row>
    <row r="39" ht="18" customHeight="1">
      <c r="A39" s="15" t="inlineStr">
        <is>
          <t>Factorising quadratics of the form ax² + bx + c</t>
        </is>
      </c>
      <c r="B39" s="19" t="inlineStr">
        <is>
          <t>Higher</t>
        </is>
      </c>
      <c r="C39" s="17" t="inlineStr"/>
      <c r="D39" s="18" t="inlineStr"/>
    </row>
    <row r="40" ht="18" customHeight="1">
      <c r="A40" s="15" t="inlineStr">
        <is>
          <t>The difference of two squares</t>
        </is>
      </c>
      <c r="B40" s="19" t="inlineStr">
        <is>
          <t>Higher</t>
        </is>
      </c>
      <c r="C40" s="17" t="inlineStr"/>
      <c r="D40" s="18" t="inlineStr"/>
    </row>
    <row r="41" ht="18" customHeight="1">
      <c r="A41" s="15" t="inlineStr">
        <is>
          <t>Substituting numbers into expressions and formulae</t>
        </is>
      </c>
      <c r="B41" s="16" t="inlineStr">
        <is>
          <t>Both</t>
        </is>
      </c>
      <c r="C41" s="17" t="inlineStr"/>
      <c r="D41" s="18" t="inlineStr"/>
    </row>
    <row r="42" ht="18" customHeight="1">
      <c r="A42" s="15" t="inlineStr">
        <is>
          <t>Solving linear equations, including x on both sides</t>
        </is>
      </c>
      <c r="B42" s="16" t="inlineStr">
        <is>
          <t>Both</t>
        </is>
      </c>
      <c r="C42" s="17" t="inlineStr"/>
      <c r="D42" s="18" t="inlineStr"/>
    </row>
    <row r="43" ht="18" customHeight="1">
      <c r="A43" s="15" t="inlineStr">
        <is>
          <t>Solving equations with brackets and with fractions</t>
        </is>
      </c>
      <c r="B43" s="16" t="inlineStr">
        <is>
          <t>Both</t>
        </is>
      </c>
      <c r="C43" s="17" t="inlineStr"/>
      <c r="D43" s="18" t="inlineStr"/>
    </row>
    <row r="44" ht="18" customHeight="1">
      <c r="A44" s="15" t="inlineStr">
        <is>
          <t>Rearranging a formula to change the subject</t>
        </is>
      </c>
      <c r="B44" s="16" t="inlineStr">
        <is>
          <t>Both</t>
        </is>
      </c>
      <c r="C44" s="17" t="inlineStr"/>
      <c r="D44" s="18" t="inlineStr"/>
    </row>
    <row r="45" ht="18" customHeight="1">
      <c r="A45" s="15" t="inlineStr">
        <is>
          <t>Rearranging where the new subject appears twice</t>
        </is>
      </c>
      <c r="B45" s="19" t="inlineStr">
        <is>
          <t>Higher</t>
        </is>
      </c>
      <c r="C45" s="17" t="inlineStr"/>
      <c r="D45" s="18" t="inlineStr"/>
    </row>
    <row r="46" ht="18" customHeight="1">
      <c r="A46" s="15" t="inlineStr">
        <is>
          <t>Simultaneous linear equations</t>
        </is>
      </c>
      <c r="B46" s="16" t="inlineStr">
        <is>
          <t>Both</t>
        </is>
      </c>
      <c r="C46" s="17" t="inlineStr"/>
      <c r="D46" s="18" t="inlineStr"/>
    </row>
    <row r="47" ht="18" customHeight="1">
      <c r="A47" s="15" t="inlineStr">
        <is>
          <t>Simultaneous equations where one is quadratic</t>
        </is>
      </c>
      <c r="B47" s="19" t="inlineStr">
        <is>
          <t>Higher</t>
        </is>
      </c>
      <c r="C47" s="17" t="inlineStr"/>
      <c r="D47" s="18" t="inlineStr"/>
    </row>
    <row r="48" ht="18" customHeight="1">
      <c r="A48" s="15" t="inlineStr">
        <is>
          <t>Solving quadratic equations by factorising</t>
        </is>
      </c>
      <c r="B48" s="16" t="inlineStr">
        <is>
          <t>Both</t>
        </is>
      </c>
      <c r="C48" s="17" t="inlineStr"/>
      <c r="D48" s="18" t="inlineStr"/>
    </row>
    <row r="49" ht="18" customHeight="1">
      <c r="A49" s="15" t="inlineStr">
        <is>
          <t>Solving quadratic equations with the formula</t>
        </is>
      </c>
      <c r="B49" s="19" t="inlineStr">
        <is>
          <t>Higher</t>
        </is>
      </c>
      <c r="C49" s="17" t="inlineStr"/>
      <c r="D49" s="18" t="inlineStr"/>
    </row>
    <row r="50" ht="18" customHeight="1">
      <c r="A50" s="15" t="inlineStr">
        <is>
          <t>Completing the square</t>
        </is>
      </c>
      <c r="B50" s="19" t="inlineStr">
        <is>
          <t>Higher</t>
        </is>
      </c>
      <c r="C50" s="17" t="inlineStr"/>
      <c r="D50" s="18" t="inlineStr"/>
    </row>
    <row r="51" ht="18" customHeight="1">
      <c r="A51" s="15" t="inlineStr">
        <is>
          <t>Algebraic fractions: simplifying and the four operations</t>
        </is>
      </c>
      <c r="B51" s="19" t="inlineStr">
        <is>
          <t>Higher</t>
        </is>
      </c>
      <c r="C51" s="17" t="inlineStr"/>
      <c r="D51" s="18" t="inlineStr"/>
    </row>
    <row r="52" ht="18" customHeight="1">
      <c r="A52" s="15" t="inlineStr">
        <is>
          <t>Solving equations that contain algebraic fractions</t>
        </is>
      </c>
      <c r="B52" s="19" t="inlineStr">
        <is>
          <t>Higher</t>
        </is>
      </c>
      <c r="C52" s="17" t="inlineStr"/>
      <c r="D52" s="18" t="inlineStr"/>
    </row>
    <row r="53" ht="18" customHeight="1">
      <c r="A53" s="15" t="inlineStr">
        <is>
          <t>Linear inequalities and representing them on a number line</t>
        </is>
      </c>
      <c r="B53" s="16" t="inlineStr">
        <is>
          <t>Both</t>
        </is>
      </c>
      <c r="C53" s="17" t="inlineStr"/>
      <c r="D53" s="18" t="inlineStr"/>
    </row>
    <row r="54" ht="18" customHeight="1">
      <c r="A54" s="15" t="inlineStr">
        <is>
          <t>Quadratic inequalities</t>
        </is>
      </c>
      <c r="B54" s="19" t="inlineStr">
        <is>
          <t>Higher</t>
        </is>
      </c>
      <c r="C54" s="17" t="inlineStr"/>
      <c r="D54" s="18" t="inlineStr"/>
    </row>
    <row r="55" ht="18" customHeight="1">
      <c r="A55" s="15" t="inlineStr">
        <is>
          <t>Proportionality, including squares and cubes</t>
        </is>
      </c>
      <c r="B55" s="19" t="inlineStr">
        <is>
          <t>Higher</t>
        </is>
      </c>
      <c r="C55" s="17" t="inlineStr"/>
      <c r="D55" s="18" t="inlineStr"/>
    </row>
    <row r="56" ht="18" customHeight="1">
      <c r="A56" s="15" t="inlineStr">
        <is>
          <t>Forming an equation from a worded problem, then solving it</t>
        </is>
      </c>
      <c r="B56" s="16" t="inlineStr">
        <is>
          <t>Both</t>
        </is>
      </c>
      <c r="C56" s="17" t="inlineStr"/>
      <c r="D56" s="18" t="inlineStr"/>
    </row>
    <row r="57" ht="18" customHeight="1">
      <c r="A57" s="15" t="inlineStr">
        <is>
          <t>Algebraic proof and reasoning</t>
        </is>
      </c>
      <c r="B57" s="19" t="inlineStr">
        <is>
          <t>Higher</t>
        </is>
      </c>
      <c r="C57" s="17" t="inlineStr"/>
      <c r="D57" s="18" t="inlineStr"/>
    </row>
    <row r="58" ht="21" customHeight="1">
      <c r="A58" s="13" t="inlineStr">
        <is>
          <t>3  Sequences, functions and graphs</t>
        </is>
      </c>
      <c r="B58" s="14" t="inlineStr"/>
      <c r="C58" s="14" t="inlineStr"/>
      <c r="D58" s="14" t="inlineStr"/>
    </row>
    <row r="59" ht="18" customHeight="1">
      <c r="A59" s="15" t="inlineStr">
        <is>
          <t>Sequences: term-to-term rules and number patterns</t>
        </is>
      </c>
      <c r="B59" s="16" t="inlineStr">
        <is>
          <t>Both</t>
        </is>
      </c>
      <c r="C59" s="17" t="inlineStr"/>
      <c r="D59" s="18" t="inlineStr"/>
    </row>
    <row r="60" ht="18" customHeight="1">
      <c r="A60" s="15" t="inlineStr">
        <is>
          <t>The nth term of a linear sequence</t>
        </is>
      </c>
      <c r="B60" s="16" t="inlineStr">
        <is>
          <t>Both</t>
        </is>
      </c>
      <c r="C60" s="17" t="inlineStr"/>
      <c r="D60" s="18" t="inlineStr"/>
    </row>
    <row r="61" ht="18" customHeight="1">
      <c r="A61" s="15" t="inlineStr">
        <is>
          <t>The nth term of a quadratic sequence</t>
        </is>
      </c>
      <c r="B61" s="19" t="inlineStr">
        <is>
          <t>Higher</t>
        </is>
      </c>
      <c r="C61" s="17" t="inlineStr"/>
      <c r="D61" s="18" t="inlineStr"/>
    </row>
    <row r="62" ht="18" customHeight="1">
      <c r="A62" s="15" t="inlineStr">
        <is>
          <t>Coordinates and the midpoint of a line segment</t>
        </is>
      </c>
      <c r="B62" s="16" t="inlineStr">
        <is>
          <t>Both</t>
        </is>
      </c>
      <c r="C62" s="17" t="inlineStr"/>
      <c r="D62" s="18" t="inlineStr"/>
    </row>
    <row r="63" ht="18" customHeight="1">
      <c r="A63" s="15" t="inlineStr">
        <is>
          <t>Plotting straight-line graphs</t>
        </is>
      </c>
      <c r="B63" s="16" t="inlineStr">
        <is>
          <t>Both</t>
        </is>
      </c>
      <c r="C63" s="17" t="inlineStr"/>
      <c r="D63" s="18" t="inlineStr"/>
    </row>
    <row r="64" ht="18" customHeight="1">
      <c r="A64" s="15" t="inlineStr">
        <is>
          <t>Gradient, intercept and the equation y = mx + c</t>
        </is>
      </c>
      <c r="B64" s="16" t="inlineStr">
        <is>
          <t>Both</t>
        </is>
      </c>
      <c r="C64" s="17" t="inlineStr"/>
      <c r="D64" s="18" t="inlineStr"/>
    </row>
    <row r="65" ht="18" customHeight="1">
      <c r="A65" s="15" t="inlineStr">
        <is>
          <t>Finding the equation of a line through two points</t>
        </is>
      </c>
      <c r="B65" s="16" t="inlineStr">
        <is>
          <t>Both</t>
        </is>
      </c>
      <c r="C65" s="17" t="inlineStr"/>
      <c r="D65" s="18" t="inlineStr"/>
    </row>
    <row r="66" ht="18" customHeight="1">
      <c r="A66" s="15" t="inlineStr">
        <is>
          <t>Parallel and perpendicular lines</t>
        </is>
      </c>
      <c r="B66" s="19" t="inlineStr">
        <is>
          <t>Higher</t>
        </is>
      </c>
      <c r="C66" s="17" t="inlineStr"/>
      <c r="D66" s="18" t="inlineStr"/>
    </row>
    <row r="67" ht="18" customHeight="1">
      <c r="A67" s="15" t="inlineStr">
        <is>
          <t>Real-life graphs, including distance–time graphs</t>
        </is>
      </c>
      <c r="B67" s="16" t="inlineStr">
        <is>
          <t>Both</t>
        </is>
      </c>
      <c r="C67" s="17" t="inlineStr"/>
      <c r="D67" s="18" t="inlineStr"/>
    </row>
    <row r="68" ht="18" customHeight="1">
      <c r="A68" s="15" t="inlineStr">
        <is>
          <t>Plotting and interpreting quadratic graphs</t>
        </is>
      </c>
      <c r="B68" s="16" t="inlineStr">
        <is>
          <t>Both</t>
        </is>
      </c>
      <c r="C68" s="17" t="inlineStr"/>
      <c r="D68" s="18" t="inlineStr"/>
    </row>
    <row r="69" ht="18" customHeight="1">
      <c r="A69" s="15" t="inlineStr">
        <is>
          <t>Cubic and reciprocal graphs</t>
        </is>
      </c>
      <c r="B69" s="19" t="inlineStr">
        <is>
          <t>Higher</t>
        </is>
      </c>
      <c r="C69" s="17" t="inlineStr"/>
      <c r="D69" s="18" t="inlineStr"/>
    </row>
    <row r="70" ht="18" customHeight="1">
      <c r="A70" s="15" t="inlineStr">
        <is>
          <t>Exponential graphs, growth and decay</t>
        </is>
      </c>
      <c r="B70" s="19" t="inlineStr">
        <is>
          <t>Higher</t>
        </is>
      </c>
      <c r="C70" s="17" t="inlineStr"/>
      <c r="D70" s="18" t="inlineStr"/>
    </row>
    <row r="71" ht="18" customHeight="1">
      <c r="A71" s="15" t="inlineStr">
        <is>
          <t>Graphs of sine, cosine and tangent</t>
        </is>
      </c>
      <c r="B71" s="19" t="inlineStr">
        <is>
          <t>Higher</t>
        </is>
      </c>
      <c r="C71" s="17" t="inlineStr"/>
      <c r="D71" s="18" t="inlineStr"/>
    </row>
    <row r="72" ht="18" customHeight="1">
      <c r="A72" s="15" t="inlineStr">
        <is>
          <t>Solving equations graphically</t>
        </is>
      </c>
      <c r="B72" s="16" t="inlineStr">
        <is>
          <t>Both</t>
        </is>
      </c>
      <c r="C72" s="17" t="inlineStr"/>
      <c r="D72" s="18" t="inlineStr"/>
    </row>
    <row r="73" ht="18" customHeight="1">
      <c r="A73" s="15" t="inlineStr">
        <is>
          <t>Function notation f(x)</t>
        </is>
      </c>
      <c r="B73" s="19" t="inlineStr">
        <is>
          <t>Higher</t>
        </is>
      </c>
      <c r="C73" s="17" t="inlineStr"/>
      <c r="D73" s="18" t="inlineStr"/>
    </row>
    <row r="74" ht="18" customHeight="1">
      <c r="A74" s="15" t="inlineStr">
        <is>
          <t>Composite and inverse functions</t>
        </is>
      </c>
      <c r="B74" s="19" t="inlineStr">
        <is>
          <t>Higher</t>
        </is>
      </c>
      <c r="C74" s="17" t="inlineStr"/>
      <c r="D74" s="18" t="inlineStr"/>
    </row>
    <row r="75" ht="18" customHeight="1">
      <c r="A75" s="15" t="inlineStr">
        <is>
          <t>Transformations of graphs</t>
        </is>
      </c>
      <c r="B75" s="19" t="inlineStr">
        <is>
          <t>Higher</t>
        </is>
      </c>
      <c r="C75" s="17" t="inlineStr"/>
      <c r="D75" s="18" t="inlineStr"/>
    </row>
    <row r="76" ht="18" customHeight="1">
      <c r="A76" s="15" t="inlineStr">
        <is>
          <t>Differentiating polynomials (the power rule)</t>
        </is>
      </c>
      <c r="B76" s="19" t="inlineStr">
        <is>
          <t>Higher</t>
        </is>
      </c>
      <c r="C76" s="17" t="inlineStr"/>
      <c r="D76" s="18" t="inlineStr"/>
    </row>
    <row r="77" ht="18" customHeight="1">
      <c r="A77" s="15" t="inlineStr">
        <is>
          <t>The gradient of a curve at a point, and tangents</t>
        </is>
      </c>
      <c r="B77" s="19" t="inlineStr">
        <is>
          <t>Higher</t>
        </is>
      </c>
      <c r="C77" s="17" t="inlineStr"/>
      <c r="D77" s="18" t="inlineStr"/>
    </row>
    <row r="78" ht="18" customHeight="1">
      <c r="A78" s="15" t="inlineStr">
        <is>
          <t>Turning points: maximum and minimum</t>
        </is>
      </c>
      <c r="B78" s="19" t="inlineStr">
        <is>
          <t>Higher</t>
        </is>
      </c>
      <c r="C78" s="17" t="inlineStr"/>
      <c r="D78" s="18" t="inlineStr"/>
    </row>
    <row r="79" ht="18" customHeight="1">
      <c r="A79" s="15" t="inlineStr">
        <is>
          <t>Kinematics: displacement, velocity and acceleration</t>
        </is>
      </c>
      <c r="B79" s="19" t="inlineStr">
        <is>
          <t>Higher</t>
        </is>
      </c>
      <c r="C79" s="17" t="inlineStr"/>
      <c r="D79" s="18" t="inlineStr"/>
    </row>
    <row r="80" ht="21" customHeight="1">
      <c r="A80" s="13" t="inlineStr">
        <is>
          <t>4  Geometry and trigonometry</t>
        </is>
      </c>
      <c r="B80" s="14" t="inlineStr"/>
      <c r="C80" s="14" t="inlineStr"/>
      <c r="D80" s="14" t="inlineStr"/>
    </row>
    <row r="81" ht="18" customHeight="1">
      <c r="A81" s="15" t="inlineStr">
        <is>
          <t>Angle facts: on a line, at a point, and in a triangle</t>
        </is>
      </c>
      <c r="B81" s="16" t="inlineStr">
        <is>
          <t>Both</t>
        </is>
      </c>
      <c r="C81" s="17" t="inlineStr"/>
      <c r="D81" s="18" t="inlineStr"/>
    </row>
    <row r="82" ht="18" customHeight="1">
      <c r="A82" s="15" t="inlineStr">
        <is>
          <t>Angles in parallel lines</t>
        </is>
      </c>
      <c r="B82" s="16" t="inlineStr">
        <is>
          <t>Both</t>
        </is>
      </c>
      <c r="C82" s="17" t="inlineStr"/>
      <c r="D82" s="18" t="inlineStr"/>
    </row>
    <row r="83" ht="18" customHeight="1">
      <c r="A83" s="15" t="inlineStr">
        <is>
          <t>Interior and exterior angles of polygons</t>
        </is>
      </c>
      <c r="B83" s="16" t="inlineStr">
        <is>
          <t>Both</t>
        </is>
      </c>
      <c r="C83" s="17" t="inlineStr"/>
      <c r="D83" s="18" t="inlineStr"/>
    </row>
    <row r="84" ht="18" customHeight="1">
      <c r="A84" s="15" t="inlineStr">
        <is>
          <t>Properties of triangles and quadrilaterals</t>
        </is>
      </c>
      <c r="B84" s="16" t="inlineStr">
        <is>
          <t>Both</t>
        </is>
      </c>
      <c r="C84" s="17" t="inlineStr"/>
      <c r="D84" s="18" t="inlineStr"/>
    </row>
    <row r="85" ht="18" customHeight="1">
      <c r="A85" s="15" t="inlineStr">
        <is>
          <t>Congruence and similarity</t>
        </is>
      </c>
      <c r="B85" s="16" t="inlineStr">
        <is>
          <t>Both</t>
        </is>
      </c>
      <c r="C85" s="17" t="inlineStr"/>
      <c r="D85" s="18" t="inlineStr"/>
    </row>
    <row r="86" ht="18" customHeight="1">
      <c r="A86" s="15" t="inlineStr">
        <is>
          <t>Similar shapes: length scale factor</t>
        </is>
      </c>
      <c r="B86" s="16" t="inlineStr">
        <is>
          <t>Both</t>
        </is>
      </c>
      <c r="C86" s="17" t="inlineStr"/>
      <c r="D86" s="18" t="inlineStr"/>
    </row>
    <row r="87" ht="18" customHeight="1">
      <c r="A87" s="15" t="inlineStr">
        <is>
          <t>Similar shapes: area and volume scale factors</t>
        </is>
      </c>
      <c r="B87" s="19" t="inlineStr">
        <is>
          <t>Higher</t>
        </is>
      </c>
      <c r="C87" s="17" t="inlineStr"/>
      <c r="D87" s="18" t="inlineStr"/>
    </row>
    <row r="88" ht="18" customHeight="1">
      <c r="A88" s="15" t="inlineStr">
        <is>
          <t>Perimeter and area of rectangles, triangles, parallelograms, trapezia</t>
        </is>
      </c>
      <c r="B88" s="16" t="inlineStr">
        <is>
          <t>Both</t>
        </is>
      </c>
      <c r="C88" s="17" t="inlineStr"/>
      <c r="D88" s="18" t="inlineStr"/>
    </row>
    <row r="89" ht="18" customHeight="1">
      <c r="A89" s="15" t="inlineStr">
        <is>
          <t>Circles: circumference and area</t>
        </is>
      </c>
      <c r="B89" s="16" t="inlineStr">
        <is>
          <t>Both</t>
        </is>
      </c>
      <c r="C89" s="17" t="inlineStr"/>
      <c r="D89" s="18" t="inlineStr"/>
    </row>
    <row r="90" ht="18" customHeight="1">
      <c r="A90" s="15" t="inlineStr">
        <is>
          <t>Arcs, sectors and segments</t>
        </is>
      </c>
      <c r="B90" s="19" t="inlineStr">
        <is>
          <t>Higher</t>
        </is>
      </c>
      <c r="C90" s="17" t="inlineStr"/>
      <c r="D90" s="18" t="inlineStr"/>
    </row>
    <row r="91" ht="18" customHeight="1">
      <c r="A91" s="15" t="inlineStr">
        <is>
          <t>Circle theorems</t>
        </is>
      </c>
      <c r="B91" s="19" t="inlineStr">
        <is>
          <t>Higher</t>
        </is>
      </c>
      <c r="C91" s="17" t="inlineStr"/>
      <c r="D91" s="18" t="inlineStr"/>
    </row>
    <row r="92" ht="18" customHeight="1">
      <c r="A92" s="15" t="inlineStr">
        <is>
          <t>Volume and surface area of prisms and cylinders</t>
        </is>
      </c>
      <c r="B92" s="16" t="inlineStr">
        <is>
          <t>Both</t>
        </is>
      </c>
      <c r="C92" s="17" t="inlineStr"/>
      <c r="D92" s="18" t="inlineStr"/>
    </row>
    <row r="93" ht="18" customHeight="1">
      <c r="A93" s="15" t="inlineStr">
        <is>
          <t>Volume and surface area of cones, spheres and pyramids</t>
        </is>
      </c>
      <c r="B93" s="19" t="inlineStr">
        <is>
          <t>Higher</t>
        </is>
      </c>
      <c r="C93" s="17" t="inlineStr"/>
      <c r="D93" s="18" t="inlineStr"/>
    </row>
    <row r="94" ht="18" customHeight="1">
      <c r="A94" s="15" t="inlineStr">
        <is>
          <t>Pythagoras' theorem</t>
        </is>
      </c>
      <c r="B94" s="16" t="inlineStr">
        <is>
          <t>Both</t>
        </is>
      </c>
      <c r="C94" s="17" t="inlineStr"/>
      <c r="D94" s="18" t="inlineStr"/>
    </row>
    <row r="95" ht="18" customHeight="1">
      <c r="A95" s="15" t="inlineStr">
        <is>
          <t>Trigonometry in right-angled triangles (SOHCAHTOA)</t>
        </is>
      </c>
      <c r="B95" s="16" t="inlineStr">
        <is>
          <t>Both</t>
        </is>
      </c>
      <c r="C95" s="17" t="inlineStr"/>
      <c r="D95" s="18" t="inlineStr"/>
    </row>
    <row r="96" ht="18" customHeight="1">
      <c r="A96" s="15" t="inlineStr">
        <is>
          <t>Angles of elevation and depression</t>
        </is>
      </c>
      <c r="B96" s="16" t="inlineStr">
        <is>
          <t>Both</t>
        </is>
      </c>
      <c r="C96" s="17" t="inlineStr"/>
      <c r="D96" s="18" t="inlineStr"/>
    </row>
    <row r="97" ht="18" customHeight="1">
      <c r="A97" s="15" t="inlineStr">
        <is>
          <t>Bearings</t>
        </is>
      </c>
      <c r="B97" s="16" t="inlineStr">
        <is>
          <t>Both</t>
        </is>
      </c>
      <c r="C97" s="17" t="inlineStr"/>
      <c r="D97" s="18" t="inlineStr"/>
    </row>
    <row r="98" ht="18" customHeight="1">
      <c r="A98" s="15" t="inlineStr">
        <is>
          <t>Pythagoras and trigonometry in 3D</t>
        </is>
      </c>
      <c r="B98" s="19" t="inlineStr">
        <is>
          <t>Higher</t>
        </is>
      </c>
      <c r="C98" s="17" t="inlineStr"/>
      <c r="D98" s="18" t="inlineStr"/>
    </row>
    <row r="99" ht="18" customHeight="1">
      <c r="A99" s="15" t="inlineStr">
        <is>
          <t>The sine rule and the cosine rule</t>
        </is>
      </c>
      <c r="B99" s="19" t="inlineStr">
        <is>
          <t>Higher</t>
        </is>
      </c>
      <c r="C99" s="17" t="inlineStr"/>
      <c r="D99" s="18" t="inlineStr"/>
    </row>
    <row r="100" ht="18" customHeight="1">
      <c r="A100" s="15" t="inlineStr">
        <is>
          <t>Area of a triangle using ½ab sin C</t>
        </is>
      </c>
      <c r="B100" s="19" t="inlineStr">
        <is>
          <t>Higher</t>
        </is>
      </c>
      <c r="C100" s="17" t="inlineStr"/>
      <c r="D100" s="18" t="inlineStr"/>
    </row>
    <row r="101" ht="18" customHeight="1">
      <c r="A101" s="15" t="inlineStr">
        <is>
          <t>Constructions and loci</t>
        </is>
      </c>
      <c r="B101" s="16" t="inlineStr">
        <is>
          <t>Both</t>
        </is>
      </c>
      <c r="C101" s="17" t="inlineStr"/>
      <c r="D101" s="18" t="inlineStr"/>
    </row>
    <row r="102" ht="18" customHeight="1">
      <c r="A102" s="15" t="inlineStr">
        <is>
          <t>Scale drawings and maps</t>
        </is>
      </c>
      <c r="B102" s="16" t="inlineStr">
        <is>
          <t>Both</t>
        </is>
      </c>
      <c r="C102" s="17" t="inlineStr"/>
      <c r="D102" s="18" t="inlineStr"/>
    </row>
    <row r="103" ht="18" customHeight="1">
      <c r="A103" s="15" t="inlineStr">
        <is>
          <t>Symmetry</t>
        </is>
      </c>
      <c r="B103" s="16" t="inlineStr">
        <is>
          <t>Both</t>
        </is>
      </c>
      <c r="C103" s="17" t="inlineStr"/>
      <c r="D103" s="18" t="inlineStr"/>
    </row>
    <row r="104" ht="21" customHeight="1">
      <c r="A104" s="13" t="inlineStr">
        <is>
          <t>5  Vectors and transformation geometry</t>
        </is>
      </c>
      <c r="B104" s="14" t="inlineStr"/>
      <c r="C104" s="14" t="inlineStr"/>
      <c r="D104" s="14" t="inlineStr"/>
    </row>
    <row r="105" ht="18" customHeight="1">
      <c r="A105" s="15" t="inlineStr">
        <is>
          <t>Reflection, rotation, translation and enlargement</t>
        </is>
      </c>
      <c r="B105" s="16" t="inlineStr">
        <is>
          <t>Both</t>
        </is>
      </c>
      <c r="C105" s="17" t="inlineStr"/>
      <c r="D105" s="18" t="inlineStr"/>
    </row>
    <row r="106" ht="18" customHeight="1">
      <c r="A106" s="15" t="inlineStr">
        <is>
          <t>Negative and fractional scale factors</t>
        </is>
      </c>
      <c r="B106" s="19" t="inlineStr">
        <is>
          <t>Higher</t>
        </is>
      </c>
      <c r="C106" s="17" t="inlineStr"/>
      <c r="D106" s="18" t="inlineStr"/>
    </row>
    <row r="107" ht="18" customHeight="1">
      <c r="A107" s="15" t="inlineStr">
        <is>
          <t>Combined transformations</t>
        </is>
      </c>
      <c r="B107" s="19" t="inlineStr">
        <is>
          <t>Higher</t>
        </is>
      </c>
      <c r="C107" s="17" t="inlineStr"/>
      <c r="D107" s="18" t="inlineStr"/>
    </row>
    <row r="108" ht="18" customHeight="1">
      <c r="A108" s="15" t="inlineStr">
        <is>
          <t>Vector notation, magnitude, addition and scalar multiples</t>
        </is>
      </c>
      <c r="B108" s="19" t="inlineStr">
        <is>
          <t>Higher</t>
        </is>
      </c>
      <c r="C108" s="17" t="inlineStr"/>
      <c r="D108" s="18" t="inlineStr"/>
    </row>
    <row r="109" ht="18" customHeight="1">
      <c r="A109" s="15" t="inlineStr">
        <is>
          <t>Vector geometry and vector proof</t>
        </is>
      </c>
      <c r="B109" s="19" t="inlineStr">
        <is>
          <t>Higher</t>
        </is>
      </c>
      <c r="C109" s="17" t="inlineStr"/>
      <c r="D109" s="18" t="inlineStr"/>
    </row>
    <row r="110" ht="21" customHeight="1">
      <c r="A110" s="13" t="inlineStr">
        <is>
          <t>6  Statistics and probability</t>
        </is>
      </c>
      <c r="B110" s="14" t="inlineStr"/>
      <c r="C110" s="14" t="inlineStr"/>
      <c r="D110" s="14" t="inlineStr"/>
    </row>
    <row r="111" ht="18" customHeight="1">
      <c r="A111" s="15" t="inlineStr">
        <is>
          <t>Collecting data: tally charts and frequency tables</t>
        </is>
      </c>
      <c r="B111" s="16" t="inlineStr">
        <is>
          <t>Both</t>
        </is>
      </c>
      <c r="C111" s="17" t="inlineStr"/>
      <c r="D111" s="18" t="inlineStr"/>
    </row>
    <row r="112" ht="18" customHeight="1">
      <c r="A112" s="15" t="inlineStr">
        <is>
          <t>Two-way tables</t>
        </is>
      </c>
      <c r="B112" s="16" t="inlineStr">
        <is>
          <t>Both</t>
        </is>
      </c>
      <c r="C112" s="17" t="inlineStr"/>
      <c r="D112" s="18" t="inlineStr"/>
    </row>
    <row r="113" ht="18" customHeight="1">
      <c r="A113" s="15" t="inlineStr">
        <is>
          <t>Bar charts, pictograms and pie charts</t>
        </is>
      </c>
      <c r="B113" s="16" t="inlineStr">
        <is>
          <t>Both</t>
        </is>
      </c>
      <c r="C113" s="17" t="inlineStr"/>
      <c r="D113" s="18" t="inlineStr"/>
    </row>
    <row r="114" ht="18" customHeight="1">
      <c r="A114" s="15" t="inlineStr">
        <is>
          <t>Mean, median, mode and range</t>
        </is>
      </c>
      <c r="B114" s="16" t="inlineStr">
        <is>
          <t>Both</t>
        </is>
      </c>
      <c r="C114" s="17" t="inlineStr"/>
      <c r="D114" s="18" t="inlineStr"/>
    </row>
    <row r="115" ht="18" customHeight="1">
      <c r="A115" s="15" t="inlineStr">
        <is>
          <t>Mean from a frequency table</t>
        </is>
      </c>
      <c r="B115" s="16" t="inlineStr">
        <is>
          <t>Both</t>
        </is>
      </c>
      <c r="C115" s="17" t="inlineStr"/>
      <c r="D115" s="18" t="inlineStr"/>
    </row>
    <row r="116" ht="18" customHeight="1">
      <c r="A116" s="15" t="inlineStr">
        <is>
          <t>Estimated mean from grouped data</t>
        </is>
      </c>
      <c r="B116" s="16" t="inlineStr">
        <is>
          <t>Both</t>
        </is>
      </c>
      <c r="C116" s="17" t="inlineStr"/>
      <c r="D116" s="18" t="inlineStr"/>
    </row>
    <row r="117" ht="18" customHeight="1">
      <c r="A117" s="15" t="inlineStr">
        <is>
          <t>Scatter graphs, correlation and the line of best fit</t>
        </is>
      </c>
      <c r="B117" s="16" t="inlineStr">
        <is>
          <t>Both</t>
        </is>
      </c>
      <c r="C117" s="17" t="inlineStr"/>
      <c r="D117" s="18" t="inlineStr"/>
    </row>
    <row r="118" ht="18" customHeight="1">
      <c r="A118" s="15" t="inlineStr">
        <is>
          <t>Cumulative frequency graphs</t>
        </is>
      </c>
      <c r="B118" s="19" t="inlineStr">
        <is>
          <t>Higher</t>
        </is>
      </c>
      <c r="C118" s="17" t="inlineStr"/>
      <c r="D118" s="18" t="inlineStr"/>
    </row>
    <row r="119" ht="18" customHeight="1">
      <c r="A119" s="15" t="inlineStr">
        <is>
          <t>Box plots and quartiles</t>
        </is>
      </c>
      <c r="B119" s="19" t="inlineStr">
        <is>
          <t>Higher</t>
        </is>
      </c>
      <c r="C119" s="17" t="inlineStr"/>
      <c r="D119" s="18" t="inlineStr"/>
    </row>
    <row r="120" ht="18" customHeight="1">
      <c r="A120" s="15" t="inlineStr">
        <is>
          <t>Histograms with unequal class widths</t>
        </is>
      </c>
      <c r="B120" s="19" t="inlineStr">
        <is>
          <t>Higher</t>
        </is>
      </c>
      <c r="C120" s="17" t="inlineStr"/>
      <c r="D120" s="18" t="inlineStr"/>
    </row>
    <row r="121" ht="18" customHeight="1">
      <c r="A121" s="15" t="inlineStr">
        <is>
          <t>The probability scale and single-event probability</t>
        </is>
      </c>
      <c r="B121" s="16" t="inlineStr">
        <is>
          <t>Both</t>
        </is>
      </c>
      <c r="C121" s="17" t="inlineStr"/>
      <c r="D121" s="18" t="inlineStr"/>
    </row>
    <row r="122" ht="18" customHeight="1">
      <c r="A122" s="15" t="inlineStr">
        <is>
          <t>Mutually exclusive and exhaustive events</t>
        </is>
      </c>
      <c r="B122" s="16" t="inlineStr">
        <is>
          <t>Both</t>
        </is>
      </c>
      <c r="C122" s="17" t="inlineStr"/>
      <c r="D122" s="18" t="inlineStr"/>
    </row>
    <row r="123" ht="18" customHeight="1">
      <c r="A123" s="15" t="inlineStr">
        <is>
          <t>Relative frequency and expected frequency</t>
        </is>
      </c>
      <c r="B123" s="16" t="inlineStr">
        <is>
          <t>Both</t>
        </is>
      </c>
      <c r="C123" s="17" t="inlineStr"/>
      <c r="D123" s="18" t="inlineStr"/>
    </row>
    <row r="124" ht="18" customHeight="1">
      <c r="A124" s="15" t="inlineStr">
        <is>
          <t>Sample space diagrams</t>
        </is>
      </c>
      <c r="B124" s="16" t="inlineStr">
        <is>
          <t>Both</t>
        </is>
      </c>
      <c r="C124" s="17" t="inlineStr"/>
      <c r="D124" s="18" t="inlineStr"/>
    </row>
    <row r="125" ht="18" customHeight="1">
      <c r="A125" s="15" t="inlineStr">
        <is>
          <t>Tree diagrams, with replacement</t>
        </is>
      </c>
      <c r="B125" s="16" t="inlineStr">
        <is>
          <t>Both</t>
        </is>
      </c>
      <c r="C125" s="17" t="inlineStr"/>
      <c r="D125" s="18" t="inlineStr"/>
    </row>
    <row r="126" ht="18" customHeight="1">
      <c r="A126" s="15" t="inlineStr">
        <is>
          <t>Tree diagrams without replacement; conditional probability</t>
        </is>
      </c>
      <c r="B126" s="19" t="inlineStr">
        <is>
          <t>Higher</t>
        </is>
      </c>
      <c r="C126" s="17" t="inlineStr"/>
      <c r="D126" s="18" t="inlineStr"/>
    </row>
    <row r="127" ht="18" customHeight="1">
      <c r="A127" s="15" t="inlineStr">
        <is>
          <t>Venn diagrams in probability</t>
        </is>
      </c>
      <c r="B127" s="16" t="inlineStr">
        <is>
          <t>Both</t>
        </is>
      </c>
      <c r="C127" s="17" t="inlineStr"/>
      <c r="D127" s="18" t="inlineStr"/>
    </row>
  </sheetData>
  <conditionalFormatting sqref="C14:C32">
    <cfRule type="cellIs" priority="1" operator="equal" dxfId="0">
      <formula>"Green"</formula>
    </cfRule>
    <cfRule type="cellIs" priority="7" operator="equal" dxfId="1">
      <formula>"Amber"</formula>
    </cfRule>
    <cfRule type="cellIs" priority="13" operator="equal" dxfId="2">
      <formula>"Red"</formula>
    </cfRule>
  </conditionalFormatting>
  <conditionalFormatting sqref="C34:C57">
    <cfRule type="cellIs" priority="2" operator="equal" dxfId="0">
      <formula>"Green"</formula>
    </cfRule>
    <cfRule type="cellIs" priority="8" operator="equal" dxfId="1">
      <formula>"Amber"</formula>
    </cfRule>
    <cfRule type="cellIs" priority="14" operator="equal" dxfId="2">
      <formula>"Red"</formula>
    </cfRule>
  </conditionalFormatting>
  <conditionalFormatting sqref="C59:C79">
    <cfRule type="cellIs" priority="3" operator="equal" dxfId="0">
      <formula>"Green"</formula>
    </cfRule>
    <cfRule type="cellIs" priority="9" operator="equal" dxfId="1">
      <formula>"Amber"</formula>
    </cfRule>
    <cfRule type="cellIs" priority="15" operator="equal" dxfId="2">
      <formula>"Red"</formula>
    </cfRule>
  </conditionalFormatting>
  <conditionalFormatting sqref="C81:C103">
    <cfRule type="cellIs" priority="4" operator="equal" dxfId="0">
      <formula>"Green"</formula>
    </cfRule>
    <cfRule type="cellIs" priority="10" operator="equal" dxfId="1">
      <formula>"Amber"</formula>
    </cfRule>
    <cfRule type="cellIs" priority="16" operator="equal" dxfId="2">
      <formula>"Red"</formula>
    </cfRule>
  </conditionalFormatting>
  <conditionalFormatting sqref="C105:C109">
    <cfRule type="cellIs" priority="5" operator="equal" dxfId="0">
      <formula>"Green"</formula>
    </cfRule>
    <cfRule type="cellIs" priority="11" operator="equal" dxfId="1">
      <formula>"Amber"</formula>
    </cfRule>
    <cfRule type="cellIs" priority="17" operator="equal" dxfId="2">
      <formula>"Red"</formula>
    </cfRule>
  </conditionalFormatting>
  <conditionalFormatting sqref="C111:C127">
    <cfRule type="cellIs" priority="6" operator="equal" dxfId="0">
      <formula>"Green"</formula>
    </cfRule>
    <cfRule type="cellIs" priority="12" operator="equal" dxfId="1">
      <formula>"Amber"</formula>
    </cfRule>
    <cfRule type="cellIs" priority="18" operator="equal" dxfId="2">
      <formula>"Red"</formula>
    </cfRule>
  </conditionalFormatting>
  <dataValidations count="1">
    <dataValidation sqref="C14:C32 C34:C57 C59:C79 C81:C103 C105:C109 C111:C127" showDropDown="0" showInputMessage="0" showErrorMessage="0" allowBlank="1" promptTitle="How do you feel about this topic?" prompt="Green, Amber or Red" type="list">
      <formula1>"Green,Amber,Red"</formula1>
    </dataValidation>
  </dataValidation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>
      <c r="A1" s="20" t="inlineStr">
        <is>
          <t>Summary</t>
        </is>
      </c>
    </row>
    <row r="2">
      <c r="A2" s="21" t="inlineStr">
        <is>
          <t>Fills in on its own as the topic sheet is completed.</t>
        </is>
      </c>
    </row>
    <row r="4" ht="22" customHeight="1">
      <c r="A4" s="22" t="inlineStr">
        <is>
          <t>Area</t>
        </is>
      </c>
      <c r="B4" s="23" t="inlineStr">
        <is>
          <t>Green</t>
        </is>
      </c>
      <c r="C4" s="23" t="inlineStr">
        <is>
          <t>Amber</t>
        </is>
      </c>
      <c r="D4" s="23" t="inlineStr">
        <is>
          <t>Red</t>
        </is>
      </c>
      <c r="E4" s="23" t="inlineStr">
        <is>
          <t>Not yet rated</t>
        </is>
      </c>
    </row>
    <row r="5" ht="19" customHeight="1">
      <c r="A5" s="24" t="inlineStr">
        <is>
          <t>1  Number and the number system</t>
        </is>
      </c>
      <c r="B5" s="25">
        <f>COUNTIF('Topic check'!C14:C32,"Green")</f>
        <v/>
      </c>
      <c r="C5" s="26">
        <f>COUNTIF('Topic check'!C14:C32,"Amber")</f>
        <v/>
      </c>
      <c r="D5" s="27">
        <f>COUNTIF('Topic check'!C14:C32,"Red")</f>
        <v/>
      </c>
      <c r="E5" s="28">
        <f>19-SUM(B5:D5)</f>
        <v/>
      </c>
    </row>
    <row r="6" ht="19" customHeight="1">
      <c r="A6" s="24" t="inlineStr">
        <is>
          <t>2  Equations, formulae and identities</t>
        </is>
      </c>
      <c r="B6" s="25">
        <f>COUNTIF('Topic check'!C34:C57,"Green")</f>
        <v/>
      </c>
      <c r="C6" s="26">
        <f>COUNTIF('Topic check'!C34:C57,"Amber")</f>
        <v/>
      </c>
      <c r="D6" s="27">
        <f>COUNTIF('Topic check'!C34:C57,"Red")</f>
        <v/>
      </c>
      <c r="E6" s="28">
        <f>24-SUM(B6:D6)</f>
        <v/>
      </c>
    </row>
    <row r="7" ht="19" customHeight="1">
      <c r="A7" s="24" t="inlineStr">
        <is>
          <t>3  Sequences, functions and graphs</t>
        </is>
      </c>
      <c r="B7" s="25">
        <f>COUNTIF('Topic check'!C59:C79,"Green")</f>
        <v/>
      </c>
      <c r="C7" s="26">
        <f>COUNTIF('Topic check'!C59:C79,"Amber")</f>
        <v/>
      </c>
      <c r="D7" s="27">
        <f>COUNTIF('Topic check'!C59:C79,"Red")</f>
        <v/>
      </c>
      <c r="E7" s="28">
        <f>21-SUM(B7:D7)</f>
        <v/>
      </c>
    </row>
    <row r="8" ht="19" customHeight="1">
      <c r="A8" s="24" t="inlineStr">
        <is>
          <t>4  Geometry and trigonometry</t>
        </is>
      </c>
      <c r="B8" s="25">
        <f>COUNTIF('Topic check'!C81:C103,"Green")</f>
        <v/>
      </c>
      <c r="C8" s="26">
        <f>COUNTIF('Topic check'!C81:C103,"Amber")</f>
        <v/>
      </c>
      <c r="D8" s="27">
        <f>COUNTIF('Topic check'!C81:C103,"Red")</f>
        <v/>
      </c>
      <c r="E8" s="28">
        <f>23-SUM(B8:D8)</f>
        <v/>
      </c>
    </row>
    <row r="9" ht="19" customHeight="1">
      <c r="A9" s="24" t="inlineStr">
        <is>
          <t>5  Vectors and transformation geometry</t>
        </is>
      </c>
      <c r="B9" s="25">
        <f>COUNTIF('Topic check'!C105:C109,"Green")</f>
        <v/>
      </c>
      <c r="C9" s="26">
        <f>COUNTIF('Topic check'!C105:C109,"Amber")</f>
        <v/>
      </c>
      <c r="D9" s="27">
        <f>COUNTIF('Topic check'!C105:C109,"Red")</f>
        <v/>
      </c>
      <c r="E9" s="28">
        <f>5-SUM(B9:D9)</f>
        <v/>
      </c>
    </row>
    <row r="10" ht="19" customHeight="1">
      <c r="A10" s="24" t="inlineStr">
        <is>
          <t>6  Statistics and probability</t>
        </is>
      </c>
      <c r="B10" s="25">
        <f>COUNTIF('Topic check'!C111:C127,"Green")</f>
        <v/>
      </c>
      <c r="C10" s="26">
        <f>COUNTIF('Topic check'!C111:C127,"Amber")</f>
        <v/>
      </c>
      <c r="D10" s="27">
        <f>COUNTIF('Topic check'!C111:C127,"Red")</f>
        <v/>
      </c>
      <c r="E10" s="28">
        <f>17-SUM(B10:D10)</f>
        <v/>
      </c>
    </row>
    <row r="11" ht="21" customHeight="1">
      <c r="A11" s="29" t="inlineStr">
        <is>
          <t>Total</t>
        </is>
      </c>
      <c r="B11" s="30">
        <f>SUM(B5:B10)</f>
        <v/>
      </c>
      <c r="C11" s="30">
        <f>SUM(C5:C10)</f>
        <v/>
      </c>
      <c r="D11" s="30">
        <f>SUM(D5:D10)</f>
        <v/>
      </c>
      <c r="E11" s="30">
        <f>SUM(E5:E10)</f>
        <v/>
      </c>
    </row>
    <row r="13">
      <c r="A13" s="31" t="inlineStr">
        <is>
          <t>We start with the reds in the biggest areas. Ambers get folded into practice. Greens we leave alone.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6" customWidth="1" min="2" max="2"/>
  </cols>
  <sheetData>
    <row r="1">
      <c r="A1" s="32" t="inlineStr">
        <is>
          <t>Where to practise</t>
        </is>
      </c>
    </row>
    <row r="2">
      <c r="A2" s="2" t="inlineStr">
        <is>
          <t>All free. Search any topic name from the checklist and you'll find questions on it.</t>
        </is>
      </c>
    </row>
    <row r="4" ht="22" customHeight="1">
      <c r="A4" s="11" t="inlineStr">
        <is>
          <t>Site</t>
        </is>
      </c>
      <c r="B4" s="11" t="inlineStr">
        <is>
          <t>What it's best for</t>
        </is>
      </c>
    </row>
    <row r="5" ht="20" customHeight="1">
      <c r="A5" s="33" t="inlineStr">
        <is>
          <t>Maths Genie</t>
        </is>
      </c>
      <c r="B5" s="34" t="inlineStr">
        <is>
          <t>Past-paper questions sorted by topic and by grade, with worked solutions. Start here.</t>
        </is>
      </c>
    </row>
    <row r="6" ht="20" customHeight="1">
      <c r="A6" s="33" t="inlineStr">
        <is>
          <t>Physics &amp; Maths Tutor</t>
        </is>
      </c>
      <c r="B6" s="34" t="inlineStr">
        <is>
          <t>Edexcel IGCSE 4MA1 questions grouped by topic, with mark schemes.</t>
        </is>
      </c>
    </row>
    <row r="7" ht="20" customHeight="1">
      <c r="A7" s="33" t="inlineStr">
        <is>
          <t>Corbettmaths</t>
        </is>
      </c>
      <c r="B7" s="34" t="inlineStr">
        <is>
          <t>A short video and a worksheet for every topic. The 5-a-day sheets are ideal for daily practice.</t>
        </is>
      </c>
    </row>
    <row r="8" ht="20" customHeight="1">
      <c r="A8" s="33" t="inlineStr">
        <is>
          <t>Dr Frost Maths</t>
        </is>
      </c>
      <c r="B8" s="34" t="inlineStr">
        <is>
          <t>Free account, marks itself, and remembers what you got wrong.</t>
        </is>
      </c>
    </row>
    <row r="9" ht="20" customHeight="1">
      <c r="A9" s="33" t="inlineStr">
        <is>
          <t>Save My Exams</t>
        </is>
      </c>
      <c r="B9" s="34" t="inlineStr">
        <is>
          <t>Revision notes and topic questions for 4MA1 specifically.</t>
        </is>
      </c>
    </row>
    <row r="10" ht="20" customHeight="1">
      <c r="A10" s="33" t="inlineStr">
        <is>
          <t>Past papers</t>
        </is>
      </c>
      <c r="B10" s="34" t="inlineStr">
        <is>
          <t>4MA1 papers back to 2018, plus the R variants. Always use the real mark scheme.</t>
        </is>
      </c>
    </row>
    <row r="12">
      <c r="A12" s="35" t="inlineStr">
        <is>
          <t>Check you're getting IGCSE 4MA1 material, not domestic GCSE — the overlap is large but not total, and both IGCSE papers allow a calculator.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2026-09-22T08:41:42Z</dcterms:created>
  <dcterms:modified xmlns:dcterms="http://purl.org/dc/terms/" xmlns:xsi="http://www.w3.org/2001/XMLSchema-instance" xsi:type="dcterms:W3CDTF">2026-09-22T08:41:42Z</dcterms:modified>
</cp:coreProperties>
</file>