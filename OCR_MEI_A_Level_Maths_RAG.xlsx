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ure" sheetId="2" state="visible" r:id="rId2"/>
    <sheet name="Statistics" sheetId="3" state="visible" r:id="rId3"/>
    <sheet name="Mechanics" sheetId="4" state="visible" r:id="rId4"/>
    <sheet name="OCR MEI sheets" sheetId="5" state="visible" r:id="rId5"/>
    <sheet name="Progress" sheetId="6" state="visible" r:id="rId6"/>
  </sheets>
  <definedNames>
    <definedName name="_xlnm.Print_Titles" localSheetId="1">'Pure'!$6:$6</definedName>
    <definedName name="_xlnm.Print_Titles" localSheetId="2">'Statistics'!$6:$6</definedName>
    <definedName name="_xlnm.Print_Titles" localSheetId="3">'Mechanics'!$6:$6</definedName>
  </definedNames>
  <calcPr calcId="124519" fullCalcOnLoad="1"/>
</workbook>
</file>

<file path=xl/styles.xml><?xml version="1.0" encoding="utf-8"?>
<styleSheet xmlns="http://schemas.openxmlformats.org/spreadsheetml/2006/main">
  <numFmts count="1">
    <numFmt numFmtId="164" formatCode="&quot;Y&quot;0"/>
  </numFmts>
  <fonts count="41">
    <font>
      <name val="Calibri"/>
      <family val="2"/>
      <color theme="1"/>
      <sz val="11"/>
      <scheme val="minor"/>
    </font>
    <font>
      <name val="Calibri"/>
      <b val="1"/>
      <color rgb="003B5BDB"/>
      <sz val="22"/>
    </font>
    <font>
      <name val="Calibri"/>
      <color rgb="006B7280"/>
      <sz val="11"/>
    </font>
    <font>
      <name val="Calibri"/>
      <b val="1"/>
      <color rgb="006B7280"/>
      <sz val="9"/>
    </font>
    <font>
      <name val="Calibri"/>
      <b val="1"/>
      <color rgb="00FFFFFF"/>
      <sz val="10"/>
    </font>
    <font>
      <name val="Calibri"/>
      <b val="1"/>
      <color rgb="003B5BDB"/>
      <sz val="13"/>
    </font>
    <font>
      <name val="Calibri"/>
      <color rgb="006B7280"/>
      <sz val="10"/>
    </font>
    <font>
      <name val="Calibri"/>
      <color rgb="006B7280"/>
      <sz val="9"/>
    </font>
    <font>
      <name val="Calibri"/>
      <color rgb="001F2937"/>
      <sz val="11"/>
    </font>
    <font>
      <name val="Calibri"/>
      <b val="1"/>
      <color rgb="001F2937"/>
      <sz val="12"/>
    </font>
    <font>
      <name val="Calibri"/>
      <color rgb="001F2937"/>
      <sz val="10"/>
    </font>
    <font>
      <name val="Calibri"/>
      <color rgb="001D4ED8"/>
      <sz val="10"/>
    </font>
    <font>
      <name val="Calibri"/>
      <i val="1"/>
      <color rgb="009CA3AF"/>
      <sz val="9"/>
    </font>
    <font>
      <name val="Calibri"/>
      <b val="1"/>
      <color rgb="003B5BDB"/>
      <sz val="9"/>
    </font>
    <font>
      <name val="Calibri"/>
      <b val="1"/>
      <color rgb="001F2937"/>
      <sz val="11"/>
    </font>
    <font>
      <name val="Calibri"/>
      <b val="1"/>
      <color rgb="000C8599"/>
      <sz val="22"/>
    </font>
    <font>
      <name val="Calibri"/>
      <b val="1"/>
      <color rgb="000C8599"/>
      <sz val="13"/>
    </font>
    <font>
      <name val="Calibri"/>
      <b val="1"/>
      <color rgb="000C8599"/>
      <sz val="9"/>
    </font>
    <font>
      <name val="Calibri"/>
      <b val="1"/>
      <color rgb="00D9480F"/>
      <sz val="22"/>
    </font>
    <font>
      <name val="Calibri"/>
      <b val="1"/>
      <color rgb="00D9480F"/>
      <sz val="13"/>
    </font>
    <font>
      <name val="Calibri"/>
      <b val="1"/>
      <color rgb="00D9480F"/>
      <sz val="9"/>
    </font>
    <font>
      <name val="Calibri"/>
      <b val="1"/>
      <color rgb="001F2937"/>
      <sz val="22"/>
    </font>
    <font>
      <name val="Calibri"/>
      <b val="1"/>
      <color rgb="001F2937"/>
      <sz val="10"/>
    </font>
    <font>
      <name val="Calibri"/>
      <b val="1"/>
      <color rgb="001F2937"/>
      <sz val="26"/>
    </font>
    <font>
      <name val="Calibri"/>
      <b val="1"/>
      <color rgb="009B1C1C"/>
      <sz val="26"/>
    </font>
    <font>
      <name val="Calibri"/>
      <b val="1"/>
      <color rgb="009B1C1C"/>
      <sz val="10"/>
    </font>
    <font>
      <name val="Calibri"/>
      <b val="1"/>
      <color rgb="008A4B00"/>
      <sz val="26"/>
    </font>
    <font>
      <name val="Calibri"/>
      <b val="1"/>
      <color rgb="008A4B00"/>
      <sz val="10"/>
    </font>
    <font>
      <name val="Calibri"/>
      <b val="1"/>
      <color rgb="001E6B3A"/>
      <sz val="26"/>
    </font>
    <font>
      <name val="Calibri"/>
      <b val="1"/>
      <color rgb="001E6B3A"/>
      <sz val="10"/>
    </font>
    <font>
      <name val="Calibri"/>
      <b val="1"/>
      <color rgb="001F2937"/>
      <sz val="14"/>
    </font>
    <font>
      <name val="Calibri"/>
      <b val="1"/>
      <color rgb="009B1C1C"/>
      <sz val="11"/>
    </font>
    <font>
      <name val="Calibri"/>
      <b val="1"/>
      <color rgb="008A4B00"/>
      <sz val="11"/>
    </font>
    <font>
      <name val="Calibri"/>
      <b val="1"/>
      <color rgb="001E6B3A"/>
      <sz val="11"/>
    </font>
    <font>
      <name val="Calibri"/>
      <b val="1"/>
      <color rgb="001F2937"/>
      <sz val="24"/>
    </font>
    <font>
      <name val="Calibri"/>
      <color rgb="006B7280"/>
      <sz val="12"/>
    </font>
    <font>
      <name val="Calibri"/>
      <b val="1"/>
      <color rgb="00FFFFFF"/>
      <sz val="16"/>
    </font>
    <font>
      <name val="Calibri"/>
      <b val="1"/>
      <color rgb="009B1C1C"/>
      <sz val="12"/>
    </font>
    <font>
      <name val="Calibri"/>
      <b val="1"/>
      <color rgb="008A4B00"/>
      <sz val="12"/>
    </font>
    <font>
      <name val="Calibri"/>
      <b val="1"/>
      <color rgb="001E6B3A"/>
      <sz val="12"/>
    </font>
    <font>
      <name val="Calibri"/>
      <b val="1"/>
      <color rgb="00FFFFFF"/>
      <sz val="11"/>
    </font>
  </fonts>
  <fills count="16">
    <fill>
      <patternFill/>
    </fill>
    <fill>
      <patternFill patternType="gray125"/>
    </fill>
    <fill>
      <patternFill patternType="solid">
        <fgColor rgb="003B5BDB"/>
      </patternFill>
    </fill>
    <fill>
      <patternFill patternType="solid">
        <fgColor rgb="00E8EDFF"/>
      </patternFill>
    </fill>
    <fill>
      <patternFill patternType="solid">
        <fgColor rgb="00FFFBEA"/>
      </patternFill>
    </fill>
    <fill>
      <patternFill patternType="solid">
        <fgColor rgb="000C8599"/>
      </patternFill>
    </fill>
    <fill>
      <patternFill patternType="solid">
        <fgColor rgb="00E3F5F7"/>
      </patternFill>
    </fill>
    <fill>
      <patternFill patternType="solid">
        <fgColor rgb="00D9480F"/>
      </patternFill>
    </fill>
    <fill>
      <patternFill patternType="solid">
        <fgColor rgb="00FFEEE3"/>
      </patternFill>
    </fill>
    <fill>
      <patternFill patternType="solid">
        <fgColor rgb="001F2937"/>
      </patternFill>
    </fill>
    <fill>
      <patternFill patternType="solid">
        <fgColor rgb="00F3F4F6"/>
      </patternFill>
    </fill>
    <fill>
      <patternFill patternType="solid">
        <fgColor rgb="00FAD4D4"/>
      </patternFill>
    </fill>
    <fill>
      <patternFill patternType="solid">
        <fgColor rgb="00FFE4C2"/>
      </patternFill>
    </fill>
    <fill>
      <patternFill patternType="solid">
        <fgColor rgb="00D4F0DC"/>
      </patternFill>
    </fill>
    <fill>
      <patternFill patternType="solid">
        <fgColor rgb="006B7280"/>
      </patternFill>
    </fill>
    <fill>
      <patternFill patternType="solid">
        <fgColor rgb="001E6B3A"/>
      </patternFill>
    </fill>
  </fills>
  <borders count="7">
    <border>
      <left/>
      <right/>
      <top/>
      <bottom/>
      <diagonal/>
    </border>
    <border>
      <bottom style="thin">
        <color rgb="00C7CDD6"/>
      </bottom>
    </border>
    <border>
      <top style="medium">
        <color rgb="003B5BDB"/>
      </top>
      <bottom style="thin">
        <color rgb="003B5BDB"/>
      </bottom>
    </border>
    <border>
      <left style="thin">
        <color rgb="00E9D98B"/>
      </left>
      <right style="thin">
        <color rgb="00E9D98B"/>
      </right>
      <top style="thin">
        <color rgb="00F3E8B0"/>
      </top>
      <bottom style="thin">
        <color rgb="00F3E8B0"/>
      </bottom>
    </border>
    <border>
      <bottom style="thin">
        <color rgb="00E5E7EB"/>
      </bottom>
    </border>
    <border>
      <top style="medium">
        <color rgb="000C8599"/>
      </top>
      <bottom style="thin">
        <color rgb="000C8599"/>
      </bottom>
    </border>
    <border>
      <top style="medium">
        <color rgb="00D9480F"/>
      </top>
      <bottom style="thin">
        <color rgb="00D9480F"/>
      </bottom>
    </border>
  </borders>
  <cellStyleXfs count="1">
    <xf numFmtId="0" fontId="0" fillId="0" borderId="0"/>
  </cellStyleXfs>
  <cellXfs count="89">
    <xf numFmtId="0" fontId="0" fillId="0" borderId="0" pivotButton="0" quotePrefix="0" xfId="0"/>
    <xf numFmtId="0" fontId="34" fillId="0" borderId="0" pivotButton="0" quotePrefix="0" xfId="0"/>
    <xf numFmtId="0" fontId="35" fillId="0" borderId="0" pivotButton="0" quotePrefix="0" xfId="0"/>
    <xf numFmtId="0" fontId="30" fillId="0" borderId="0" pivotButton="0" quotePrefix="0" xfId="0"/>
    <xf numFmtId="0" fontId="36" fillId="9" borderId="0" applyAlignment="1" pivotButton="0" quotePrefix="0" xfId="0">
      <alignment horizontal="center" vertical="center"/>
    </xf>
    <xf numFmtId="0" fontId="9" fillId="0" borderId="0" applyAlignment="1" pivotButton="0" quotePrefix="0" xfId="0">
      <alignment vertical="center" wrapText="1"/>
    </xf>
    <xf numFmtId="0" fontId="8" fillId="0" borderId="0" applyAlignment="1" pivotButton="0" quotePrefix="0" xfId="0">
      <alignment vertical="center" wrapText="1"/>
    </xf>
    <xf numFmtId="0" fontId="37" fillId="11" borderId="0" applyAlignment="1" pivotButton="0" quotePrefix="0" xfId="0">
      <alignment vertical="center" indent="1"/>
    </xf>
    <xf numFmtId="0" fontId="8" fillId="0" borderId="0" applyAlignment="1" pivotButton="0" quotePrefix="0" xfId="0">
      <alignment vertical="center"/>
    </xf>
    <xf numFmtId="0" fontId="38" fillId="12" borderId="0" applyAlignment="1" pivotButton="0" quotePrefix="0" xfId="0">
      <alignment vertical="center" indent="1"/>
    </xf>
    <xf numFmtId="0" fontId="39" fillId="13" borderId="0" applyAlignment="1" pivotButton="0" quotePrefix="0" xfId="0">
      <alignment vertical="center" indent="1"/>
    </xf>
    <xf numFmtId="0" fontId="40" fillId="2" borderId="0" applyAlignment="1" pivotButton="0" quotePrefix="0" xfId="0">
      <alignment vertical="center" indent="1"/>
    </xf>
    <xf numFmtId="0" fontId="40" fillId="5" borderId="0" applyAlignment="1" pivotButton="0" quotePrefix="0" xfId="0">
      <alignment vertical="center" indent="1"/>
    </xf>
    <xf numFmtId="0" fontId="40" fillId="7" borderId="0" applyAlignment="1" pivotButton="0" quotePrefix="0" xfId="0">
      <alignment vertical="center" indent="1"/>
    </xf>
    <xf numFmtId="0" fontId="40" fillId="14" borderId="0" applyAlignment="1" pivotButton="0" quotePrefix="0" xfId="0">
      <alignment vertical="center" indent="1"/>
    </xf>
    <xf numFmtId="0" fontId="40" fillId="15" borderId="0" applyAlignment="1" pivotButton="0" quotePrefix="0" xfId="0">
      <alignment vertical="center" indent="1"/>
    </xf>
    <xf numFmtId="0" fontId="14"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14" fillId="0" borderId="0" pivotButton="0" quotePrefix="0" xfId="0"/>
    <xf numFmtId="0" fontId="3" fillId="0" borderId="1" applyAlignment="1" pivotButton="0" quotePrefix="0" xfId="0">
      <alignment horizontal="left"/>
    </xf>
    <xf numFmtId="0" fontId="0" fillId="0" borderId="1" pivotButton="0" quotePrefix="0" xfId="0"/>
    <xf numFmtId="0" fontId="3" fillId="0" borderId="1"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left" vertical="center"/>
    </xf>
    <xf numFmtId="0" fontId="5" fillId="3" borderId="2" applyAlignment="1" pivotButton="0" quotePrefix="0" xfId="0">
      <alignment horizontal="center" vertical="center"/>
    </xf>
    <xf numFmtId="0" fontId="5" fillId="3" borderId="2" applyAlignment="1" pivotButton="0" quotePrefix="0" xfId="0">
      <alignment vertical="center"/>
    </xf>
    <xf numFmtId="0" fontId="0" fillId="3" borderId="2" applyAlignment="1" pivotButton="0" quotePrefix="0" xfId="0">
      <alignment vertical="center"/>
    </xf>
    <xf numFmtId="0" fontId="6" fillId="3" borderId="2" applyAlignment="1" pivotButton="0" quotePrefix="0" xfId="0">
      <alignment vertical="center"/>
    </xf>
    <xf numFmtId="0" fontId="7" fillId="0" borderId="4" applyAlignment="1" pivotButton="0" quotePrefix="0" xfId="0">
      <alignment horizontal="center" vertical="center"/>
    </xf>
    <xf numFmtId="0" fontId="8" fillId="0" borderId="4" applyAlignment="1" pivotButton="0" quotePrefix="0" xfId="0">
      <alignment vertical="center" wrapText="1"/>
    </xf>
    <xf numFmtId="164" fontId="7" fillId="0" borderId="4" applyAlignment="1" pivotButton="0" quotePrefix="0" xfId="0">
      <alignment horizontal="center" vertical="center"/>
    </xf>
    <xf numFmtId="0" fontId="9" fillId="4" borderId="3" applyAlignment="1" pivotButton="0" quotePrefix="0" xfId="0">
      <alignment horizontal="center" vertical="center"/>
    </xf>
    <xf numFmtId="0" fontId="10" fillId="0" borderId="4" applyAlignment="1" pivotButton="0" quotePrefix="0" xfId="0">
      <alignment vertical="center" wrapText="1"/>
    </xf>
    <xf numFmtId="0" fontId="11" fillId="0" borderId="4" applyAlignment="1" pivotButton="0" quotePrefix="0" xfId="0">
      <alignment horizontal="center" vertical="center" wrapText="1"/>
    </xf>
    <xf numFmtId="0" fontId="12" fillId="0" borderId="4" applyAlignment="1" pivotButton="0" quotePrefix="0" xfId="0">
      <alignment horizontal="center" vertical="center" wrapText="1"/>
    </xf>
    <xf numFmtId="164" fontId="13" fillId="0" borderId="4" applyAlignment="1" pivotButton="0" quotePrefix="0" xfId="0">
      <alignment horizontal="center" vertical="center"/>
    </xf>
    <xf numFmtId="0" fontId="0" fillId="0" borderId="4" pivotButton="0" quotePrefix="0" xfId="0"/>
    <xf numFmtId="0" fontId="12" fillId="0" borderId="4" applyAlignment="1" pivotButton="0" quotePrefix="0" xfId="0">
      <alignment vertical="center" wrapText="1"/>
    </xf>
    <xf numFmtId="0" fontId="15" fillId="0" borderId="0" pivotButton="0" quotePrefix="0" xfId="0"/>
    <xf numFmtId="0" fontId="4" fillId="5" borderId="0" applyAlignment="1" pivotButton="0" quotePrefix="0" xfId="0">
      <alignment horizontal="center" vertical="center"/>
    </xf>
    <xf numFmtId="0" fontId="4" fillId="5" borderId="0" applyAlignment="1" pivotButton="0" quotePrefix="0" xfId="0">
      <alignment horizontal="left" vertical="center"/>
    </xf>
    <xf numFmtId="0" fontId="16" fillId="6" borderId="5" applyAlignment="1" pivotButton="0" quotePrefix="0" xfId="0">
      <alignment horizontal="center" vertical="center"/>
    </xf>
    <xf numFmtId="0" fontId="16" fillId="6" borderId="5" applyAlignment="1" pivotButton="0" quotePrefix="0" xfId="0">
      <alignment vertical="center"/>
    </xf>
    <xf numFmtId="0" fontId="0" fillId="6" borderId="5" applyAlignment="1" pivotButton="0" quotePrefix="0" xfId="0">
      <alignment vertical="center"/>
    </xf>
    <xf numFmtId="0" fontId="6" fillId="6" borderId="5" applyAlignment="1" pivotButton="0" quotePrefix="0" xfId="0">
      <alignment vertical="center"/>
    </xf>
    <xf numFmtId="164" fontId="17" fillId="0" borderId="4" applyAlignment="1" pivotButton="0" quotePrefix="0" xfId="0">
      <alignment horizontal="center" vertical="center"/>
    </xf>
    <xf numFmtId="0" fontId="18" fillId="0" borderId="0" pivotButton="0" quotePrefix="0" xfId="0"/>
    <xf numFmtId="0" fontId="4" fillId="7" borderId="0" applyAlignment="1" pivotButton="0" quotePrefix="0" xfId="0">
      <alignment horizontal="center" vertical="center"/>
    </xf>
    <xf numFmtId="0" fontId="4" fillId="7" borderId="0" applyAlignment="1" pivotButton="0" quotePrefix="0" xfId="0">
      <alignment horizontal="left" vertical="center"/>
    </xf>
    <xf numFmtId="0" fontId="19" fillId="8" borderId="6" applyAlignment="1" pivotButton="0" quotePrefix="0" xfId="0">
      <alignment horizontal="center" vertical="center"/>
    </xf>
    <xf numFmtId="0" fontId="19" fillId="8" borderId="6" applyAlignment="1" pivotButton="0" quotePrefix="0" xfId="0">
      <alignment vertical="center"/>
    </xf>
    <xf numFmtId="0" fontId="0" fillId="8" borderId="6" applyAlignment="1" pivotButton="0" quotePrefix="0" xfId="0">
      <alignment vertical="center"/>
    </xf>
    <xf numFmtId="0" fontId="6" fillId="8" borderId="6" applyAlignment="1" pivotButton="0" quotePrefix="0" xfId="0">
      <alignment vertical="center"/>
    </xf>
    <xf numFmtId="164" fontId="20" fillId="0" borderId="4" applyAlignment="1" pivotButton="0" quotePrefix="0" xfId="0">
      <alignment horizontal="center" vertical="center"/>
    </xf>
    <xf numFmtId="0" fontId="21" fillId="0" borderId="0" pivotButton="0" quotePrefix="0" xfId="0"/>
    <xf numFmtId="0" fontId="4" fillId="9" borderId="0" applyAlignment="1" pivotButton="0" quotePrefix="0" xfId="0">
      <alignment horizontal="left" vertical="center"/>
    </xf>
    <xf numFmtId="0" fontId="4" fillId="9" borderId="0" applyAlignment="1" pivotButton="0" quotePrefix="0" xfId="0">
      <alignment horizontal="center" vertical="center"/>
    </xf>
    <xf numFmtId="0" fontId="5" fillId="3" borderId="2" pivotButton="0" quotePrefix="0" xfId="0"/>
    <xf numFmtId="0" fontId="0" fillId="3" borderId="2" pivotButton="0" quotePrefix="0" xfId="0"/>
    <xf numFmtId="0" fontId="22" fillId="4" borderId="0" applyAlignment="1" pivotButton="0" quotePrefix="0" xfId="0">
      <alignment horizontal="center" vertical="center"/>
    </xf>
    <xf numFmtId="0" fontId="16" fillId="6" borderId="5" pivotButton="0" quotePrefix="0" xfId="0"/>
    <xf numFmtId="0" fontId="0" fillId="6" borderId="5" pivotButton="0" quotePrefix="0" xfId="0"/>
    <xf numFmtId="0" fontId="19" fillId="8" borderId="6" pivotButton="0" quotePrefix="0" xfId="0"/>
    <xf numFmtId="0" fontId="0" fillId="8" borderId="6" pivotButton="0" quotePrefix="0" xfId="0"/>
    <xf numFmtId="0" fontId="23" fillId="10" borderId="0" applyAlignment="1" pivotButton="0" quotePrefix="0" xfId="0">
      <alignment horizontal="center" vertical="center"/>
    </xf>
    <xf numFmtId="0" fontId="24" fillId="11" borderId="0" applyAlignment="1" pivotButton="0" quotePrefix="0" xfId="0">
      <alignment horizontal="center" vertical="center"/>
    </xf>
    <xf numFmtId="0" fontId="0" fillId="11" borderId="0" pivotButton="0" quotePrefix="0" xfId="0"/>
    <xf numFmtId="0" fontId="26" fillId="12" borderId="0" applyAlignment="1" pivotButton="0" quotePrefix="0" xfId="0">
      <alignment horizontal="center" vertical="center"/>
    </xf>
    <xf numFmtId="0" fontId="0" fillId="12" borderId="0" pivotButton="0" quotePrefix="0" xfId="0"/>
    <xf numFmtId="0" fontId="28" fillId="13" borderId="0" applyAlignment="1" pivotButton="0" quotePrefix="0" xfId="0">
      <alignment horizontal="center" vertical="center"/>
    </xf>
    <xf numFmtId="0" fontId="0" fillId="13" borderId="0" pivotButton="0" quotePrefix="0" xfId="0"/>
    <xf numFmtId="0" fontId="22" fillId="10" borderId="0" applyAlignment="1" pivotButton="0" quotePrefix="0" xfId="0">
      <alignment horizontal="center"/>
    </xf>
    <xf numFmtId="0" fontId="25" fillId="11" borderId="0" applyAlignment="1" pivotButton="0" quotePrefix="0" xfId="0">
      <alignment horizontal="center"/>
    </xf>
    <xf numFmtId="0" fontId="27" fillId="12" borderId="0" applyAlignment="1" pivotButton="0" quotePrefix="0" xfId="0">
      <alignment horizontal="center"/>
    </xf>
    <xf numFmtId="0" fontId="29" fillId="13" borderId="0" applyAlignment="1" pivotButton="0" quotePrefix="0" xfId="0">
      <alignment horizontal="center"/>
    </xf>
    <xf numFmtId="0" fontId="31" fillId="11" borderId="4" pivotButton="0" quotePrefix="0" xfId="0"/>
    <xf numFmtId="0" fontId="0" fillId="0" borderId="4" applyAlignment="1" pivotButton="0" quotePrefix="0" xfId="0">
      <alignment horizontal="center"/>
    </xf>
    <xf numFmtId="0" fontId="0" fillId="4" borderId="4" applyAlignment="1" pivotButton="0" quotePrefix="0" xfId="0">
      <alignment horizontal="center"/>
    </xf>
    <xf numFmtId="0" fontId="6" fillId="0" borderId="4" pivotButton="0" quotePrefix="0" xfId="0"/>
    <xf numFmtId="0" fontId="32" fillId="12" borderId="4" pivotButton="0" quotePrefix="0" xfId="0"/>
    <xf numFmtId="0" fontId="33" fillId="13" borderId="4" pivotButton="0" quotePrefix="0" xfId="0"/>
    <xf numFmtId="0" fontId="0" fillId="0" borderId="0" applyAlignment="1" pivotButton="0" quotePrefix="0" xfId="0">
      <alignment horizontal="center"/>
    </xf>
    <xf numFmtId="0" fontId="14" fillId="0" borderId="0" applyAlignment="1" pivotButton="0" quotePrefix="0" xfId="0">
      <alignment horizontal="center"/>
    </xf>
    <xf numFmtId="0" fontId="0" fillId="4" borderId="0" applyAlignment="1" pivotButton="0" quotePrefix="0" xfId="0">
      <alignment horizontal="center"/>
    </xf>
    <xf numFmtId="0" fontId="8" fillId="0" borderId="4" pivotButton="0" quotePrefix="0" xfId="0"/>
    <xf numFmtId="9" fontId="0" fillId="0" borderId="4" applyAlignment="1" pivotButton="0" quotePrefix="0" xfId="0">
      <alignment horizontal="center"/>
    </xf>
  </cellXfs>
  <cellStyles count="1">
    <cellStyle name="Normal" xfId="0" builtinId="0" hidden="0"/>
  </cellStyles>
  <dxfs count="9">
    <dxf>
      <font>
        <b val="1"/>
        <color rgb="009B1C1C"/>
      </font>
      <fill>
        <patternFill patternType="solid">
          <fgColor rgb="00FAD4D4"/>
        </patternFill>
      </fill>
    </dxf>
    <dxf>
      <font>
        <b val="1"/>
        <color rgb="008A4B00"/>
      </font>
      <fill>
        <patternFill patternType="solid">
          <fgColor rgb="00FFE4C2"/>
        </patternFill>
      </fill>
    </dxf>
    <dxf>
      <font>
        <b val="1"/>
        <color rgb="001E6B3A"/>
      </font>
      <fill>
        <patternFill patternType="solid">
          <fgColor rgb="00D4F0DC"/>
        </patternFill>
      </fill>
    </dxf>
    <dxf>
      <fill>
        <patternFill patternType="solid">
          <fgColor rgb="00FAD4D4"/>
        </patternFill>
      </fill>
    </dxf>
    <dxf>
      <fill>
        <patternFill patternType="solid">
          <fgColor rgb="00FFE4C2"/>
        </patternFill>
      </fill>
    </dxf>
    <dxf>
      <fill>
        <patternFill patternType="solid">
          <fgColor rgb="00D4F0DC"/>
        </patternFill>
      </fill>
    </dxf>
    <dxf>
      <font>
        <color rgb="009B1C1C"/>
      </font>
      <fill>
        <patternFill patternType="solid">
          <fgColor rgb="00FAD4D4"/>
        </patternFill>
      </fill>
    </dxf>
    <dxf>
      <font>
        <color rgb="008A4B00"/>
      </font>
      <fill>
        <patternFill patternType="solid">
          <fgColor rgb="00FFE4C2"/>
        </patternFill>
      </fill>
    </dxf>
    <dxf>
      <font>
        <color rgb="001E6B3A"/>
      </font>
      <fill>
        <patternFill patternType="solid">
          <fgColor rgb="00D4F0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Ratings by topic area</a:t>
            </a:r>
          </a:p>
        </rich>
      </tx>
    </title>
    <plotArea>
      <barChart>
        <barDir val="bar"/>
        <grouping val="stacked"/>
        <ser>
          <idx val="0"/>
          <order val="0"/>
          <tx>
            <strRef>
              <f>'Progress'!C30</f>
            </strRef>
          </tx>
          <spPr>
            <a:solidFill>
              <a:srgbClr val="E57373"/>
            </a:solidFill>
            <a:ln>
              <a:solidFill>
                <a:srgbClr val="E57373"/>
              </a:solidFill>
              <a:prstDash val="solid"/>
            </a:ln>
          </spPr>
          <cat>
            <numRef>
              <f>'Progress'!$A$31:$A$55</f>
            </numRef>
          </cat>
          <val>
            <numRef>
              <f>'Progress'!$C$31:$C$55</f>
            </numRef>
          </val>
        </ser>
        <ser>
          <idx val="1"/>
          <order val="1"/>
          <tx>
            <strRef>
              <f>'Progress'!D30</f>
            </strRef>
          </tx>
          <spPr>
            <a:solidFill>
              <a:srgbClr val="F6AE5B"/>
            </a:solidFill>
            <a:ln>
              <a:solidFill>
                <a:srgbClr val="F6AE5B"/>
              </a:solidFill>
              <a:prstDash val="solid"/>
            </a:ln>
          </spPr>
          <cat>
            <numRef>
              <f>'Progress'!$A$31:$A$55</f>
            </numRef>
          </cat>
          <val>
            <numRef>
              <f>'Progress'!$D$31:$D$55</f>
            </numRef>
          </val>
        </ser>
        <ser>
          <idx val="2"/>
          <order val="2"/>
          <tx>
            <strRef>
              <f>'Progress'!E30</f>
            </strRef>
          </tx>
          <spPr>
            <a:solidFill>
              <a:srgbClr val="5DBB7A"/>
            </a:solidFill>
            <a:ln>
              <a:solidFill>
                <a:srgbClr val="5DBB7A"/>
              </a:solidFill>
              <a:prstDash val="solid"/>
            </a:ln>
          </spPr>
          <cat>
            <numRef>
              <f>'Progress'!$A$31:$A$55</f>
            </numRef>
          </cat>
          <val>
            <numRef>
              <f>'Progress'!$E$31:$E$55</f>
            </numRef>
          </val>
        </ser>
        <gapWidth val="150"/>
        <overlap val="10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Tracker</author>
  </authors>
  <commentList>
    <comment ref="G9" authorId="0" shapeId="0">
      <text>
        <t>Question 11 (a) (page 9)
Question 12 (page 10)
Question 14 (page 11)
Question 15 (page 11)
Question 17 (a) (page 13)
Question 18 (a) (page 14)
Question 28 (page 24)
Question 32 (b) (page 28)
Source: Question Set 7: Algebraic Methods exam questions</t>
      </text>
    </comment>
    <comment ref="J9" authorId="0" shapeId="0">
      <text>
        <t>Page 1: question 1 (a)
Page 2: question 2 (ii)
Page 3: question 3 (b)
Page 4: question 4 (i)
Page 5: question 5
Source: Proof</t>
      </text>
    </comment>
    <comment ref="N9" authorId="0" shapeId="0">
      <text>
        <t>Page 1: question 1
Page 1: question 2
Page 1: question 5
Page 1: question 3
Page 1: question 4 (ii)
Page 2: question 6
Page 2: question 8
Page 2: question 10
Source: Proof (Yr. 1)</t>
      </text>
    </comment>
    <comment ref="G10" authorId="0" shapeId="0">
      <text>
        <t>Question 8 (page 7)
Question 11 (b) (page 9)
Question 13 (page 10)
Question 17 (b) (page 13)
Question 18 (b) (page 14)
Question 24 (b) (page 19)
Question 32 (a) (page 28)
Question 35 (page 31)
Source: Question Set 7: Algebraic Methods exam questions</t>
      </text>
    </comment>
    <comment ref="J10" authorId="0" shapeId="0">
      <text>
        <t>Question 1 (a,b) (page 1)
Question 3 (page 1)
Question 7 (a,c) (page 1)
Question 8 (c) (page 1)
Source: 2a. Mixed exam-style questions on proof</t>
      </text>
    </comment>
    <comment ref="N10" authorId="0" shapeId="0">
      <text>
        <t>Page 1: question 4 (i)
Page 2: question 9
Page 2: question 7
Source: Proof (Yr. 1)</t>
      </text>
    </comment>
    <comment ref="G11" authorId="0" shapeId="0">
      <text>
        <t>Question 13 (page 7)
Question 14 (page 7)
Question 15 (page 8)
Question 16 (page 9)
Question 17 (page 10)
Question 18 (page 11)
Source: Question Set 1: Algebraic Methods exam questions</t>
      </text>
    </comment>
    <comment ref="J11" authorId="0" shapeId="0">
      <text>
        <t>Question 2 (page 1)
Question 4 (b) (page 1)
Question 6 (page 1)
Question 8 (b) (page 1)
Source: 2a. Mixed exam-style questions on proof</t>
      </text>
    </comment>
    <comment ref="N11" authorId="0" shapeId="0">
      <text>
        <t>Page 1: question 2
Page 2: question 5
Source: Proof (Yr. 2)</t>
      </text>
    </comment>
    <comment ref="G15" authorId="0" shapeId="0">
      <text>
        <t>Question 6 (b) (page 3)
Question 7 (page 4)
Question 9 (page 5)
Source: Exam Booklet</t>
      </text>
    </comment>
    <comment ref="J15" authorId="0" shapeId="0">
      <text>
        <t>Question 3 (page 1)
Question 6 (page 1)
Source: 06a. Quadratics – factorising</t>
      </text>
    </comment>
    <comment ref="N15" authorId="0" shapeId="0">
      <text>
        <t>Page 3: question 6 (ii)
Page 5: question 9 (iv)
Page 6: question 11 (i)
Source: Graphs (Yr. 1)</t>
      </text>
    </comment>
    <comment ref="G16" authorId="0" shapeId="0">
      <text>
        <t>Question 1 (page 1)
Question 2 (page 1)
Question 3 (page 2)
Question 4 (page 2)
Question 6 (page 3)
Question 7 (page 4)
Question 8 (page 4)
Question 22 (page 16)
Source: Question Set 2: Quadratics exam questions</t>
      </text>
    </comment>
    <comment ref="J16" authorId="0" shapeId="0">
      <text>
        <t>Page 1: question 2 (b)
Page 2: question 4
Page 2: question 5
Page 3: question 6
Source: Inequalities</t>
      </text>
    </comment>
    <comment ref="N16" authorId="0" shapeId="0">
      <text>
        <t>Page 2: question 4 (iii)
Page 3: question 6 (iii)
Page 6: question 10 (iii)
Source: Graphs (Yr. 1)</t>
      </text>
    </comment>
    <comment ref="G17" authorId="0" shapeId="0">
      <text>
        <t>Question 7 (page 5)
Question 10 (c) (page 8)
Question 18 (b) (page 15)
Source: Question Set 5: Straight Line Graphs exam questions</t>
      </text>
    </comment>
    <comment ref="J17" authorId="0" shapeId="0">
      <text>
        <t>Question 1 (page 1)
Source: 08a. Simultaneous equations</t>
      </text>
    </comment>
    <comment ref="N17" authorId="0" shapeId="0">
      <text>
        <t>Page 1: question 6
Page 1: question 7
Source: Solution of Equations</t>
      </text>
    </comment>
    <comment ref="G18" authorId="0" shapeId="0">
      <text>
        <t>Question 3 (page 2)
Question 5 (page 3)
Question 6 (page 4)
Question 7 (page 5)
Question 12 (page 8)
Source: Question Set 3: Equations and Inequalities exam questions</t>
      </text>
    </comment>
    <comment ref="J18" authorId="0" shapeId="0">
      <text>
        <t>Page 1: question 1
Page 2: question 3
Page 2: question 4
Page 2: question 5
Page 2: question 6
Page 3: question 7
Page 3: question 8 (c)
Page 4: question 9 (b)
Source: Simultaneous Equations</t>
      </text>
    </comment>
    <comment ref="N18" authorId="0" shapeId="0">
      <text>
        <t>Page 2: question 5
Source: Curves</t>
      </text>
    </comment>
    <comment ref="G19" authorId="0" shapeId="0">
      <text>
        <t>Question 2 (page 3)
Question 23 (b,c) (page 23)
Source: Question Set 4: Graphs and Transformations exam questions</t>
      </text>
    </comment>
    <comment ref="J19" authorId="0" shapeId="0">
      <text>
        <t>Page 3: question 3 (b)
Page 4: question 4
Source: Transformations and Graphs</t>
      </text>
    </comment>
    <comment ref="N19" authorId="0" shapeId="0">
      <text>
        <t>Page 2: question 4 (ii,iii)
Page 3: question 6
Page 5: question 9 (iii,iv)
Page 6: question 10 (ii)
Source: Graphs (Yr. 1)</t>
      </text>
    </comment>
    <comment ref="G20" authorId="0" shapeId="0">
      <text>
        <t>Question 8 (b) (page 6)
Question 13 (page 8)
Source: Question Set 3: Equations and Inequalities exam questions</t>
      </text>
    </comment>
    <comment ref="J20" authorId="0" shapeId="0">
      <text>
        <t>Page 1: question 1 (a)
Page 2: question 3 (a)
Page 3: question 7 (a)
Page 3: question 8 (a)
Page 4: question 9 (a)
Source: Inequalities</t>
      </text>
    </comment>
    <comment ref="N20" authorId="0" shapeId="0">
      <text>
        <t>Page 1: question 5
Page 1: question 3 (i)
Source: Inequalitites</t>
      </text>
    </comment>
    <comment ref="G21" authorId="0" shapeId="0">
      <text>
        <t>Question 1 (a) (page 1)
Question 2 (page 2)
Question 4 (page 3)
Question 8 (a) (page 6)
Question 9 (page 7)
Question 10 (page 7)
Question 11 (page 7)
Question 15 (page 10)
Source: Question Set 3: Equations and Inequalities exam questions</t>
      </text>
    </comment>
    <comment ref="J21" authorId="0" shapeId="0">
      <text>
        <t>Page 1: question 1 (b)
Page 2: question 3 (b)
Page 3: question 7 (b)
Page 3: question 8 (b,c)
Page 4: question 10
Page 4: question 11
Page 4: question 9 (b)
Source: Inequalities</t>
      </text>
    </comment>
    <comment ref="N21" authorId="0" shapeId="0">
      <text>
        <t>Page 1: question 1
Page 1: question 2
Page 1: question 7
Source: Inequalitites</t>
      </text>
    </comment>
    <comment ref="G22" authorId="0" shapeId="0">
      <text>
        <t>Question 1 (b) (page 1)
Question 8 (b) (page 6)
Question 9 (page 7)
Question 11 (page 7)
Question 15 (page 10)
Source: Question Set 3: Equations and Inequalities exam questions</t>
      </text>
    </comment>
    <comment ref="J22" authorId="0" shapeId="0">
      <text>
        <t>Page 1: question 1 (c)
Page 2: question 3 (c)
Page 3: question 7 (c)
Page 4: question 9 (c)
Source: Inequalities</t>
      </text>
    </comment>
    <comment ref="N22" authorId="0" shapeId="0">
      <text>
        <t>Page 1: question 4
Source: Inequalitites</t>
      </text>
    </comment>
    <comment ref="G23" authorId="0" shapeId="0">
      <text>
        <t>Question 3 (page 1)
Question 5 (page 2)
Source: A Level Maths: Algebraic Expressions — Medium</t>
      </text>
    </comment>
    <comment ref="J23" authorId="0" shapeId="0">
      <text>
        <t>Question 2 (page 1)
Question 3 (page 1)
Question 4 (page 1)
Question 5 (page 1)
Question 6 (page 1)
Question 7 (page 1)
Question 9 (page 2)
Source: 02a. Surds</t>
      </text>
    </comment>
    <comment ref="N23" authorId="0" shapeId="0">
      <text>
        <t>Page 1: question 3
Page 2: question 6 (i)
Page 2: question 8 (i)
Page 3: question 14 (ii)
Page 4: question 16
Source: Surds and Indices</t>
      </text>
    </comment>
    <comment ref="G24" authorId="0" shapeId="0">
      <text>
        <t>Question 6 (page 2)
Question 8 (page 2)
Question 9 (page 3)
Question 11 (page 4)
Source: A Level Maths: Algebraic Expressions — Medium</t>
      </text>
    </comment>
    <comment ref="J24" authorId="0" shapeId="0">
      <text>
        <t>Question 8 (page 1)
Question 12 (page 2)
Question 15 (page 2)
Source: 02a. Surds</t>
      </text>
    </comment>
    <comment ref="N24" authorId="0" shapeId="0">
      <text>
        <t>Page 1: question 1 (ii)
Page 2: question 6 (ii)
Page 3: question 14 (i)
Page 3: question 15
Page 4: question 18
Source: Surds and Indices</t>
      </text>
    </comment>
    <comment ref="G25" authorId="0" shapeId="0">
      <text>
        <t>Question 2 (page 1)
Question 4 (page 2)
Question 5 (page 2)
Question 8 (page 4)
Question 10 (page 5)
Source: Exam Booklet</t>
      </text>
    </comment>
    <comment ref="J25" authorId="0" shapeId="0">
      <text>
        <t>Question 2 (page 1)
Question 3 (page 1)
Question 7 (page 1)
Question 11 (page 2)
Question 12 (page 2)
Question 14 (page 2)
Question 15 (page 2)
Question 17 (page 2)
Source: 01a. Indices</t>
      </text>
    </comment>
    <comment ref="N25" authorId="0" shapeId="0">
      <text>
        <t>Page 1: question 5
Page 1: question 2 (ii)
Page 1: question 1 (i)
Page 2: question 7 (ii)
Page 3: question 10
Page 3: question 13 (ii)
Source: Surds and Indices</t>
      </text>
    </comment>
    <comment ref="G26" authorId="0" shapeId="0">
      <text>
        <t>Question 1 (page 1)
Question 2 (page 1)
Question 3 (page 1)
Source: Exam Booklet</t>
      </text>
    </comment>
    <comment ref="J26" authorId="0" shapeId="0">
      <text>
        <t>Question 1 (page 1)
Question 4 (page 1)
Question 5 (page 1)
Question 6 (page 1)
Question 9 (page 2)
Question 10 (page 2)
Source: 01a. Indices</t>
      </text>
    </comment>
    <comment ref="N26" authorId="0" shapeId="0">
      <text>
        <t>Page 1: question 4
Page 1: question 2 (i)
Page 2: question 7 (i)
Page 2: question 9
Page 3: question 13 (i)
Source: Surds and Indices</t>
      </text>
    </comment>
    <comment ref="G27" authorId="0" shapeId="0">
      <text>
        <t>Question 6 (page 4)
Source: Graphs and Transformations</t>
      </text>
    </comment>
    <comment ref="G28" authorId="0" shapeId="0">
      <text>
        <t>Question 1 (page 1)
Question 2 (page 1)
Question 3 (page 2)
Question 4 (page 2)
Question 10 (page 5)
Question 12 (page 6)
Source: Question Set 1: Algebraic Methods exam questions</t>
      </text>
    </comment>
    <comment ref="J28" authorId="0" shapeId="0">
      <text>
        <t>Page 1: question 1 (a)
Page 2: question 2 (a)
Page 3: question 3 (a)
Source: Partial Fractions</t>
      </text>
    </comment>
    <comment ref="N28" authorId="0" shapeId="0">
      <text>
        <t>Page 1: question 4
Page 1: question 2 (i)
Source: Partial Fractions</t>
      </text>
    </comment>
    <comment ref="G29" authorId="0" shapeId="0">
      <text>
        <t>Question 18 (a) (page 17)
Question 19 (a) (page 18)
Source: Question Set 9: Differentiation exam questions</t>
      </text>
    </comment>
    <comment ref="J29" authorId="0" shapeId="0">
      <text>
        <t>Question 1 (page 1)
Question 2 (page 1)
Question 3 (a) (page 1)
Question 4 (b) (page 1)
Source: 13a. Mixed exam-style questions on rational expressions</t>
      </text>
    </comment>
    <comment ref="N29" authorId="0" shapeId="0">
      <text>
        <t>Page 1: question 1
Source: Rational Expressions</t>
      </text>
    </comment>
    <comment ref="G32" authorId="0" shapeId="0">
      <text>
        <t>Question 1 (page 1)
Question 2 (b) (page 2)
Question 25 (b) (page 20)
Question 29 (b) (page 25)
Question 33 (b) (page 29)
Source: Question Set 7: Algebraic Methods exam questions</t>
      </text>
    </comment>
    <comment ref="J32" authorId="0" shapeId="0">
      <text>
        <t>Question 1 (page 1)
Question 2 (page 1)
Question 3 (page 1)
Question 4 (page 1)
Question 5 (page 1)
Question 6 (page 1)
Source: 11a. Polynomials</t>
      </text>
    </comment>
    <comment ref="N32" authorId="0" shapeId="0">
      <text>
        <t>Page 1: question 7
Page 1: question 1 (i)
Source: Polynomials</t>
      </text>
    </comment>
    <comment ref="G33" authorId="0" shapeId="0">
      <text>
        <t>Question 1 (page 1)
Question 2 (a) (page 2)
Question 3 (page 3)
Question 4 (a) (page 4)
Question 5 (page 5)
Question 6 (a) (page 6)
Question 21 (page 16)
Question 33 (a) (page 29)
Source: Question Set 7: Algebraic Methods exam questions</t>
      </text>
    </comment>
    <comment ref="J33" authorId="0" shapeId="0">
      <text>
        <t>Page 1: question 1 (a)
Page 2: question 2
Page 3: question 3
Page 4: question 4 (b)
Page 5: question 5 (a)
Source: Factor Theorem</t>
      </text>
    </comment>
    <comment ref="N33" authorId="0" shapeId="0">
      <text>
        <t>Page 1: question 6
Page 1: question 3
Page 1: question 4
Page 1: question 5
Page 1: question 1
Source: Polynomials</t>
      </text>
    </comment>
    <comment ref="G34" authorId="0" shapeId="0">
      <text>
        <t>Question 6 (page 8)
Question 11 (d) (page 15)
Question 20 (page 27)
Question 21 (page 27)
Question 23 (page 29)
Question 24 (page 30)
Question 29 (a,b) (page 36)
Source: Question Set 2: Functions and Graphs exam questions</t>
      </text>
    </comment>
    <comment ref="J34" authorId="0" shapeId="0">
      <text>
        <t>Question 3 (page 1)
Question 4 (page 1)
Question 5 (page 1)
Question 7 (page 1)
Source: 01a. Domain, range and values of functions</t>
      </text>
    </comment>
    <comment ref="N34" authorId="0" shapeId="0">
      <text>
        <t>Page 1: question 2
Source: The Language of Functions</t>
      </text>
    </comment>
    <comment ref="G35" authorId="0" shapeId="0">
      <text>
        <t>Question 1 (page 1)
Question 4 (b,c) (page 5)
Question 8 (a) (page 10)
Question 12 (b) (page 17)
Question 26 (page 32)
Question 29 (c) (page 36)
Question 32 (a,b) (page 41)
Source: Question Set 2: Functions and Graphs exam questions</t>
      </text>
    </comment>
    <comment ref="J35" authorId="0" shapeId="0">
      <text>
        <t>Question 1 (page 1)
Question 3 (page 1)
Question 4 (page 1)
Question 5 (page 1)
Question 7 (b) (page 1)
Question 8 (page 1)
Question 10 (page 2)
Source: 05a. Composite functions</t>
      </text>
    </comment>
    <comment ref="N35" authorId="0" shapeId="0">
      <text>
        <t>Page 1: question 1 (i)
Page 1: question 3 (ii)
Source: The Language of Functions</t>
      </text>
    </comment>
    <comment ref="G36" authorId="0" shapeId="0">
      <text>
        <t>Question 2 (b) (page 2)
Question 5 (b) (page 6)
Question 8 (b,c) (page 10)
Question 13 (page 18)
Question 19 (b,c) (page 26)
Question 31 (page 40)
Question 33 (page 43)
Source: Question Set 2: Functions and Graphs exam questions</t>
      </text>
    </comment>
    <comment ref="J36" authorId="0" shapeId="0">
      <text>
        <t>Question 1 (page 1)
Question 2 (page 1)
Question 3 (page 1)
Question 5 (page 1)
Question 6 (a) (page 1)
Question 7 (a) (page 1)
Question 8 (page 2)
Source: 06a. Inverse of a function</t>
      </text>
    </comment>
    <comment ref="N36" authorId="0" shapeId="0">
      <text>
        <t>Page 1: question 2
Page 1: question 3 (i)
Page 1: question 1 (i)
Source: The Language of Functions</t>
      </text>
    </comment>
    <comment ref="G37" authorId="0" shapeId="0">
      <text>
        <t>Question 7 (a) (page 9)
Question 16 (a,b) (page 22)
Question 17 (page 24)
Question 18 (page 25)
Question 22 (a) (page 28)
Question 30 (a) (page 38)
Source: Question Set 2: Functions and Graphs exam questions</t>
      </text>
    </comment>
    <comment ref="J37" authorId="0" shapeId="0">
      <text>
        <t>Page 1: question 1 (a)
Page 2: question 2
Source: Modulus of Functions</t>
      </text>
    </comment>
    <comment ref="N37" authorId="0" shapeId="0">
      <text>
        <t>Page 1: question 3
Page 1: question 6
Page 2: question 7
Page 2: question 8 (a)
Page 2: question 10
Source: The Modulus Function</t>
      </text>
    </comment>
    <comment ref="G38" authorId="0" shapeId="0">
      <text>
        <t>Question 7 (b,c) (page 9)
Question 22 (b) (page 28)
Question 34 (page 44)
Source: Question Set 2: Functions and Graphs exam questions</t>
      </text>
    </comment>
    <comment ref="J38" authorId="0" shapeId="0">
      <text>
        <t>Question 6 (a,b,c,d) (page 1)
Source: 04a. The modulus function</t>
      </text>
    </comment>
    <comment ref="N38" authorId="0" shapeId="0">
      <text>
        <t>Page 1: question 5
Page 1: question 4 (c)
Page 1: question 1
Page 2: question 9
Page 2: question 8 (b)
Source: The Modulus Function</t>
      </text>
    </comment>
    <comment ref="G39" authorId="0" shapeId="0">
      <text>
        <t>Question 17 (page 11)
Question 21 (page 15)
Question 25 (page 19)
Source: Question Set 2: Quadratics exam questions</t>
      </text>
    </comment>
    <comment ref="J39" authorId="0" shapeId="0">
      <text>
        <t>Page 7: question 7
Page 8: question 8 (a,b)
Source: Quadratics</t>
      </text>
    </comment>
    <comment ref="N39" authorId="0" shapeId="0">
      <text>
        <t>Page 1: question 2
Source: Graphs (Yr. 1)</t>
      </text>
    </comment>
    <comment ref="G42" authorId="0" shapeId="0">
      <text>
        <t>Question 2 (page 3)
Question 15 (page 16)
Question 21 (page 21)
Source: Question Set 4: Graphs and Transformations exam questions</t>
      </text>
    </comment>
    <comment ref="J42" authorId="0" shapeId="0">
      <text>
        <t>Question 1 (page 1)
Question 8 (page 2)
Question 9 (page 2)
Question 10 (page 2)
Source: 14a. Graphs of functions</t>
      </text>
    </comment>
    <comment ref="N42" authorId="0" shapeId="0">
      <text>
        <t>Page 1: question 2 (d)
Page 3: question 6 (i)
Page 4: question 7 (i)
Page 4: question 8 (i)
Page 5: question 9 (i,iii)
Page 6: question 11 (ii)
Source: Graphs (Yr. 1)</t>
      </text>
    </comment>
    <comment ref="G43" authorId="0" shapeId="0">
      <text>
        <t>Question 1 (a) (page 2)
Question 8 (a) (page 10)
Question 18 (page 19)
Question 22 (page 22)
Question 24 (page 24)
Source: Question Set 4: Graphs and Transformations exam questions</t>
      </text>
    </comment>
    <comment ref="J43" authorId="0" shapeId="0">
      <text>
        <t>Question 2 (page 1)
Question 3 (page 1)
Question 4 (page 1)
Question 5 (page 1)
Question 7 (page 1)
Source: 14a. Graphs of functions</t>
      </text>
    </comment>
    <comment ref="N43" authorId="0" shapeId="0">
      <text>
        <t>Page 1: question 3
Page 2: question 4 (i)
Page 5: question 9 (i)
Page 6: question 10 (i)
Page 6: question 11
Source: Graphs (Yr. 1)</t>
      </text>
    </comment>
    <comment ref="G44" authorId="0" shapeId="0">
      <text>
        <t>Question 12 (page 7)
Question 13 (page 7)
Question 14 (page 8)
Question 17 (b) (page 11)
Question 18 (page 12)
Question 19 (a) (page 13)
Question 24 (a,b) (page 18)
Source: Question Set 2: Quadratics exam questions</t>
      </text>
    </comment>
    <comment ref="J44" authorId="0" shapeId="0">
      <text>
        <t>Question 1 (page 1)
Question 2 (page 1)
Question 4 (page 1)
Question 5 (page 1)
Question 6 (page 1)
Source: 05a. Quadratics – completing the square</t>
      </text>
    </comment>
    <comment ref="N44" authorId="0" shapeId="0">
      <text>
        <t>Page 1: question 1
Page 1: question 2 (a,d)
Page 2: question 4 (i)
Page 6: question 12 (a,b)
Page 6: question 11 (ii)
Source: Graphs (Yr. 1)</t>
      </text>
    </comment>
    <comment ref="G45" authorId="0" shapeId="0">
      <text>
        <t>Question 8 (a) (page 10)
Question 15 (a) (page 16)
Question 16 (b) (page 17)
Question 18 (page 19)
Question 20 (a) (page 20)
Question 21 (a) (page 21)
Question 22 (a) (page 22)
Question 24 (a) (page 24)
Source: Question Set 4: Graphs and Transformations exam questions</t>
      </text>
    </comment>
    <comment ref="J45" authorId="0" shapeId="0">
      <text>
        <t>Page 2: question 2 (a)
Page 4: question 4 (a,b)
Page 9: question 10 (a)
Page 12: question 15 (a,b)
Source: Transformations and Graphs</t>
      </text>
    </comment>
    <comment ref="N45" authorId="0" shapeId="0">
      <text>
        <t>Page 1: question 3
Page 4: question 7 (i)
Page 4: question 8 (i)
Page 5: question 9 (i)
Page 6: question 11 (ii)
Source: Graphs (Yr. 1)</t>
      </text>
    </comment>
    <comment ref="G46" authorId="0" shapeId="0">
      <text>
        <t>Question 7 (page 4)
Source: Graphs and Transformations</t>
      </text>
    </comment>
    <comment ref="J46" authorId="0" shapeId="0">
      <text>
        <t>Question 6 (page 1)
Question 8 (page 1)
Source: 4a. Increasing and decreasing functions and stationary points</t>
      </text>
    </comment>
    <comment ref="N46" authorId="0" shapeId="0">
      <text>
        <t>Page 1: question 2 (ii)
Source: Applications of Differentiation to Functions and Graphs (Yr. 1)</t>
      </text>
    </comment>
    <comment ref="G47" authorId="0" shapeId="0">
      <text>
        <t>Question 2 (a) (page 3)
Question 6 (page 8)
Question 13 (page 14)
Question 14 (page 15)
Question 16 (a) (page 17)
Question 23 (a) (page 23)
Source: Question Set 4: Graphs and Transformations exam questions</t>
      </text>
    </comment>
    <comment ref="J47" authorId="0" shapeId="0">
      <text>
        <t>Page 8: question 8
Page 8: question 9
Source: Transformations and Graphs</t>
      </text>
    </comment>
    <comment ref="N47" authorId="0" shapeId="0">
      <text>
        <t>Page 2: question 5 (a,b,c)
Source: Graphs (Yr. 1)</t>
      </text>
    </comment>
    <comment ref="G48" authorId="0" shapeId="0">
      <text>
        <t>Question 1 (bi,bii) (page 2)
Question 3 (page 4)
Question 4 (ci,cii) (page 5)
Question 5 (bi,bii) (page 7)
Question 7 (bi,bii) (page 9)
Question 9 (page 11)
Question 19 (page 19)
Question 20 (b) (page 20)
Source: Question Set 4: Graphs and Transformations exam questions</t>
      </text>
    </comment>
    <comment ref="J48" authorId="0" shapeId="0">
      <text>
        <t>Page 1: question 1
Page 3: question 3
Page 5: question 5
Page 6: question 6
Page 7: question 7
Page 10: question 12
Page 11: question 13
Page 12: question 14
Source: Transformations and Graphs</t>
      </text>
    </comment>
    <comment ref="N48" authorId="0" shapeId="0">
      <text>
        <t>Page 4: question 7 (ii)
Page 4: question 8 (ii)
Page 6: question 13 (a)
Source: Graphs (Yr. 1)</t>
      </text>
    </comment>
    <comment ref="G49" authorId="0" shapeId="0">
      <text>
        <t>Question 28 (b) (page 35)
Question 35 (a,c) (page 45)
Question 36 (a) (page 47)
Source: Question Set 2: Functions and Graphs exam questions</t>
      </text>
    </comment>
    <comment ref="J49" authorId="0" shapeId="0">
      <text>
        <t>Question 1 (page 1)
Question 2 (b) (page 1)
Question 3 (page 1)
Question 4 (page 1)
Question 5 (page 1)
Question 6 (page 1)
Question 7 (b) (page 1)
Question 9 (a) (page 2)
Source: 07a. Transformations of functions</t>
      </text>
    </comment>
    <comment ref="N49" authorId="0" shapeId="0">
      <text>
        <t>Page 1: question 1 (i)
Source: Integration by Substitution</t>
      </text>
    </comment>
    <comment ref="G50" authorId="0" shapeId="0">
      <text>
        <t>Question 11 (page 11)
Source: Question Set 9: Differentiation exam questions</t>
      </text>
    </comment>
    <comment ref="J50" authorId="0" shapeId="0">
      <text>
        <t>Question 7 (page 1)
Question 8 (c) (page 1)
Source: 4a. Increasing and decreasing functions and stationary points</t>
      </text>
    </comment>
    <comment ref="G53" authorId="0" shapeId="0">
      <text>
        <t>Question 2 (page 1)
Question 6 (b) (page 5)
Question 8 (page 6)
Question 10 (b) (page 8)
Question 13 (page 11)
Question 15 (page 12)
Question 17 (a) (page 14)
Question 18 (a) (page 15)
Source: Question Set 5: Straight Line Graphs exam questions</t>
      </text>
    </comment>
    <comment ref="J53" authorId="0" shapeId="0">
      <text>
        <t>Question 1 (page 1)
Question 2 (page 1)
Question 3 (page 1)
Question 4 (page 1)
Question 5 (page 1)
Question 6 (page 1)
Question 7 (b) (page 1)
Question 8 (a,b) (page 1)
Source: 2a. Parallel and perpendicular lines</t>
      </text>
    </comment>
    <comment ref="N53" authorId="0" shapeId="0">
      <text>
        <t>Page 1: question 2
Page 1: question 4
Page 2: question 6 (ii)
Page 3: question 7 (a,b)
Source: Straight Lines</t>
      </text>
    </comment>
    <comment ref="G54" authorId="0" shapeId="0">
      <text>
        <t>Question 5 (page 4)
Question 9 (b) (page 7)
Question 17 (b) (page 14)
Source: Question Set 5: Straight Line Graphs exam questions</t>
      </text>
    </comment>
    <comment ref="J54" authorId="0" shapeId="0">
      <text>
        <t>Question 14 (page 2)
Question 15 (page 2)
Question 16 (page 2)
Question 17 (a,b) (page 2)
Source: 1a. Equations of straight lines</t>
      </text>
    </comment>
    <comment ref="N54" authorId="0" shapeId="0">
      <text>
        <t>Page 2: question 6 (i)
Page 3: question 7 (b)
Source: Straight Lines</t>
      </text>
    </comment>
    <comment ref="G55" authorId="0" shapeId="0">
      <text>
        <t>Question 4 (c) (page 3)
Question 5 (page 4)
Question 14 (page 12)
Question 16 (page 13)
Question 22 (page 19)
Source: Question Set 5: Straight Line Graphs exam questions</t>
      </text>
    </comment>
    <comment ref="J55" authorId="0" shapeId="0">
      <text>
        <t>Question 18 (page 2)
Question 19 (b) (page 2)
Source: 1a. Equations of straight lines</t>
      </text>
    </comment>
    <comment ref="N55" authorId="0" shapeId="0">
      <text>
        <t>Page 1: question 2 (iii)
Page 1: question 1 (i)
Source: Curves</t>
      </text>
    </comment>
    <comment ref="G56" authorId="0" shapeId="0">
      <text>
        <t>Question 1 (page 1)
Question 3 (a) (page 2)
Question 4 (b) (page 3)
Question 6 (a) (page 5)
Question 8 (page 6)
Question 9 (a) (page 7)
Question 10 (a) (page 8)
Question 11 (a) (page 9)
Source: Question Set 5: Straight Line Graphs exam questions</t>
      </text>
    </comment>
    <comment ref="J56" authorId="0" shapeId="0">
      <text>
        <t>Question 4 (page 1)
Question 5 (page 1)
Question 6 (page 1)
Question 7 (page 1)
Question 8 (page 1)
Question 9 (a) (page 1)
Question 19 (a) (page 2)
Source: 1a. Equations of straight lines</t>
      </text>
    </comment>
    <comment ref="N56" authorId="0" shapeId="0">
      <text>
        <t>Page 1: question 2
Page 1: question 4
Page 2: question 6 (ii)
Page 3: question 7 (a)
Source: Straight Lines</t>
      </text>
    </comment>
    <comment ref="J57" authorId="0" shapeId="0">
      <text>
        <t>Question 5 (a) (page 1)
Source: 3a. Coordinate geometry − further questions</t>
      </text>
    </comment>
    <comment ref="N57" authorId="0" shapeId="0">
      <text>
        <t>Page 1: question 5
Source: Straight Lines</t>
      </text>
    </comment>
    <comment ref="G58" authorId="0" shapeId="0">
      <text>
        <t>Question 7 (page 5)
Question 10 (c) (page 8)
Question 13 (b) (page 11)
Question 16 (page 13)
Question 18 (b) (page 15)
Source: Question Set 5: Straight Line Graphs exam questions</t>
      </text>
    </comment>
    <comment ref="J58" authorId="0" shapeId="0">
      <text>
        <t>Question 20 (page 2)
Question 21 (page 2)
Source: 1a. Equations of straight lines</t>
      </text>
    </comment>
    <comment ref="N58" authorId="0" shapeId="0">
      <text>
        <t>Page 1: question 1
Page 3: question 7 (b)
Source: Straight Lines</t>
      </text>
    </comment>
    <comment ref="G59" authorId="0" shapeId="0">
      <text>
        <t>Question 19 (page 16)
Question 21 (page 18)
Source: Question Set 5: Straight Line Graphs exam questions</t>
      </text>
    </comment>
    <comment ref="J59" authorId="0" shapeId="0">
      <text>
        <t>Page 2: question 2
Page 4: question 4
Source: Linear Models</t>
      </text>
    </comment>
    <comment ref="G60" authorId="0" shapeId="0">
      <text>
        <t>Question 3 (page 2)
Question 6 (page 4)
Question 7 (page 5)
Question 12 (page 8)
Question 14 (page 9)
Source: Question Set 3: Equations and Inequalities exam questions</t>
      </text>
    </comment>
    <comment ref="J60" authorId="0" shapeId="0">
      <text>
        <t>Question 11 (page 2)
Question 12 (page 2)
Question 13 (a) (page 2)
Question 14 (page 2)
Question 15 (page 2)
Question 16 (page 2)
Source: 14a. Graphs of functions</t>
      </text>
    </comment>
    <comment ref="N60" authorId="0" shapeId="0">
      <text>
        <t>Page 2: question 4 (ii)
Page 2: question 4 (iii)
Page 3: question 6 (ii)
Page 3: question 6 (iii)
Page 5: question 9 (iv)
Page 6: question 10 (ii)
Page 6: question 10 (iii)
Source: Graphs (Yr. 1)</t>
      </text>
    </comment>
    <comment ref="G61" authorId="0" shapeId="0">
      <text>
        <t>Question 4 (b) (page 5)
Question 7 (b) (page 10)
Question 11 (b) (page 14)
Question 15 (page 17)
Question 16 (page 18)
Question 18 (a,b) (page 20)
Question 27 (page 28)
Question 28 (page 29)
Source: Question Set 6: Circles exam questions</t>
      </text>
    </comment>
    <comment ref="J61" authorId="0" shapeId="0">
      <text>
        <t>Question 16 (page 2)
Question 17 (page 2)
Question 18 (page 2)
Question 19 (page 2)
Question 20 (page 2)
Question 21 (page 2)
Question 22 (page 2)
Question 23 (a) (page 2)
Source: 4a. Circles</t>
      </text>
    </comment>
    <comment ref="N61" authorId="0" shapeId="0">
      <text>
        <t>Page 1: question 2 (ii)
Page 1: question 3 (b)
Page 3: question 11
Source: Curves</t>
      </text>
    </comment>
    <comment ref="G62" authorId="0" shapeId="0">
      <text>
        <t>Question 2 (page 1)
Question 3 (page 1)
Question 4 (page 2)
Question 5 (page 2)
Question 6 (page 2)
Question 7 (page 3)
Question 8 (a) (page 3)
Source: Equation of a Circle</t>
      </text>
    </comment>
    <comment ref="J62" authorId="0" shapeId="0">
      <text>
        <t>Question 1 (page 1)
Question 2 (page 1)
Question 3 (page 1)
Question 4 (page 1)
Question 5 (page 1)
Question 7 (page 1)
Question 9 (page 1)
Question 10 (page 1)
Source: 4a. Circles</t>
      </text>
    </comment>
    <comment ref="N62" authorId="0" shapeId="0">
      <text>
        <t>Page 1: question 2 (i)
Page 1: question 3 (a)
Page 1: question 1 (iii)
Page 2: question 6 (a)
Page 2: question 7
Page 3: question 10
Page 3: question 9 (i)
Source: Curves</t>
      </text>
    </comment>
    <comment ref="G63" authorId="0" shapeId="0">
      <text>
        <t>Question 3 (c) (page 3)
Question 5 (c) (page 6)
Question 6 (a,b) (page 8)
Question 9 (b) (page 12)
Question 10 (page 13)
Question 13 (page 16)
Question 17 (b) (page 19)
Question 24 (a) (page 25)
Source: Question Set 6: Circles exam questions</t>
      </text>
    </comment>
    <comment ref="J63" authorId="0" shapeId="0">
      <text>
        <t>Question 6 (page 1)
Question 11 (page 1)
Question 12 (page 2)
Question 13 (page 2)
Question 14 (page 2)
Question 15 (page 2)
Question 23 (b) (page 2)
Source: 4a. Circles</t>
      </text>
    </comment>
    <comment ref="N63" authorId="0" shapeId="0">
      <text>
        <t>Page 1: question 3 (d)
Page 1: question 2 (iii)
Page 2: question 6 (b)
Page 2: question 7
Page 3: question 11
Source: Curves</t>
      </text>
    </comment>
    <comment ref="G64" authorId="0" shapeId="0">
      <text>
        <t>Question 2 (page 1)
Question 6 (a) (page 5)
Source: A Level Maths: Parametric Equations — Medium</t>
      </text>
    </comment>
    <comment ref="J64" authorId="0" shapeId="0">
      <text>
        <t>Question 1 (page 1)
Question 2 (page 1)
Source: 13a. Parametric equations</t>
      </text>
    </comment>
    <comment ref="N64" authorId="0" shapeId="0">
      <text>
        <t>Page 4: question 6 (a)
Source: Parametric Equations</t>
      </text>
    </comment>
    <comment ref="G65" authorId="0" shapeId="0">
      <text>
        <t>Question 1 (a) (page 1)
Question 4 (a) (page 3)
Question 5 (a) (page 4)
Question 6 (a) (page 5)
Question 7 (a) (page 6)
Question 8 (a) (page 7)
Source: Question Set 8: Parametric Equations exam questions</t>
      </text>
    </comment>
    <comment ref="J65" authorId="0" shapeId="0">
      <text>
        <t>Question 3 (page 1)
Question 4 (a) (page 1)
Question 5 (page 1)
Question 6 (a) (page 1)
Question 8 (page 1)
Source: 13a. Parametric equations</t>
      </text>
    </comment>
    <comment ref="N65" authorId="0" shapeId="0">
      <text>
        <t>Page 2: question 4 (b)
Page 3: question 5 (c)
Page 4: question 6 (b)
Source: Parametric Equations</t>
      </text>
    </comment>
    <comment ref="G66" authorId="0" shapeId="0">
      <text>
        <t>Question 3 (page 2)
Source: Question Set 8: Parametric Equations exam questions</t>
      </text>
    </comment>
    <comment ref="J66" authorId="0" shapeId="0">
      <text>
        <t>Question 5 (a,c) (page 1)
Question 6 (page 1)
Question 7 (page 1)
Source: 13a. Parametric equations</t>
      </text>
    </comment>
    <comment ref="G67" authorId="0" shapeId="0">
      <text>
        <t>Question 33 (b) (page 32)
Question 34 (a,b) (page 33)
Question 35 (a,b) (page 35)
Question 50 (a) (page 53)
Question 61 (page 66)
Question 71 (page 79)
Question 72 (a,b) (page 80)
Source: Question Set 9: Differentiation exam questions</t>
      </text>
    </comment>
    <comment ref="J67" authorId="0" shapeId="0">
      <text>
        <t>Question 1 (page 1)
Question 2 (page 1)
Question 3 (page 1)
Question 4 (page 1)
Question 5 (page 1)
Question 6 (page 1)
Question 7 (page 1)
Question 9 (page 2)
Source: 12a. Differentiating functions defined parametrically</t>
      </text>
    </comment>
    <comment ref="N67" authorId="0" shapeId="0">
      <text>
        <t>Page 1: question 2
Page 1: question 1 (a)
Page 2: question 4 (a)
Page 3: question 5 (d)
Source: Parametric Equations</t>
      </text>
    </comment>
    <comment ref="G68" authorId="0" shapeId="0">
      <text>
        <t>Question 4 (a) (page 4)
Source: A Level Maths: Projectiles — Medium</t>
      </text>
    </comment>
    <comment ref="J68" authorId="0" shapeId="0">
      <text>
        <t>Page 2: question 2 (a)
Page 3: question 3 (a)
Source: Kinematics - Projectiles 2</t>
      </text>
    </comment>
    <comment ref="N68" authorId="0" shapeId="0">
      <text>
        <t>Page 2: question 4 (iii)
Page 2: question 3 (i)
Page 3: question 6 (c)
Page 4: question 10 (b)
Source: Motion in 2 Dimensions</t>
      </text>
    </comment>
    <comment ref="G71" authorId="0" shapeId="0">
      <text>
        <t>Question 3 (page 1)
Question 4 (page 1)
Question 5 (page 2)
Question 6 (page 2)
Question 7 (page 3)
Question 8 (page 4)
Question 9 (page 4)
Source: The Binomial Expansion</t>
      </text>
    </comment>
    <comment ref="J71" authorId="0" shapeId="0">
      <text>
        <t>Page 1: question 1 (a)
Page 2: question 2
Page 3: question 3 (a)
Page 4: question 4
Page 5: question 5
Page 6: question 6
Source: Binomial Expansion</t>
      </text>
    </comment>
    <comment ref="N71" authorId="0" shapeId="0">
      <text>
        <t>Page 1: question 2
Page 1: question 3
Page 1: question 4
Page 1: question 6
Page 1: question 7
Page 1: question 9
Page 1: question 1
Page 1: question 5
Source: Binomial Expansions (Yr. 1)</t>
      </text>
    </comment>
    <comment ref="G72" authorId="0" shapeId="0">
      <text>
        <t>Question 2 (page 1)
Source: The Binomial Expansion</t>
      </text>
    </comment>
    <comment ref="G73" authorId="0" shapeId="0">
      <text>
        <t>Question 1 (page 1)
Question 4 (a) (page 4)
Question 7 (a,b) (page 8)
Question 11 (a) (page 15)
Question 14 (bi,bii) (page 18)
Question 15 (a) (page 20)
Question 17 (a,bi) (page 22)
Question 18 (page 23)
Source: Question Set 4: Binomial Expansion exam questions</t>
      </text>
    </comment>
    <comment ref="J73" authorId="0" shapeId="0">
      <text>
        <t>Page 1: question 2 (a)
Page 4: question 10 (a)
Page 4: question 9 (b)
Page 5: question 13 (a)
Page 5: question 14 (b,c)
Page 6: question 16 (a)
Page 7: question 17 (a)
Page 7: question 18 (c)
Source: Binomial Series</t>
      </text>
    </comment>
    <comment ref="N73" authorId="0" shapeId="0">
      <text>
        <t>Page 1: question 1
Page 1: question 4 (i)
Page 1: question 5
Page 1: question 2 (ii)
Page 2: question 6
Page 2: question 9
Page 3: question 12
Page 3: question 11
Source: Binomial Expansions (Yr. 2)</t>
      </text>
    </comment>
    <comment ref="G74" authorId="0" shapeId="0">
      <text>
        <t>Question 2 (page 2)
Question 3 (page 3)
Question 5 (page 5)
Question 6 (a,b) (page 6)
Question 8 (a,b) (page 10)
Question 10 (a) (page 13)
Question 12 (a) (page 16)
Question 13 (page 17)
Source: Question Set 4: Binomial Expansion exam questions</t>
      </text>
    </comment>
    <comment ref="J74" authorId="0" shapeId="0">
      <text>
        <t>Page 2: question 3
Page 2: question 5 (a)
Page 2: question 4 (b)
Page 3: question 8
Page 3: question 7
Page 3: question 6 (a)
Page 4: question 11 (b)
Page 5: question 12
Source: Binomial Series</t>
      </text>
    </comment>
    <comment ref="N74" authorId="0" shapeId="0">
      <text>
        <t>Page 1: question 3
Page 2: question 8 (ii)
Source: Binomial Expansions (Yr. 2)</t>
      </text>
    </comment>
    <comment ref="G75" authorId="0" shapeId="0">
      <text>
        <t>Question 4 (b) (page 4)
Question 6 (c) (page 6)
Question 8 (c) (page 10)
Question 9 (page 11)
Question 11 (b) (page 15)
Question 14 (biii) (page 18)
Source: Question Set 4: Binomial Expansion exam questions</t>
      </text>
    </comment>
    <comment ref="J75" authorId="0" shapeId="0">
      <text>
        <t>Page 1: question 2 (b,c)
Page 2: question 4 (c)
Page 3: question 6 (b)
Page 7: question 17 (b,c)
Source: Binomial Series</t>
      </text>
    </comment>
    <comment ref="N75" authorId="0" shapeId="0">
      <text>
        <t>Page 2: question 7 (a,d)
Source: Binomial Expansions (Yr. 2)</t>
      </text>
    </comment>
    <comment ref="G77" authorId="0" shapeId="0">
      <text>
        <t>Question 14 (page 17)
Question 15 (a,b) (page 18)
Question 16 (page 19)
Question 17 (page 20)
Question 18 (page 21)
Question 29 (page 33)
Source: Question Set 3: Sequences and Series exam questions</t>
      </text>
    </comment>
    <comment ref="J77" authorId="0" shapeId="0">
      <text>
        <t>Page 1: question 1
Page 1: question 2 (a,b)
Page 2: question 3
Page 2: question 4 (a,b,c)
Page 3: question 5 (a,b)
Page 4: question 6 (a)
Page 5: question 9
Page 5: question 8 (a)
Source: General Sequences and Series 1</t>
      </text>
    </comment>
    <comment ref="N77" authorId="0" shapeId="0">
      <text>
        <t>Page 1: question 3
Page 1: question 2 (ii)
Page 2: question 4
Source: Sequences</t>
      </text>
    </comment>
    <comment ref="G78" authorId="0" shapeId="0">
      <text>
        <t>Question 15 (c) (page 18)
Question 20 (b) (page 24)
Question 24 (c) (page 28)
Source: Question Set 3: Sequences and Series exam questions</t>
      </text>
    </comment>
    <comment ref="J78" authorId="0" shapeId="0">
      <text>
        <t>Page 1: question 2 (c)
Page 3: question 5 (c)
Page 4: question 6 (b)
Source: General Sequences and Series 1</t>
      </text>
    </comment>
    <comment ref="N78" authorId="0" shapeId="0">
      <text>
        <t>Page 1: question 3
Page 1: question 2 (i)
Source: Sequences</t>
      </text>
    </comment>
    <comment ref="G79" authorId="0" shapeId="0">
      <text>
        <t>Question 15 (c) (page 18)
Question 20 (a) (page 24)
Question 22 (page 26)
Question 24 (c) (page 28)
Question 28 (page 32)
Question 30 (page 34)
Question 31 (a) (page 35)
Question 35 (page 40)
Source: Question Set 3: Sequences and Series exam questions</t>
      </text>
    </comment>
    <comment ref="J79" authorId="0" shapeId="0">
      <text>
        <t>Page 1: question 1
Page 2: question 2 (c)
Page 5: question 5
Source: Sequences and Series</t>
      </text>
    </comment>
    <comment ref="N79" authorId="0" shapeId="0">
      <text>
        <t>Page 1: question 2 (i)
Page 1: question 3
Page 2: question 5
Page 2: question 4
Source: Sequences</t>
      </text>
    </comment>
    <comment ref="G80" authorId="0" shapeId="0">
      <text>
        <t>Question 16 (b) (page 19)
Question 20 (b) (page 24)
Question 24 (page 28)
Question 25 (page 29)
Source: Question Set 3: Sequences and Series exam questions</t>
      </text>
    </comment>
    <comment ref="J80" authorId="0" shapeId="0">
      <text>
        <t>Page 4: question 4
Page 5: question 5
Source: Sequences and Series</t>
      </text>
    </comment>
    <comment ref="N80" authorId="0" shapeId="0">
      <text>
        <t>Page 1: question 1
Page 2: question 6
Source: Sequences</t>
      </text>
    </comment>
    <comment ref="N81" authorId="0" shapeId="0">
      <text>
        <t>Page 1: question 1
Page 2: question 6
Source: Sequences</t>
      </text>
    </comment>
    <comment ref="G82" authorId="0" shapeId="0">
      <text>
        <t>Question 2 (page 2)
Question 4 (a) (page 5)
Question 5 (a) (page 6)
Question 30 (page 34)
Question 36 (a) (page 41)
Question 37 (page 42)
Source: Question Set 3: Sequences and Series exam questions</t>
      </text>
    </comment>
    <comment ref="J82" authorId="0" shapeId="0">
      <text>
        <t>Page 2: question 4 (a,b)
Page 3: question 6 (a,b)
Page 9: question 13 (a,b)
Page 9: question 14 (a,b)
Page 9: question 15 (a,b)
Page 10: question 17 (b)
Source: Arithmetic Series</t>
      </text>
    </comment>
    <comment ref="N82" authorId="0" shapeId="0">
      <text>
        <t>Page 1: question 1
Page 1: question 4 (ii)
Page 1: question 3
Page 1: question 2 (ii)
Source: Arithmetic Series</t>
      </text>
    </comment>
    <comment ref="G83" authorId="0" shapeId="0">
      <text>
        <t>Question 1 (page 1)
Question 3 (page 3)
Question 4 (b) (page 5)
Question 5 (b) (page 6)
Question 26 (page 30)
Question 27 (page 31)
Question 31 (page 35)
Question 36 (page 41)
Source: Question Set 3: Sequences and Series exam questions</t>
      </text>
    </comment>
    <comment ref="J83" authorId="0" shapeId="0">
      <text>
        <t>Page 2: question 4
Page 3: question 6
Page 6: question 9
Page 7: question 11 (c,d)
Page 9: question 14
Page 9: question 15 (c)
Page 9: question 13 (c)
Page 10: question 17 (b,c)
Source: Arithmetic Series</t>
      </text>
    </comment>
    <comment ref="N83" authorId="0" shapeId="0">
      <text>
        <t>Page 1: question 3
Page 1: question 1 (ii)
Page 1: question 2 (ii)
Page 1: question 4 (ii)
Page 2: question 6
Source: Arithmetic Series</t>
      </text>
    </comment>
    <comment ref="G84" authorId="0" shapeId="0">
      <text>
        <t>Question 9 (a,b) (page 10)
Question 10 (a,b) (page 11)
Question 12 (a,b,c) (page 14)
Question 13 (a) (page 16)
Question 21 (a) (page 25)
Question 32 (b) (page 36)
Source: Question Set 3: Sequences and Series exam questions</t>
      </text>
    </comment>
    <comment ref="J84" authorId="0" shapeId="0">
      <text>
        <t>Page 2: question 3 (a,b)
Page 3: question 4 (a,b,c)
Page 4: question 6 (a,b)
Page 8: question 13 (a,b)
Page 8: question 14 (a,b)
Page 10: question 17 (a,b)
Source: Geometric Series 1</t>
      </text>
    </comment>
    <comment ref="N84" authorId="0" shapeId="0">
      <text>
        <t>Page 1: question 4
Page 1: question 1 (ii)
Page 2: question 6
Page 2: question 9
Source: Geometric Series</t>
      </text>
    </comment>
    <comment ref="G85" authorId="0" shapeId="0">
      <text>
        <t>Question 8 (page 9)
Question 9 (c) (page 10)
Question 10 (c) (page 11)
Question 11 (c) (page 13)
Question 13 (b) (page 16)
Question 21 (b) (page 25)
Question 33 (page 38)
Question 35 (page 40)
Source: Question Set 3: Sequences and Series exam questions</t>
      </text>
    </comment>
    <comment ref="J85" authorId="0" shapeId="0">
      <text>
        <t>Page 2: question 3 (c)
Page 3: question 5 (a,c,d)
Page 4: question 6 (c)
Page 5: question 8 (a,b)
Page 5: question 9 (d,e)
Page 6: question 10 (b,c,d)
Page 8: question 13 (c)
Page 9: question 16 (b,c,d)
Source: Geometric Series 1</t>
      </text>
    </comment>
    <comment ref="N85" authorId="0" shapeId="0">
      <text>
        <t>Page 1: question 1 (ii)
Page 1: question 4
Page 2: question 8 (c)
Source: Geometric Series</t>
      </text>
    </comment>
    <comment ref="G86" authorId="0" shapeId="0">
      <text>
        <t>Question 10 (d) (page 11)
Question 11 (a,b) (page 13)
Question 12 (d) (page 14)
Question 22 (a) (page 26)
Question 32 (a) (page 36)
Question 38 (page 42)
Source: Question Set 3: Sequences and Series exam questions</t>
      </text>
    </comment>
    <comment ref="J86" authorId="0" shapeId="0">
      <text>
        <t>Page 5: question 9 (a,b,c)
Page 5: question 8 (c,d)
Page 6: question 10 (a)
Page 8: question 14 (c)
Page 8: question 15 (c,d)
Page 8: question 13 (d)
Page 9: question 16 (a)
Page 10: question 17 (c)
Source: Geometric Series 1</t>
      </text>
    </comment>
    <comment ref="N86" authorId="0" shapeId="0">
      <text>
        <t>Page 1: question 3
Page 1: question 2
Page 2: question 5
Page 2: question 7
Source: Geometric Series</t>
      </text>
    </comment>
    <comment ref="G87" authorId="0" shapeId="0">
      <text>
        <t>Question 4 (page 5)
Question 6 (page 7)
Question 7 (page 8)
Question 13 (page 16)
Question 21 (page 25)
Question 23 (page 27)
Question 33 (page 38)
Question 34 (page 39)
Source: Question Set 3: Sequences and Series exam questions</t>
      </text>
    </comment>
    <comment ref="J87" authorId="0" shapeId="0">
      <text>
        <t>Page 1: question 1
Page 1: question 2
Page 4: question 7
Page 7: question 11 (b,c)
Page 7: question 12
Source: Geometric Series 1</t>
      </text>
    </comment>
    <comment ref="N87" authorId="0" shapeId="0">
      <text>
        <t>Page 2: question 5
Source: Arithmetic Series</t>
      </text>
    </comment>
    <comment ref="G90" authorId="0" shapeId="0">
      <text>
        <t>Question 21 (page 18)
Source: Question Set 10: Trigonometric Identities and Equations exam questions</t>
      </text>
    </comment>
    <comment ref="J90" authorId="0" shapeId="0">
      <text>
        <t>Question 2 (page 1)
Source: 2a. Trigonometric ratios and graphs</t>
      </text>
    </comment>
    <comment ref="G91" authorId="0" shapeId="0">
      <text>
        <t>Question 9 (a) (page 7)
Question 17 (a,b) (page 14)
Question 28 (a) (page 25)
Source: Question Set 10: Trigonometric Identities and Equations exam questions</t>
      </text>
    </comment>
    <comment ref="J91" authorId="0" shapeId="0">
      <text>
        <t>Question 5 (page 1)
Question 6 (page 1)
Question 7 (page 2)
Question 8 (page 2)
Question 9 (page 2)
Question 10 (page 2)
Question 11 (page 2)
Question 12 (page 2)
Source: 2a. Trigonometric ratios and graphs</t>
      </text>
    </comment>
    <comment ref="N91" authorId="0" shapeId="0">
      <text>
        <t>Page 2: question 5 (a,b)
Source: Proofs and Problems</t>
      </text>
    </comment>
    <comment ref="G92" authorId="0" shapeId="0">
      <text>
        <t>Question 1 (b) (page 1)
Question 2 (b) (page 2)
Question 4 (a) (page 5)
Question 7 (a) (page 8)
Question 8 (a) (page 9)
Question 11 (b) (page 13)
Question 12 (page 14)
Question 20 (page 22)
Source: Question Set 9: Trigonometric Ratios exam questions</t>
      </text>
    </comment>
    <comment ref="J92" authorId="0" shapeId="0">
      <text>
        <t>Question 8 (page 2)
Question 11 (page 2)
Question 12 (page 2)
Source: 1a. The sine rule and the cosine rule</t>
      </text>
    </comment>
    <comment ref="N92" authorId="0" shapeId="0">
      <text>
        <t>Page 1: question 1
Page 2: question 4 (a)
Source: Area of Triangles - Sine and Cosine Rules</t>
      </text>
    </comment>
    <comment ref="G93" authorId="0" shapeId="0">
      <text>
        <t>Question 1 (a) (page 1)
Question 2 (a) (page 2)
Question 3 (b,c) (page 3)
Question 5 (page 6)
Question 6 (page 7)
Question 9 (page 11)
Question 11 (a) (page 13)
Question 16 (page 17)
Source: Question Set 9: Trigonometric Ratios exam questions</t>
      </text>
    </comment>
    <comment ref="J93" authorId="0" shapeId="0">
      <text>
        <t>Question 1 (page 1)
Question 2 (page 1)
Question 3 (page 1)
Question 4 (page 1)
Question 5 (page 1)
Question 6 (page 1)
Question 9 (page 2)
Question 10 (page 2)
Source: 1a. The sine rule and the cosine rule</t>
      </text>
    </comment>
    <comment ref="N93" authorId="0" shapeId="0">
      <text>
        <t>Page 1: question 2
Page 1: question 1
Page 2: question 3
Page 2: question 5
Page 2: question 6
Page 2: question 4 (a)
Page 3: question 7
Source: Area of Triangles - Sine and Cosine Rules</t>
      </text>
    </comment>
    <comment ref="G94" authorId="0" shapeId="0">
      <text>
        <t>Question 10 (page 8)
Question 11 (a) (page 9)
Question 12 (a) (page 10)
Question 14 (a) (page 12)
Question 16 (page 13)
Question 28 (b) (page 25)
Question 29 (page 26)
Question 30 (page 26)
Source: Question Set 10: Trigonometric Identities and Equations exam questions</t>
      </text>
    </comment>
    <comment ref="J94" authorId="0" shapeId="0">
      <text>
        <t>Question 1 (page 1)
Question 3 (a,b,g,h,k) (page 1)
Question 4 (d) (page 1)
Question 5 (b) (page 1)
Question 6 (a) (page 1)
Source: 3a. Using trigonometric identities</t>
      </text>
    </comment>
    <comment ref="N94" authorId="0" shapeId="0">
      <text>
        <t>Page 1: question 3 (i)
Page 1: question 2
Page 1: question 1 (i)
Source: Identities</t>
      </text>
    </comment>
    <comment ref="G95" authorId="0" shapeId="0">
      <text>
        <t>Question 6 (a) (page 4)
Question 7 (a) (page 5)
Question 8 (page 6)
Question 13 (a) (page 11)
Question 19 (a) (page 16)
Question 21 (page 18)
Question 23 (page 20)
Question 24 (a) (page 21)
Source: Question Set 10: Trigonometric Identities and Equations exam questions</t>
      </text>
    </comment>
    <comment ref="J95" authorId="0" shapeId="0">
      <text>
        <t>Question 2 (page 1)
Question 3 (c,d,e,f,i,j,l) (page 1)
Question 4 (e,f) (page 1)
Question 5 (a,c,d) (page 1)
Question 6 (page 1)
Question 7 (page 1)
Source: 3a. Using trigonometric identities</t>
      </text>
    </comment>
    <comment ref="N95" authorId="0" shapeId="0">
      <text>
        <t>Page 1: question 1 (i)
Page 1: question 3 (i)
Page 1: question 2
Source: Identities</t>
      </text>
    </comment>
    <comment ref="G96" authorId="0" shapeId="0">
      <text>
        <t>Question 1 (page 1)
Question 2 (page 2)
Question 3 (page 2)
Question 4 (page 3)
Question 5 (page 3)
Question 6 (b) (page 4)
Question 7 (b) (page 5)
Question 25 (page 22)
Source: Question Set 10: Trigonometric Identities and Equations exam questions</t>
      </text>
    </comment>
    <comment ref="J96" authorId="0" shapeId="0">
      <text>
        <t>Question 1 (page 1)
Question 3 (page 1)
Question 4 (page 1)
Question 5 (page 1)
Question 6 (page 2)
Question 7 (page 2)
Question 8 (page 2)
Question 9 (page 2)
Source: 4a. Trigonometric Equations</t>
      </text>
    </comment>
    <comment ref="N96" authorId="0" shapeId="0">
      <text>
        <t>Page 1: question 1
Page 1: question 4
Page 1: question 3
Source: Equations</t>
      </text>
    </comment>
    <comment ref="J97" authorId="0" shapeId="0">
      <text>
        <t>Question 2 (page 1)
Question 4 (page 1)
Source: 2a. Trigonometric ratios and graphs</t>
      </text>
    </comment>
    <comment ref="N97" authorId="0" shapeId="0">
      <text>
        <t>Page 1: question 2
Source: Radians</t>
      </text>
    </comment>
    <comment ref="G98" authorId="0" shapeId="0">
      <text>
        <t>Question 20 (page 27)
Source: Question Set 2: Functions and Graphs exam questions</t>
      </text>
    </comment>
    <comment ref="J98" authorId="0" shapeId="0">
      <text>
        <t>Question 1 (page 1)
Question 2 (page 1)
Question 3 (page 1)
Question 4 (page 1)
Question 5 (page 1)
Question 7 (page 1)
Question 8 (page 1)
Question 9 (page 1)
Source: 03a. Inverse trigonometric functions</t>
      </text>
    </comment>
    <comment ref="N98" authorId="0" shapeId="0">
      <text>
        <t>Page 1: question 2
Source: Equations</t>
      </text>
    </comment>
    <comment ref="G99" authorId="0" shapeId="0">
      <text>
        <t>Question 10 (page 13)
Source: Question Set 5: Radians exam questions</t>
      </text>
    </comment>
    <comment ref="J99" authorId="0" shapeId="0">
      <text>
        <t>Question 1 (page 1)
Question 2 (page 1)
Question 3 (page 1)
Question 4 (page 1)
Source: 01a. Radians, arcs and sectors</t>
      </text>
    </comment>
    <comment ref="G100" authorId="0" shapeId="0">
      <text>
        <t>Question 5 (page 5)
Question 6 (b) (page 6)
Question 7 (a,b,c) (page 8)
Question 8 (a,b) (page 10)
Question 12 (b) (page 15)
Question 13 (page 17)
Question 17 (page 21)
Question 18 (page 22)
Source: Question Set 5: Radians exam questions</t>
      </text>
    </comment>
    <comment ref="J100" authorId="0" shapeId="0">
      <text>
        <t>Question 5 (page 1)
Question 6 (page 1)
Question 7 (page 1)
Question 8 (page 1)
Question 9 (page 2)
Question 10 (page 2)
Question 11 (page 2)
Question 12 (page 2)
Source: 01a. Radians, arcs and sectors</t>
      </text>
    </comment>
    <comment ref="N100" authorId="0" shapeId="0">
      <text>
        <t>Page 1: question 1 (i)
Page 2: question 5
Page 2: question 3
Page 2: question 6
Page 3: question 7
Page 3: question 8 (d)
Page 4: question 10
Source: Radians</t>
      </text>
    </comment>
    <comment ref="G101" authorId="0" shapeId="0">
      <text>
        <t>Question 1 (page 1)
Question 2 (page 2)
Question 3 (page 3)
Question 4 (page 4)
Question 11 (page 14)
Question 14 (page 18)
Question 15 (page 19)
Question 16 (page 20)
Source: Question Set 5: Radians exam questions</t>
      </text>
    </comment>
    <comment ref="J101" authorId="0" shapeId="0">
      <text>
        <t>Page 1: question 1
Page 2: question 2 (a)
Source: Small Angle Approximation</t>
      </text>
    </comment>
    <comment ref="N101" authorId="0" shapeId="0">
      <text>
        <t>Page 4: question 9
Source: Radians</t>
      </text>
    </comment>
    <comment ref="G102" authorId="0" shapeId="0">
      <text>
        <t>Question 2 (page 3)
Question 3 (page 4)
Question 4 (page 5)
Question 5 (page 6)
Question 6 (page 7)
Question 7 (page 7)
Question 15 (a) (page 16)
Source: Question Set 6: Trigonometric Functions exam questions</t>
      </text>
    </comment>
    <comment ref="J102" authorId="0" shapeId="0">
      <text>
        <t>Question 1 (page 1)
Question 2 (page 1)
Question 4 (page 1)
Question 5 (page 1)
Question 6 (page 1)
Question 10 (page 2)
Question 12 (page 2)
Question 15 (page 2)
Source: 04a. Secant, cosecant and cotangent</t>
      </text>
    </comment>
    <comment ref="N102" authorId="0" shapeId="0">
      <text>
        <t>Page 1: question 2
Page 1: question 4 (a)
Source: Secant, Cosecant, Cotangenet</t>
      </text>
    </comment>
    <comment ref="G103" authorId="0" shapeId="0">
      <text>
        <t>Question 1 (page 2)
Source: Question Set 6: Trigonometric Functions exam questions</t>
      </text>
    </comment>
    <comment ref="J103" authorId="0" shapeId="0">
      <text>
        <t>Question 7 (page 1)
Question 8 (page 1)
Question 9 (page 1)
Source: 04a. Secant, cosecant and cotangent</t>
      </text>
    </comment>
    <comment ref="G104" authorId="0" shapeId="0">
      <text>
        <t>Question 8 (page 8)
Question 9 (page 9)
Question 10 (page 10)
Question 11 (page 11)
Question 12 (a) (page 12)
Question 13 (page 13)
Question 16 (a) (page 17)
Question 18 (page 19)
Source: Question Set 6: Trigonometric Functions exam questions</t>
      </text>
    </comment>
    <comment ref="J104" authorId="0" shapeId="0">
      <text>
        <t>Question 1 (page 1)
Question 2 (page 1)
Question 3 (page 1)
Question 4 (page 1)
Question 5 (page 1)
Question 6 (page 1)
Question 7 (page 1)
Question 8 (page 1)
Source: 05a. Pythagorean identities</t>
      </text>
    </comment>
    <comment ref="N104" authorId="0" shapeId="0">
      <text>
        <t>Page 1: question 1
Page 1: question 3
Source: Secant, Cosecant, Cotangenet</t>
      </text>
    </comment>
    <comment ref="G105" authorId="0" shapeId="0">
      <text>
        <t>Question 2 (a) (page 4)
Question 3 (a) (page 5)
Question 16 (a) (page 21)
Question 18 (a) (page 24)
Question 24 (page 30)
Question 25 (a) (page 31)
Question 27 (page 33)
Source: Question Set 7: Trigonometry and Modelling exam questions</t>
      </text>
    </comment>
    <comment ref="J105" authorId="0" shapeId="0">
      <text>
        <t>Question 1 (page 1)
Question 2 (page 1)
Question 3 (page 1)
Question 4 (page 1)
Question 7 (page 1)
Question 8 (page 1)
Question 9 (page 1)
Question 11 (page 2)
Source: 06a. Addition and double angle formulae</t>
      </text>
    </comment>
    <comment ref="N105" authorId="0" shapeId="0">
      <text>
        <t>Page 1: question 1
Page 1: question 4 (b)
Page 2: question 6 (b)
Page 3: question 8 (b)
Source: Compound Angle Formulae</t>
      </text>
    </comment>
    <comment ref="G106" authorId="0" shapeId="0">
      <text>
        <t>Question 1 (page 2)
Question 4 (page 6)
Question 5 (page 7)
Question 6 (page 7)
Question 15 (page 20)
Question 20 (page 26)
Question 21 (page 27)
Question 22 (page 28)
Source: Question Set 7: Trigonometry and Modelling exam questions</t>
      </text>
    </comment>
    <comment ref="J106" authorId="0" shapeId="0">
      <text>
        <t>Question 12 (page 2)
Question 13 (page 2)
Question 14 (page 2)
Question 15 (page 2)
Question 16 (page 2)
Question 17 (page 2)
Source: 06a. Addition and double angle formulae</t>
      </text>
    </comment>
    <comment ref="N106" authorId="0" shapeId="0">
      <text>
        <t>Page 1: question 2
Page 1: question 1 (ii)
Page 2: question 4
Source: Proofs and Problems</t>
      </text>
    </comment>
    <comment ref="G107" authorId="0" shapeId="0">
      <text>
        <t>Question 7 (page 8)
Question 8 (page 10)
Question 9 (page 11)
Question 10 (page 13)
Question 13 (page 17)
Question 23 (page 29)
Question 26 (a) (page 32)
Question 28 (page 34)
Source: Question Set 7: Trigonometry and Modelling exam questions</t>
      </text>
    </comment>
    <comment ref="J107" authorId="0" shapeId="0">
      <text>
        <t>Question 1 (page 1)
Question 2 (page 1)
Question 3 (page 1)
Question 4 (page 1)
Question 5 (page 1)
Question 6 (page 1)
Question 7 (page 1)
Question 8 (page 1)
Source: 07a. The expression a cos x + b sin x</t>
      </text>
    </comment>
    <comment ref="N107" authorId="0" shapeId="0">
      <text>
        <t>Page 1: question 3
Page 1: question 2 (i,ii)
Page 2: question 5 (a,b)
Page 3: question 9 (a,b)
Page 3: question 10 (a,b)
Page 3: question 7 (a,b)
Page 4: question 11 (a,b)
Page 4: question 12 (b)
Source: Compound Angle Formulae</t>
      </text>
    </comment>
    <comment ref="G108" authorId="0" shapeId="0">
      <text>
        <t>Question 4 (page 6)
Question 12 (page 16)
Question 14 (c) (page 18)
Question 15 (page 20)
Question 18 (b) (page 24)
Question 21 (b) (page 27)
Question 24 (page 30)
Question 27 (page 33)
Source: Question Set 7: Trigonometry and Modelling exam questions</t>
      </text>
    </comment>
    <comment ref="J108" authorId="0" shapeId="0">
      <text>
        <t>Question 1 (page 1)
Question 2 (page 1)
Question 3 (b) (page 1)
Question 6 (b) (page 1)
Question 7 (b) (page 2)
Question 8 (b) (page 2)
Question 9 (b) (page 2)
Question 10 (b,c) (page 2)
Source: 13a. Mixed exam-style questions on trigonometry</t>
      </text>
    </comment>
    <comment ref="N108" authorId="0" shapeId="0">
      <text>
        <t>Page 1: question 3
Page 1: question 1
Page 1: question 2
Page 1: question 4 (b)
Source: Secant, Cosecant, Cotangenet</t>
      </text>
    </comment>
    <comment ref="G109" authorId="0" shapeId="0">
      <text>
        <t>Question 2 (a) (page 4)
Question 6 (page 7)
Question 14 (a) (page 18)
Question 16 (a) (page 21)
Question 18 (a) (page 24)
Question 20 (a) (page 26)
Question 21 (a) (page 27)
Question 22 (page 28)
Source: Question Set 7: Trigonometry and Modelling exam questions</t>
      </text>
    </comment>
    <comment ref="J109" authorId="0" shapeId="0">
      <text>
        <t>Question 5 (a) (page 1)
Question 7 (a) (page 1)
Question 8 (a) (page 2)
Question 10 (a) (page 2)
Question 11 (a) (page 2)
Source: 12a. Mixed exam-style questions on trigonometry</t>
      </text>
    </comment>
    <comment ref="N109" authorId="0" shapeId="0">
      <text>
        <t>Page 1: question 1 (i,ii)
Page 1: question 3
Source: Proofs and Problems</t>
      </text>
    </comment>
    <comment ref="G110" authorId="0" shapeId="0">
      <text>
        <t>Question 11 (page 15)
Question 17 (b,c) (page 22)
Source: Question Set 7: Trigonometry and Modelling exam questions</t>
      </text>
    </comment>
    <comment ref="J110" authorId="0" shapeId="0">
      <text>
        <t>Page 1: question 1 (b,c)
Page 2: question 2
Page 4: question 4 (b,c)
Page 5: question 5 (b,c)
Source: Modelling with Trigonometric Functions</t>
      </text>
    </comment>
    <comment ref="N110" authorId="0" shapeId="0">
      <text>
        <t>Page 2: question 5
Source: Proofs and Problems</t>
      </text>
    </comment>
    <comment ref="J113" authorId="0" shapeId="0">
      <text>
        <t>Question 7 (page 1)
Question 8 (a) (page 1)
Source: 1a. Exponential graphs and using logarithms to solve equations</t>
      </text>
    </comment>
    <comment ref="N113" authorId="0" shapeId="0">
      <text>
        <t>Page 1: question 2 (i)
Page 4: question 7 (i)
Page 8: question 14 (a)
Source: Exponentials and Logarithms, Exponential Growth and Decay</t>
      </text>
    </comment>
    <comment ref="G114" authorId="0" shapeId="0">
      <text>
        <t>Question 1 (a,b) (page 1)
Source: A Level Maths: Exponentials and Logarithms — Medium</t>
      </text>
    </comment>
    <comment ref="J114" authorId="0" shapeId="0">
      <text>
        <t>Question 1 (page 1)
Question 2 (page 1)
Question 4 (page 1)
Source: 3a. Laws of logarithms</t>
      </text>
    </comment>
    <comment ref="N114" authorId="0" shapeId="0">
      <text>
        <t>Page 6: question 11 (b)
Source: Exponentials and Logarithms, Exponential Growth and Decay</t>
      </text>
    </comment>
    <comment ref="G115" authorId="0" shapeId="0">
      <text>
        <t>Question 3 (b) (page 4)
Question 8 (b,c) (page 10)
Source: Question Set 2: Functions and Graphs exam questions</t>
      </text>
    </comment>
    <comment ref="J115" authorId="0" shapeId="0">
      <text>
        <t>Page 2: question 2 (b,d,e)
Page 4: question 5 (a)
Page 4: question 6 (b)
Page 5: question 7 (a)
Source: Graphs of Exponentials and Logs</t>
      </text>
    </comment>
    <comment ref="N115" authorId="0" shapeId="0">
      <text>
        <t>Page 2: question 3 (a,b)
Source: Exponentials and Natural Logarithms</t>
      </text>
    </comment>
    <comment ref="G116" authorId="0" shapeId="0">
      <text>
        <t>Question 3 (page 1)
Question 5 (page 2)
Question 6 (page 2)
Question 7 (page 3)
Question 9 (a) (page 4)
Source: A Level Maths: Exponentials and Logarithms — Medium</t>
      </text>
    </comment>
    <comment ref="J116" authorId="0" shapeId="0">
      <text>
        <t>Question 1 (page 1)
Question 3 (page 1)
Question 4 (a,b,c,e) (page 1)
Question 6 (page 1)
Question 7 (page 1)
Question 8 (page 1)
Source: 4a. Laws of logarithms − further questions</t>
      </text>
    </comment>
    <comment ref="N116" authorId="0" shapeId="0">
      <text>
        <t>Page 3: question 5
Page 5: question 9 (i)
Page 6: question 11 (a,b)
Page 9: question 17
Source: Exponentials and Logarithms, Exponential Growth and Decay</t>
      </text>
    </comment>
    <comment ref="G117" authorId="0" shapeId="0">
      <text>
        <t>Question 1 (a) (page 1)
Source: A Level Maths: Exponentials and Logarithms — Medium</t>
      </text>
    </comment>
    <comment ref="J117" authorId="0" shapeId="0">
      <text>
        <t>Question 2 (d,h) (page 1)
Question 3 (f,g) (page 1)
Question 4 (f,g) (page 1)
Source: 3a. Laws of logarithms</t>
      </text>
    </comment>
    <comment ref="N117" authorId="0" shapeId="0">
      <text>
        <t>Page 5: question 9 (i)
Page 8: question 13 (a,b)
Source: Exponentials and Logarithms, Exponential Growth and Decay</t>
      </text>
    </comment>
    <comment ref="G118" authorId="0" shapeId="0">
      <text>
        <t>Question 1 (page 1)
Question 2 (page 1)
Source: Exam Booklet</t>
      </text>
    </comment>
    <comment ref="J118" authorId="0" shapeId="0">
      <text>
        <t>Question 2 (page 1)
Question 5 (page 1)
Question 6 (page 1)
Source: 1a. Exponential graphs and using logarithms to solve equations</t>
      </text>
    </comment>
    <comment ref="N118" authorId="0" shapeId="0">
      <text>
        <t>Page 1: question 2 (ii)
Page 2: question 3 (iii)
Page 3: question 5
Page 4: question 7 (ii)
Page 5: question 9 (ii)
Page 10: question 18 (c)
Source: Exponentials and Logarithms, Exponential Growth and Decay</t>
      </text>
    </comment>
    <comment ref="G119" authorId="0" shapeId="0">
      <text>
        <t>Question 6 (c) (page 10)
Question 7 (page 10)
Question 8 (a) (page 11)
Question 9 (b) (page 13)
Source: Question Set 1: Regression, Correlation and Hypothesis Testing exam questions</t>
      </text>
    </comment>
    <comment ref="J119" authorId="0" shapeId="0">
      <text>
        <t>Page 1: question 1
Page 2: question 2
Page 6: question 6
Page 9: question 9
Source: Laws of Logarithms</t>
      </text>
    </comment>
    <comment ref="N119" authorId="0" shapeId="0">
      <text>
        <t>Page 1: question 1 (i,ii,iii)
Page 3: question 4 (i,ii,iii)
Page 4: question 6
Page 5: question 8 (i,ii)
Page 6: question 10 (a,b)
Page 7: question 12 (b)
Page 9: question 16 (a,b)
Page 10: question 18 (d)
Source: Exponentials and Logarithms, Exponential Growth and Decay</t>
      </text>
    </comment>
    <comment ref="G120" authorId="0" shapeId="0">
      <text>
        <t>Question 13 (a,b) (page 12)
Source: Exam Booklet</t>
      </text>
    </comment>
    <comment ref="J120" authorId="0" shapeId="0">
      <text>
        <t>Question 5 (page 1)
Question 10 (a,b,c) (page 1)
Question 12 (page 2)
Source: 2a. e and ln x</t>
      </text>
    </comment>
    <comment ref="N120" authorId="0" shapeId="0">
      <text>
        <t>Page 3: question 4 (a,b)
Source: Exponentials and Natural Logarithms</t>
      </text>
    </comment>
    <comment ref="G121" authorId="0" shapeId="0">
      <text>
        <t>Question 10 (b) (page 8)
Question 12 (a) (page 10)
Source: Exam Booklet</t>
      </text>
    </comment>
    <comment ref="J121" authorId="0" shapeId="0">
      <text>
        <t>Page 3: question 3 (c)
Page 4: question 4 (b)
Page 5: question 5 (b)
Page 6: question 6 (b)
Source: Exponential Equations</t>
      </text>
    </comment>
    <comment ref="N121" authorId="0" shapeId="0">
      <text>
        <t>Page 1: question 2 (a,b)
Page 2: question 3 (d)
Source: Exponentials and Natural Logarithms</t>
      </text>
    </comment>
    <comment ref="G122" authorId="0" shapeId="0">
      <text>
        <t>Question 6 (page 4)
Question 7 (page 5)
Question 9 (page 7)
Question 13 (b) (page 12)
Source: Exam Booklet</t>
      </text>
    </comment>
    <comment ref="J122" authorId="0" shapeId="0">
      <text>
        <t>Question 2 (page 1)
Question 3 (page 1)
Question 4 (page 1)
Question 6 (page 1)
Question 10 (d,e,f) (page 1)
Question 11 (page 2)
Source: 2a. e and ln x</t>
      </text>
    </comment>
    <comment ref="N122" authorId="0" shapeId="0">
      <text>
        <t>Page 1: question 1
Page 2: question 3 (e)
Source: Exponentials and Natural Logarithms</t>
      </text>
    </comment>
    <comment ref="G123" authorId="0" shapeId="0">
      <text>
        <t>Question 10 (a,c) (page 8)
Question 11 (page 9)
Question 12 (b,c) (page 10)
Source: Exam Booklet</t>
      </text>
    </comment>
    <comment ref="J123" authorId="0" shapeId="0">
      <text>
        <t>Page 4: question 4 (a,b,c)
Page 6: question 6
Page 7: question 7
Page 10: question 10
Page 11: question 11
Page 14: question 14
Page 15: question 15 (a,c)
Source: Exponential Equations</t>
      </text>
    </comment>
    <comment ref="N123" authorId="0" shapeId="0">
      <text>
        <t>Page 2: question 3
Page 3: question 4 (iv,v)
Page 6: question 10 (c,d)
Page 8: question 15 (d,e)
Page 10: question 18 (a,b,c)
Source: Exponentials and Logarithms, Exponential Growth and Decay</t>
      </text>
    </comment>
    <comment ref="G126" authorId="0" shapeId="0">
      <text>
        <t>Question 9 (page 9)
Source: Exam Booklet</t>
      </text>
    </comment>
    <comment ref="J126" authorId="0" shapeId="0">
      <text>
        <t>Question 1 (page 1)
Question 2 (page 1)
Question 6 (page 1)
Question 7 (page 1)
Question 16 (page 2)
Source: 2a. Gradients, tangents, normals and rates of change</t>
      </text>
    </comment>
    <comment ref="N126" authorId="0" shapeId="0">
      <text>
        <t>Page 1: question 2
Page 1: question 3
Page 1: question 5 (i)
Source: Basic Differentiation</t>
      </text>
    </comment>
    <comment ref="G127" authorId="0" shapeId="0">
      <text>
        <t>Question 2 (page 1)
Question 3 (page 2)
Question 4 (page 2)
Question 5 (page 3)
Question 6 (page 3)
Question 7 (page 4)
Question 8 (page 4)
Source: Differentiation from first principles</t>
      </text>
    </comment>
    <comment ref="J127" authorId="0" shapeId="0">
      <text>
        <t>Question 1 (page 1)
Question 2 (page 1)
Question 4 (page 1)
Question 5 (a) (page 1)
Source: 1a. Gradient of a curve</t>
      </text>
    </comment>
    <comment ref="N127" authorId="0" shapeId="0">
      <text>
        <t>Page 2: question 4 (i,ii,iii)
Source: Applications of Differentiation to Functions and Graphs (Yr. 1)</t>
      </text>
    </comment>
    <comment ref="G128" authorId="0" shapeId="0">
      <text>
        <t>Question 10 (b) (page 8)
Question 12 (a) (page 10)
Source: Exam Booklet</t>
      </text>
    </comment>
    <comment ref="J128" authorId="0" shapeId="0">
      <text>
        <t>Question 18 (page 2)
Question 19 (page 2)
Source: 2a. Gradients, tangents, normals and rates of change</t>
      </text>
    </comment>
    <comment ref="N128" authorId="0" shapeId="0">
      <text>
        <t>Page 2: question 3 (d)
Source: Exponentials and Natural Logarithms</t>
      </text>
    </comment>
    <comment ref="G130" authorId="0" shapeId="0">
      <text>
        <t>Question 1 (a) (page 1)
Question 2 (a) (page 2)
Question 3 (page 3)
Question 4 (a) (page 4)
Question 5 (a) (page 5)
Source: Exam Booklet</t>
      </text>
    </comment>
    <comment ref="J130" authorId="0" shapeId="0">
      <text>
        <t>Question 1 (page 1)
Question 2 (page 1)
Question 3 (page 1)
Question 4 (page 1)
Question 5 (page 1)
Question 6 (page 1)
Question 7 (page 1)
Source: 5a. Differentiation</t>
      </text>
    </comment>
    <comment ref="N130" authorId="0" shapeId="0">
      <text>
        <t>Page 1: question 1
Page 1: question 4
Source: Basic Differentiation</t>
      </text>
    </comment>
    <comment ref="G131" authorId="0" shapeId="0">
      <text>
        <t>Question 4 (b) (page 4)
Question 11 (b) (page 11)
Question 12 (c) (page 14)
Question 13 (page 14)
Source: Exam Booklet</t>
      </text>
    </comment>
    <comment ref="J131" authorId="0" shapeId="0">
      <text>
        <t>Question 6 (page 1)
Source: 4a. Increasing and decreasing functions and stationary points</t>
      </text>
    </comment>
    <comment ref="N131" authorId="0" shapeId="0">
      <text>
        <t>Page 1: question 2 (i)
Page 2: question 7 (ii)
Source: Applications of Differentiation to Functions and Graphs (Yr. 1)</t>
      </text>
    </comment>
    <comment ref="G132" authorId="0" shapeId="0">
      <text>
        <t>Question 2 (b) (page 2)
Question 7 (page 7)
Question 11 (a) (page 11)
Question 12 (b) (page 13)
Question 13 (page 14)
Source: Exam Booklet</t>
      </text>
    </comment>
    <comment ref="J132" authorId="0" shapeId="0">
      <text>
        <t>Question 2 (b,c) (page 1)
Question 3 (b) (page 1)
Question 5 (b) (page 1)
Question 6 (a) (page 2)
Question 9 (a,b) (page 2)
Source: 8a. Mixed exam-style questions on differentiation</t>
      </text>
    </comment>
    <comment ref="N132" authorId="0" shapeId="0">
      <text>
        <t>Page 1: question 2 (ii)
Page 2: question 7 (iii)
Source: Applications of Differentiation to Functions and Graphs (Yr. 1)</t>
      </text>
    </comment>
    <comment ref="G133" authorId="0" shapeId="0">
      <text>
        <t>Question 6 (b) (page 6)
Source: Exam Booklet</t>
      </text>
    </comment>
    <comment ref="J133" authorId="0" shapeId="0">
      <text>
        <t>Question 2 (page 1)
Question 3 (page 1)
Question 4 (b) (page 1)
Source: 4a. Increasing and decreasing functions and stationary points</t>
      </text>
    </comment>
    <comment ref="N133" authorId="0" shapeId="0">
      <text>
        <t>Page 1: question 1
Page 2: question 3
Page 2: question 5
Source: Applications of Differentiation to Functions and Graphs (Yr. 1)</t>
      </text>
    </comment>
    <comment ref="G134" authorId="0" shapeId="0">
      <text>
        <t>Question 8 (page 8)
Question 10 (page 10)
Source: Exam Booklet</t>
      </text>
    </comment>
    <comment ref="J134" authorId="0" shapeId="0">
      <text>
        <t>Question 8 (page 1)
Question 9 (page 1)
Question 10 (page 1)
Question 11 (page 2)
Question 12 (a) (page 2)
Question 13 (a) (page 2)
Question 14 (b) (page 2)
Question 15 (b) (page 2)
Source: 2a. Gradients, tangents, normals and rates of change</t>
      </text>
    </comment>
    <comment ref="N134" authorId="0" shapeId="0">
      <text>
        <t>Page 1: question 2 (iii)
Page 2: question 6
Page 2: question 4 (iv)
Source: Applications of Differentiation to Functions and Graphs (Yr. 1)</t>
      </text>
    </comment>
    <comment ref="G135" authorId="0" shapeId="0">
      <text>
        <t>Question 1 (page 1)
Question 2 (a) (page 2)
Question 24 (a) (page 23)
Question 40 (b) (page 41)
Question 54 (page 58)
Question 56 (page 59)
Question 65 (a) (page 71)
Source: Question Set 9: Differentiation exam questions</t>
      </text>
    </comment>
    <comment ref="J135" authorId="0" shapeId="0">
      <text>
        <t>Question 1 (page 1)
Question 2 (page 1)
Question 4 (page 1)
Question 5 (page 1)
Question 7 (page 1)
Question 9 (page 1)
Question 10 (page 1)
Source: 02a. Differentiating exponentials and logarithms</t>
      </text>
    </comment>
    <comment ref="N135" authorId="0" shapeId="0">
      <text>
        <t>Page 2: question 3 (d)
Source: Exponentials and Natural Logarithms</t>
      </text>
    </comment>
    <comment ref="G136" authorId="0" shapeId="0">
      <text>
        <t>Question 25 (a) (page 24)
Question 26 (b) (page 26)
Question 31 (page 31)
Question 32 (page 31)
Question 70 (a) (page 78)
Source: Question Set 9: Differentiation exam questions</t>
      </text>
    </comment>
    <comment ref="J136" authorId="0" shapeId="0">
      <text>
        <t>Question 1 (page 1)
Question 2 (a) (page 1)
Question 5 (a,c) (page 1)
Question 6 (a,b,c) (page 1)
Source: 04a. Differentiating trigonometric functions</t>
      </text>
    </comment>
    <comment ref="G137" authorId="0" shapeId="0">
      <text>
        <t>Question 7 (page 7)
Question 8 (b) (page 8)
Question 9 (page 9)
Question 10 (page 10)
Question 11 (page 11)
Question 13 (a) (page 13)
Question 27 (a) (page 27)
Question 62 (page 68)
Source: Question Set 9: Differentiation exam questions</t>
      </text>
    </comment>
    <comment ref="J137" authorId="0" shapeId="0">
      <text>
        <t>Question 1 (b) (page 1)
Question 2 (page 1)
Question 3 (page 1)
Question 4 (page 1)
Question 5 (page 1)
Question 6 (page 1)
Question 7 (page 1)
Question 8 (a) (page 1)
Source: 05a. The product rule</t>
      </text>
    </comment>
    <comment ref="N137" authorId="0" shapeId="0">
      <text>
        <t>Page 1: question 1
Page 2: question 7
Page 3: question 10 (a)
Page 4: question 13
Page 5: question 17
Source: Product, Quotient and Chain Rules</t>
      </text>
    </comment>
    <comment ref="G138" authorId="0" shapeId="0">
      <text>
        <t>Question 14 (page 14)
Question 15 (page 15)
Question 16 (page 15)
Question 17 (page 16)
Question 36 (page 36)
Question 48 (page 51)
Question 53 (b) (page 57)
Question 57 (page 60)
Source: Question Set 9: Differentiation exam questions</t>
      </text>
    </comment>
    <comment ref="J138" authorId="0" shapeId="0">
      <text>
        <t>Question 1 (b) (page 1)
Question 2 (page 1)
Question 3 (page 1)
Question 4 (page 1)
Question 5 (page 1)
Question 6 (page 1)
Question 7 (page 1)
Source: 06a. The quotient rule</t>
      </text>
    </comment>
    <comment ref="N138" authorId="0" shapeId="0">
      <text>
        <t>Page 3: question 9 (b)
Page 5: question 16
Source: Product, Quotient and Chain Rules</t>
      </text>
    </comment>
    <comment ref="G139" authorId="0" shapeId="0">
      <text>
        <t>Question 2 (b) (page 2)
Question 3 (page 3)
Question 27 (b) (page 27)
Question 66 (a) (page 73)
Question 70 (c) (page 78)
Source: Question Set 9: Differentiation exam questions</t>
      </text>
    </comment>
    <comment ref="J139" authorId="0" shapeId="0">
      <text>
        <t>Question 1 (page 1)
Question 2 (page 1)
Question 3 (page 1)
Question 4 (page 1)
Question 6 (page 1)
Question 7 (page 1)
Question 8 (page 1)
Question 9 (page 1)
Source: 08a. The chain rule</t>
      </text>
    </comment>
    <comment ref="N139" authorId="0" shapeId="0">
      <text>
        <t>Page 1: question 5
Page 3: question 11
Page 3: question 12
Page 3: question 8 (i)
Page 3: question 9 (a)
Source: Product, Quotient and Chain Rules</t>
      </text>
    </comment>
    <comment ref="G140" authorId="0" shapeId="0">
      <text>
        <t>Question 28 (page 28)
Question 43 (page 44)
Question 55 (page 59)
Source: Question Set 9: Differentiation exam questions</t>
      </text>
    </comment>
    <comment ref="J140" authorId="0" shapeId="0">
      <text>
        <t>Question 1 (page 1)
Question 2 (page 1)
Question 3 (page 1)
Question 4 (page 1)
Question 5 (page 1)
Question 6 (c) (page 1)
Source: 01a. Connected rates of change</t>
      </text>
    </comment>
    <comment ref="N140" authorId="0" shapeId="0">
      <text>
        <t>Page 1: question 3
Page 1: question 4
Page 2: question 6
Page 3: question 8 (ii)
Page 4: question 15 (b)
Source: Product, Quotient and Chain Rules</t>
      </text>
    </comment>
    <comment ref="G141" authorId="0" shapeId="0">
      <text>
        <t>Question 20 (page 19)
Question 21 (page 20)
Question 22 (page 21)
Question 37 (page 37)
Question 58 (b,c) (page 61)
Question 60 (b,c) (page 64)
Question 63 (page 69)
Question 69 (page 76)
Source: Question Set 9: Differentiation exam questions</t>
      </text>
    </comment>
    <comment ref="J141" authorId="0" shapeId="0">
      <text>
        <t>Question 1 (page 1)
Question 2 (page 1)
Question 3 (page 1)
Question 4 (page 1)
Question 5 (page 1)
Question 6 (page 1)
Question 7 (page 1)
Source: 11a. Differentiating functions defined implicitly</t>
      </text>
    </comment>
    <comment ref="N141" authorId="0" shapeId="0">
      <text>
        <t>Page 1: question 1
Page 1: question 2
Page 1: question 3 (i)
Page 2: question 4
Page 2: question 5
Page 2: question 6
Source: Implicit Differentiation</t>
      </text>
    </comment>
    <comment ref="G142" authorId="0" shapeId="0">
      <text>
        <t>Question 65 (c) (page 71)
Question 73 (b) (page 82)
Source: Question Set 9: Differentiation exam questions</t>
      </text>
    </comment>
    <comment ref="J142" authorId="0" shapeId="0">
      <text>
        <t>Page 7: question 7 (a,b)
Source: Basic Differentiation</t>
      </text>
    </comment>
    <comment ref="N142" authorId="0" shapeId="0">
      <text>
        <t>Page 4: question 14 (d)
Source: Product, Quotient and Chain Rules</t>
      </text>
    </comment>
    <comment ref="G143" authorId="0" shapeId="0">
      <text>
        <t>Question 47 (b) (page 50)
Question 53 (c) (page 57)
Question 68 (page 75)
Source: Question Set 9: Differentiation exam questions</t>
      </text>
    </comment>
    <comment ref="J143" authorId="0" shapeId="0">
      <text>
        <t>Page 4: question 4 (b)
Source: Basic Differentiation</t>
      </text>
    </comment>
    <comment ref="N143" authorId="0" shapeId="0">
      <text>
        <t>Page 1: question 1
Source: Applications of Differentiation to Functions and Graphs (Yr. 2)</t>
      </text>
    </comment>
    <comment ref="G146" authorId="0" shapeId="0">
      <text>
        <t>Question 1 (page 1)
Question 2 (page 1)
Source: A Level Maths: Integration — Medium</t>
      </text>
    </comment>
    <comment ref="J146" authorId="0" shapeId="0">
      <text>
        <t>Question 6 (page 1)
Source: 1a. Integration</t>
      </text>
    </comment>
    <comment ref="N146" authorId="0" shapeId="0">
      <text>
        <t>Page 2: question 4
Page 2: question 7
Source: Integration as the Reverse of Differentiation and Area Under a Curve (Yr. 1)</t>
      </text>
    </comment>
    <comment ref="G147" authorId="0" shapeId="0">
      <text>
        <t>Question 1 (page 1)
Question 2 (page 1)
Question 3 (page 1)
Question 5 (b) (page 2)
Question 6 (page 3)
Question 7 (page 3)
Question 8 (page 3)
Source: A Level Maths: Integration — Medium</t>
      </text>
    </comment>
    <comment ref="J147" authorId="0" shapeId="0">
      <text>
        <t>Question 1 (page 1)
Question 2 (page 1)
Question 3 (page 1)
Question 4 (page 1)
Question 5 (page 1)
Source: 1a. Integration</t>
      </text>
    </comment>
    <comment ref="N147" authorId="0" shapeId="0">
      <text>
        <t>Page 1: question 2
Page 2: question 6 (ii)
Page 3: question 9
Page 3: question 8
Source: Integration as the Reverse of Differentiation and Area Under a Curve (Yr. 1)</t>
      </text>
    </comment>
    <comment ref="G148" authorId="0" shapeId="0">
      <text>
        <t>Question 4 (page 2)
Question 7 (page 4)
Question 9 (page 5)
Source: Exam Booklet</t>
      </text>
    </comment>
    <comment ref="J148" authorId="0" shapeId="0">
      <text>
        <t>Question 1 (b) (page 1)
Question 2 (page 1)
Question 3 (page 1)
Question 4 (page 1)
Question 5 (a) (page 1)
Question 6 (page 1)
Question 7 (page 1)
Question 8 (page 1)
Source: 4a. Boundary conditions</t>
      </text>
    </comment>
    <comment ref="N148" authorId="0" shapeId="0">
      <text>
        <t>Page 2: question 4
Page 2: question 7
Source: Integration as the Reverse of Differentiation and Area Under a Curve (Yr. 1)</t>
      </text>
    </comment>
    <comment ref="G149" authorId="0" shapeId="0">
      <text>
        <t>Question 10 (page 4)
Question 11 (page 5)
Question 12 (page 5)
Source: A Level Maths: Integration — Medium</t>
      </text>
    </comment>
    <comment ref="J149" authorId="0" shapeId="0">
      <text>
        <t>Question 1 (page 1)
Question 2 (page 1)
Question 3 (page 1)
Question 4 (page 1)
Question 10 (b) (page 2)
Source: 2a. Definite integrals and the area under a curve</t>
      </text>
    </comment>
    <comment ref="N149" authorId="0" shapeId="0">
      <text>
        <t>Page 2: question 6 (i)
Page 2: question 3
Page 3: question 8
Source: Integration as the Reverse of Differentiation and Area Under a Curve (Yr. 1)</t>
      </text>
    </comment>
    <comment ref="G150" authorId="0" shapeId="0">
      <text>
        <t>Question 11 (b) (page 8)
Source: Exam Booklet</t>
      </text>
    </comment>
    <comment ref="J150" authorId="0" shapeId="0">
      <text>
        <t>Question 5 (page 1)
Question 6 (page 1)
Question 7 (page 1)
Question 8 (page 2)
Question 9 (b) (page 2)
Question 10 (b,c) (page 2)
Question 11 (page 2)
Source: 2a. Definite integrals and the area under a curve</t>
      </text>
    </comment>
    <comment ref="N150" authorId="0" shapeId="0">
      <text>
        <t>Page 2: question 5
Page 2: question 3
Page 3: question 10 (c)
Page 4: question 11
Source: Integration as the Reverse of Differentiation and Area Under a Curve (Yr. 1)</t>
      </text>
    </comment>
    <comment ref="G151" authorId="0" shapeId="0">
      <text>
        <t>Question 5 (page 5)
Question 6 (b) (page 6)
Question 27 (b) (page 25)
Question 28 (page 26)
Question 29 (page 27)
Source: Question Set 11: Integration exam questions</t>
      </text>
    </comment>
    <comment ref="J151" authorId="0" shapeId="0">
      <text>
        <t>Question 1 (page 1)
Question 2 (page 1)
Question 3 (page 1)
Question 4 (page 1)
Question 5 (page 1)
Question 6 (page 1)
Question 7 (page 1)
Question 8 (page 2)
Source: 01a. Integrating exponentials and the reciprocal of x</t>
      </text>
    </comment>
    <comment ref="N151" authorId="0" shapeId="0">
      <text>
        <t>Page 2: question 2
Page 2: question 4
Page 2: question 5 (b)
Page 3: question 6 (b)
Source: Integration as Inverse of Differentiation and to Find Area Under a Curve (Yr. 2)</t>
      </text>
    </comment>
    <comment ref="G152" authorId="0" shapeId="0">
      <text>
        <t>Question 46 (page 46)
Source: Question Set 11: Integration exam questions</t>
      </text>
    </comment>
    <comment ref="J152" authorId="0" shapeId="0">
      <text>
        <t>Page 1: question 1 (a,b)
Source: Definite Integration</t>
      </text>
    </comment>
    <comment ref="G153" authorId="0" shapeId="0">
      <text>
        <t>Question 10 (b) (page 6)
Question 12 (b) (page 10)
Source: Exam Booklet</t>
      </text>
    </comment>
    <comment ref="J153" authorId="0" shapeId="0">
      <text>
        <t>Question 1 (c) (page 1)
Question 2 (page 1)
Question 3 (b) (page 1)
Question 4 (c) (page 1)
Source: 3a. Area under a curve − further questions</t>
      </text>
    </comment>
    <comment ref="N153" authorId="0" shapeId="0">
      <text>
        <t>Page 1: question 1 (ii)
Page 2: question 5 (a,b)
Page 2: question 3
Page 3: question 8 (b)
Source: Integration as Inverse of Differentiation and to Find Area Under a Curve (Yr. 2)</t>
      </text>
    </comment>
    <comment ref="G154" authorId="0" shapeId="0">
      <text>
        <t>Question 8 (page 7)
Question 9 (page 8)
Question 10 (page 8)
Question 12 (page 10)
Question 14 (page 12)
Question 26 (page 24)
Question 45 (page 45)
Question 63 (page 69)
Source: Question Set 11: Integration exam questions</t>
      </text>
    </comment>
    <comment ref="J154" authorId="0" shapeId="0">
      <text>
        <t>Question 1 (page 1)
Question 2 (page 1)
Question 3 (page 1)
Question 4 (page 1)
Question 5 (page 1)
Question 6 (page 2)
Question 7 (page 2)
Question 8 (page 2)
Source: 04a. Integration by substitution</t>
      </text>
    </comment>
    <comment ref="N154" authorId="0" shapeId="0">
      <text>
        <t>Page 1: question 1 (iii)
Page 3: question 4
Page 3: question 5 (iii)
Page 5: question 7
Source: Integration by Substitution</t>
      </text>
    </comment>
    <comment ref="G155" authorId="0" shapeId="0">
      <text>
        <t>Question 11 (page 9)
Question 47 (page 47)
Question 48 (a) (page 48)
Question 61 (page 67)
Question 69 (page 75)
Source: Question Set 11: Integration exam questions</t>
      </text>
    </comment>
    <comment ref="J155" authorId="0" shapeId="0">
      <text>
        <t>Question 9 (page 2)
Question 10 (a,b,d,e,f) (page 2)
Question 11 (b) (page 2)
Source: 04a. Integration by substitution</t>
      </text>
    </comment>
    <comment ref="N155" authorId="0" shapeId="0">
      <text>
        <t>Page 2: question 2
Page 2: question 3 (iii)
Page 5: question 9
Page 5: question 8 (iii)
Page 6: question 12
Page 6: question 13 (a)
Page 6: question 10
Page 6: question 11 (iv)
Source: Integration by Substitution</t>
      </text>
    </comment>
    <comment ref="G156" authorId="0" shapeId="0">
      <text>
        <t>Question 18 (page 19)
Question 19 (page 19)
Question 21 (page 20)
Question 22 (page 21)
Question 23 (page 22)
Question 24 (page 22)
Question 25 (page 23)
Question 67 (page 73)
Source: Question Set 11: Integration exam questions</t>
      </text>
    </comment>
    <comment ref="J156" authorId="0" shapeId="0">
      <text>
        <t>Question 1 (page 1)
Question 2 (page 1)
Question 4 (page 1)
Question 5 (page 1)
Question 6 (a) (page 1)
Question 7 (a,b) (page 1)
Question 8 (b) (page 1)
Question 9 (page 1)
Source: 05a. Integration by parts</t>
      </text>
    </comment>
    <comment ref="N156" authorId="0" shapeId="0">
      <text>
        <t>Page 1: question 1 (iii)
Page 2: question 4
Page 2: question 3
Page 2: question 2 (iv)
Page 3: question 5
Page 3: question 6
Page 3: question 8
Page 3: question 9
Source: Integration by Parts</t>
      </text>
    </comment>
    <comment ref="G157" authorId="0" shapeId="0">
      <text>
        <t>Question 31 (b) (page 28)
Question 32 (page 29)
Question 35 (b) (page 34)
Question 48 (b) (page 48)
Question 49 (page 50)
Question 65 (b) (page 71)
Source: Question Set 11: Integration exam questions</t>
      </text>
    </comment>
    <comment ref="J157" authorId="0" shapeId="0">
      <text>
        <t>Question 1 (page 1)
Question 2 (page 1)
Question 3 (page 1)
Question 7 (page 1)
Question 8 (a,b,c,e,f) (page 1)
Question 9 (page 1)
Question 10 (page 1)
Source: 06a. Integration using partial fractions</t>
      </text>
    </comment>
    <comment ref="N157" authorId="0" shapeId="0">
      <text>
        <t>Page 1: question 1 (second i)
Page 3: question 3 (ii)
Page 4: question 4 (v)
Page 5: question 5 (a)
Page 6: question 9 (b)
Page 7: question 12
Source: Differential Equations</t>
      </text>
    </comment>
    <comment ref="G160" authorId="0" shapeId="0">
      <text>
        <t>Question 33 (a) (page 30)
Question 34 (a) (page 32)
Question 43 (a) (page 42)
Question 51 (a) (page 54)
Question 71 (a) (page 77)
Source: Question Set 11: Integration exam questions</t>
      </text>
    </comment>
    <comment ref="J160" authorId="0" shapeId="0">
      <text>
        <t>Question 3 (page 1)
Question 4 (a) (page 1)
Question 5 (page 1)
Question 6 (a) (page 1)
Question 7 (a) (page 2)
Question 8 (a) (page 2)
Source: 08a. Differential equations − further questions</t>
      </text>
    </comment>
    <comment ref="N160" authorId="0" shapeId="0">
      <text>
        <t>Page 5: question 7 (i)
Page 6: question 8 (a)
Source: Differential Equations</t>
      </text>
    </comment>
    <comment ref="G161" authorId="0" shapeId="0">
      <text>
        <t>Question 35 (b,c) (page 34)
Question 36 (page 35)
Question 37 (page 36)
Question 38 (page 37)
Question 39 (a) (page 38)
Question 64 (page 70)
Question 68 (a) (page 74)
Question 70 (a) (page 76)
Source: Question Set 11: Integration exam questions</t>
      </text>
    </comment>
    <comment ref="J161" authorId="0" shapeId="0">
      <text>
        <t>Question 3 (b) (page 1)
Question 4 (page 1)
Question 5 (page 1)
Source: 07a. Differential equations</t>
      </text>
    </comment>
    <comment ref="N161" authorId="0" shapeId="0">
      <text>
        <t>Page 2: question 2 (iii)
Page 3: question 3 (ii)
Page 5: question 5 (a)
Page 5: question 6 (a)
Page 6: question 8 (b)
Page 6: question 9 (b)
Page 7: question 12
Page 7: question 11 (a)
Source: Differential Equations</t>
      </text>
    </comment>
    <comment ref="G162" authorId="0" shapeId="0">
      <text>
        <t>Question 33 (c) (page 30)
Question 34 (c,d) (page 32)
Question 39 (b) (page 38)
Question 43 (b,c) (page 42)
Question 51 (c) (page 54)
Question 71 (c) (page 77)
Source: Question Set 11: Integration exam questions</t>
      </text>
    </comment>
    <comment ref="J162" authorId="0" shapeId="0">
      <text>
        <t>Question 4 (d) (page 1)
Question 6 (c,d) (page 1)
Question 7 (c) (page 2)
Question 8 (c) (page 2)
Question 9 (d,e) (page 2)
Source: 08a. Differential equations − further questions</t>
      </text>
    </comment>
    <comment ref="N162" authorId="0" shapeId="0">
      <text>
        <t>Page 1: question 1 (second ii, second iii)
Page 2: question 2 (iv)
Page 3: question 3 (iii,iv)
Page 4: question 4 (iv,vi)
Page 5: question 5 (b)
Page 6: question 8 (c,d,e)
Page 6: question 10 (b)
Page 7: question 11 (b,d)
Source: Differential Equations</t>
      </text>
    </comment>
    <comment ref="G165" authorId="0" shapeId="0">
      <text>
        <t>Question 1 (a,d) (page 2)
Question 2 (c) (page 4)
Question 3 (b) (page 6)
Question 6 (a) (page 10)
Question 7 (a) (page 12)
Question 14 (c) (page 21)
Question 16 (a) (page 25)
Question 18 (a) (page 28)
Source: Question Set 10: Numerical Methods exam questions</t>
      </text>
    </comment>
    <comment ref="J165" authorId="0" shapeId="0">
      <text>
        <t>Question 1 (page 1)
Question 2 (page 1)
Question 3 (page 1)
Question 4 (page 1)
Question 5 (c) (page 1)
Question 6 (c) (page 1)
Question 7 (c,d) (page 1)
Source: 1a. Locating roots using changes of sign</t>
      </text>
    </comment>
    <comment ref="N165" authorId="0" shapeId="0">
      <text>
        <t>Page 1: question 1 (b)
Page 2: question 2 (a)
Page 3: question 3 (b)
Page 4: question 4
Page 4: question 5 (b)
Source: Solution of Equations</t>
      </text>
    </comment>
    <comment ref="G167" authorId="0" shapeId="0">
      <text>
        <t>Question 1 (b,c) (page 2)
Question 2 (a,b) (page 4)
Question 3 (c,d) (page 6)
Question 4 (page 8)
Question 10 (b,c) (page 15)
Question 14 (d) (page 21)
Question 19 (d,e) (page 30)
Source: Question Set 10: Numerical Methods exam questions</t>
      </text>
    </comment>
    <comment ref="J167" authorId="0" shapeId="0">
      <text>
        <t>Question 1 (page 1)
Question 2 (page 1)
Question 3 (page 1)
Question 4 (page 1)
Question 5 (page 1)
Source: 2a. Iterative methods of solving equations</t>
      </text>
    </comment>
    <comment ref="G168" authorId="0" shapeId="0">
      <text>
        <t>Question 5 (page 9)
Question 6 (b,c) (page 10)
Question 7 (b,c) (page 12)
Question 9 (a,b) (page 14)
Question 13 (b) (page 19)
Question 16 (b) (page 25)
Question 17 (b) (page 26)
Question 18 (b,c) (page 28)
Source: Question Set 10: Numerical Methods exam questions</t>
      </text>
    </comment>
    <comment ref="J168" authorId="0" shapeId="0">
      <text>
        <t>Page 1: question 1 (b)
Page 2: question 2 (a,b)
Source: Newton Raphson</t>
      </text>
    </comment>
    <comment ref="N168" authorId="0" shapeId="0">
      <text>
        <t>Page 1: question 1 (e)
Page 2: question 2 (b)
Page 3: question 3 (a,c)
Page 4: question 5 (c,d)
Source: Solution of Equations</t>
      </text>
    </comment>
    <comment ref="G169" authorId="0" shapeId="0">
      <text>
        <t>Question 9 (c) (page 14)
Question 11 (b) (page 17)
Question 12 (page 18)
Question 15 (c) (page 23)
Question 18 (d) (page 28)
Source: Question Set 10: Numerical Methods exam questions</t>
      </text>
    </comment>
    <comment ref="J169" authorId="0" shapeId="0">
      <text>
        <t>Page 1: question 1 (d)
Page 5: question 5 (c)
Page 6: question 6 (b)
Source: Location of Roots</t>
      </text>
    </comment>
    <comment ref="N169" authorId="0" shapeId="0">
      <text>
        <t>Page 2: question 2 (c)
Page 3: question 3 (c,d)
Source: Solution of Equations</t>
      </text>
    </comment>
    <comment ref="G170" authorId="0" shapeId="0">
      <text>
        <t>Question 50 (page 52)
Question 52 (page 56)
Question 62 (page 68)
Question 66 (page 72)
Source: Question Set 11: Integration exam questions</t>
      </text>
    </comment>
    <comment ref="J170" authorId="0" shapeId="0">
      <text>
        <t>Question 1 (b,c) (page 1)
Question 2 (b,d) (page 1)
Question 3 (page 1)
Question 4 (page 1)
Question 5 (a) (page 2)
Question 6 (a) (page 2)
Question 7 (c) (page 2)
Question 8 (b,c) (page 2)
Source: 11a. Numerical integration − the trapezium rule</t>
      </text>
    </comment>
    <comment ref="N170" authorId="0" shapeId="0">
      <text>
        <t>Page 1: question 1 (i,ii)
Page 2: question 3 (i,ii)
Page 2: question 2 (a,b,c)
Page 3: question 4 (d,e)
Page 4: question 5 (a,b)
Page 5: question 6 (a,b)
Source: Numerical Integration</t>
      </text>
    </comment>
    <comment ref="G172" authorId="0" shapeId="0">
      <text>
        <t>Question 13 (page 19)
Source: Question Set 10: Numerical Methods exam questions</t>
      </text>
    </comment>
    <comment ref="J172" authorId="0" shapeId="0">
      <text>
        <t>Page 2: question 2 (b,c)
Source: Iterative Equations</t>
      </text>
    </comment>
    <comment ref="G175" authorId="0" shapeId="0">
      <text>
        <t>Question 8 (a) (page 4)
Question 9 (c) (page 5)
Question 11 (a) (page 7)
Source: A Level Maths: Vectors — Medium</t>
      </text>
    </comment>
    <comment ref="J175" authorId="0" shapeId="0">
      <text>
        <t>Question 5 (page 1)
Question 6 (page 1)
Question 8 (a,b) (page 1)
Question 9 (b,c) (page 1)
Source: 2a. Cartesian components of a vector</t>
      </text>
    </comment>
    <comment ref="N175" authorId="0" shapeId="0">
      <text>
        <t>Page 1: question 1 (i,ii)
Source: Vectors (Yr. 1)</t>
      </text>
    </comment>
    <comment ref="G176" authorId="0" shapeId="0">
      <text>
        <t>Question 1 (page 1)
Question 4 (a) (page 2)
Question 6 (a) (page 3)
Question 8 (a) (page 4)
Question 9 (a,c) (page 5)
Source: A Level Maths: Vectors — Medium</t>
      </text>
    </comment>
    <comment ref="J176" authorId="0" shapeId="0">
      <text>
        <t>Question 1 (page 1)
Question 2 (page 1)
Question 4 (page 1)
Question 5 (page 2)
Question 7 (page 2)
Question 8 (page 2)
Question 9 (page 2)
Question 10 (page 2)
Source: 1a. Vectors</t>
      </text>
    </comment>
    <comment ref="N176" authorId="0" shapeId="0">
      <text>
        <t>Page 1: question 3 (a,b)
Page 1: question 1 (i,ii)
Source: Vectors (Yr. 1)</t>
      </text>
    </comment>
    <comment ref="G177" authorId="0" shapeId="0">
      <text>
        <t>Question 1 (b) (page 1)
Question 2 (page 2)
Question 3 (b) (page 2)
Question 5 (b) (page 3)
Question 7 (page 4)
Source: Exam Booklet</t>
      </text>
    </comment>
    <comment ref="J177" authorId="0" shapeId="0">
      <text>
        <t>Question 3 (page 1)
Question 4 (page 1)
Question 6 (page 1)
Question 8 (c,d) (page 1)
Source: 2a. Cartesian components of a vector</t>
      </text>
    </comment>
    <comment ref="N177" authorId="0" shapeId="0">
      <text>
        <t>Page 1: question 2 (i)
Page 2: question 7
Source: Vectors (Yr. 2)</t>
      </text>
    </comment>
    <comment ref="G178" authorId="0" shapeId="0">
      <text>
        <t>Question 2 (page 1)
Question 3 (page 1)
Question 5 (page 2)
Question 9 (a,b) (page 5)
Question 10 (b) (page 6)
Source: A Level Maths: Vectors — Medium</t>
      </text>
    </comment>
    <comment ref="J178" authorId="0" shapeId="0">
      <text>
        <t>Question 1 (page 1)
Question 10 (a,c,d) (page 1)
Source: 2a. Cartesian components of a vector</t>
      </text>
    </comment>
    <comment ref="N178" authorId="0" shapeId="0">
      <text>
        <t>Page 1: question 2
Page 1: question 3 (a)
Source: Vectors (Yr. 1)</t>
      </text>
    </comment>
    <comment ref="G179" authorId="0" shapeId="0">
      <text>
        <t>Question 2 (b) (page 1)
Question 3 (page 1)
Question 5 (b) (page 2)
Question 9 (b) (page 5)
Source: A Level Maths: Vectors — Medium</t>
      </text>
    </comment>
    <comment ref="J179" authorId="0" shapeId="0">
      <text>
        <t>Question 10 (b) (page 1)
Question 11 (page 2)
Source: 2a. Cartesian components of a vector</t>
      </text>
    </comment>
    <comment ref="N179" authorId="0" shapeId="0">
      <text>
        <t>Page 1: question 3 (c)
Page 1: question 2
Source: Vectors (Yr. 1)</t>
      </text>
    </comment>
    <comment ref="G180" authorId="0" shapeId="0">
      <text>
        <t>Question 1 (page 1)
Question 4 (page 2)
Question 8 (page 4)
Question 9 (page 5)
Question 10 (page 6)
Question 11 (b) (page 7)
Source: A Level Maths: Vectors — Medium</t>
      </text>
    </comment>
    <comment ref="J180" authorId="0" shapeId="0">
      <text>
        <t>Page 1: question 1
Page 2: question 2 (c)
Page 3: question 3
Page 7: question 7
Source: Vectors</t>
      </text>
    </comment>
    <comment ref="N180" authorId="0" shapeId="0">
      <text>
        <t>Page 1: question 1 (iii)
Page 1: question 2
Page 1: question 3 (b)
Source: Vectors (Yr. 1)</t>
      </text>
    </comment>
    <comment ref="G181" authorId="0" shapeId="0">
      <text>
        <t>Question 1 (page 1)
Question 3 (page 3)
Question 5 (page 5)
Question 7 (page 6)
Question 8 (page 7)
Question 9 (page 8)
Question 10 (page 9)
Question 12 (page 12)
Source: Question Set 12: Vectors exam questions</t>
      </text>
    </comment>
    <comment ref="J181" authorId="0" shapeId="0">
      <text>
        <t>Question 11 (page 2)
Question 12 (page 2)
Question 13 (page 2)
Question 15 (page 2)
Question 16 (page 2)
Question 17 (page 2)
Question 18 (page 2)
Question 20 (page 2)
Source: 2a. Cartesian components of a vector</t>
      </text>
    </comment>
    <comment ref="N181" authorId="0" shapeId="0">
      <text>
        <t>Page 1: question 3
Page 1: question 4
Page 1: question 1
Page 1: question 2
Page 2: question 5
Page 2: question 6
Page 2: question 7
Source: Vectors (Yr. 2)</t>
      </text>
    </comment>
  </commentList>
</comments>
</file>

<file path=xl/comments/comment2.xml><?xml version="1.0" encoding="utf-8"?>
<comments xmlns="http://schemas.openxmlformats.org/spreadsheetml/2006/main">
  <authors>
    <author>Tracker</author>
  </authors>
  <commentList>
    <comment ref="G9" authorId="0" shapeId="0">
      <text>
        <t>Question 4 (a,b) (page 2)
Question 8 (a,b) (page 4)
Source: Sampling</t>
      </text>
    </comment>
    <comment ref="J9" authorId="0" shapeId="0">
      <text>
        <t>Page 1: question 1 (a,c)
Page 2: question 4 (a,b)
Page 3: question 5 (a)
Page 4: question 8
Page 4: question 10 (c)
Page 5: question 11 (a,d)
Source: Sampling methods 1</t>
      </text>
    </comment>
    <comment ref="N9" authorId="0" shapeId="0">
      <text>
        <t>Page 11: question 14 (a)
Source: Data Presentation and Interpretation</t>
      </text>
    </comment>
    <comment ref="G10" authorId="0" shapeId="0">
      <text>
        <t>Question 1 (page 1)
Source: OCR MEI large data set (LDS9 Health, June 2027)</t>
      </text>
    </comment>
    <comment ref="J10" authorId="0" shapeId="0">
      <text>
        <t>Page 2: question 2 (a,b)
Page 5: question 4 (c)
Page 6: question 5 (c)
Source: Large data sets</t>
      </text>
    </comment>
    <comment ref="N10" authorId="0" shapeId="0">
      <text>
        <t>Page 11: question 13 (c)
Page 15: question 16 (a)
Page 25: question 27 (e)
Source: Data Presentation and Interpretation</t>
      </text>
    </comment>
    <comment ref="J11" authorId="0" shapeId="0">
      <text>
        <t>Page 3: question 5 (b)
Page 3: question 4 (c)
Page 4: question 8 (a)
Source: Sampling methods 2</t>
      </text>
    </comment>
    <comment ref="N11" authorId="0" shapeId="0">
      <text>
        <t>Page 8: question 10 (a)
Page 11: question 14 (d)
Page 15: question 16 (a(ii))
Page 20: question 21 (b(v))
Page 25: question 27 (b)
Source: Data Presentation and Interpretation</t>
      </text>
    </comment>
    <comment ref="G12" authorId="0" shapeId="0">
      <text>
        <t>Question 1 (page 1)
Question 2 (page 1)
Question 3 (page 1)
Question 5 (page 2)
Question 6 (page 3)
Question 7 (a) (page 3)
Question 8 (c,d) (page 4)
Source: Sampling</t>
      </text>
    </comment>
    <comment ref="J12" authorId="0" shapeId="0">
      <text>
        <t>Page 1: question 1 (a)
Page 2: question 2 (a)
Page 3: question 6
Page 3: question 4 (b)
Page 4: question 8 (b)
Page 5: question 10
Source: Sampling methods 2</t>
      </text>
    </comment>
    <comment ref="N12" authorId="0" shapeId="0">
      <text>
        <t>Page 1: question 2
Page 1: question 3 (b,c)
Source: Sampling</t>
      </text>
    </comment>
    <comment ref="G13" authorId="0" shapeId="0">
      <text>
        <t>Question 4 (b) (page 2)
Question 5 (b) (page 2)
Question 6 (b) (page 3)
Question 7 (b) (page 3)
Question 8 (d) (page 4)
Source: Sampling</t>
      </text>
    </comment>
    <comment ref="J13" authorId="0" shapeId="0">
      <text>
        <t>Page 1: question 1 (b)
Page 2: question 2 (b)
Page 3: question 4 (a)
Page 3: question 5
Page 4: question 7
Page 5: question 10
Source: Sampling methods 2</t>
      </text>
    </comment>
    <comment ref="N13" authorId="0" shapeId="0">
      <text>
        <t>Page 1: question 1
Page 1: question 3 (b)
Source: Sampling</t>
      </text>
    </comment>
    <comment ref="G16" authorId="0" shapeId="0">
      <text>
        <t>Question 1 (c) (page 1)
Question 2 (c) (page 2)
Question 3 (a,b,d,e) (page 3)
Source: Box Plots</t>
      </text>
    </comment>
    <comment ref="J16" authorId="0" shapeId="0">
      <text>
        <t>Page 13: question 14 (a,b,c)
Page 19: question 19 (a,b,c)
Page 19: question 18 (a)
Page 23: question 22 (a)
Page 25: question 24 (b)
Page 27: question 26 (a,b)
Page 28: question 27 (b)
Page 31: question 31 (b,e)
Source: Representation and summary data</t>
      </text>
    </comment>
    <comment ref="N16" authorId="0" shapeId="0">
      <text>
        <t>Page 2: question 3 (ii)
Page 5: question 6 (i)
Page 9: question 11 (a)
Page 22: question 24 (b)
Page 26: question 28 (c)
Source: Data Presentation and Interpretation</t>
      </text>
    </comment>
    <comment ref="G17" authorId="0" shapeId="0">
      <text>
        <t>Question 1 (page 1)
Question 2 (page 1)
Question 3 (page 2)
Question 5 (page 3)
Question 6 (page 4)
Question 7 (page 5)
Question 8 (page 6)
Source: Histograms</t>
      </text>
    </comment>
    <comment ref="J17" authorId="0" shapeId="0">
      <text>
        <t>Page 1: question 1 (b)
Page 5: question 5
Page 8: question 8 (a)
Page 13: question 13
Page 16: question 16 (a,b)
Page 19: question 18 (b,c,d)
Page 29: question 28 (a)
Page 31: question 30
Source: Representation and summary data</t>
      </text>
    </comment>
    <comment ref="N17" authorId="0" shapeId="0">
      <text>
        <t>Page 1: question 1 (i,iii,iv)
Page 4: question 4 (i)
Page 5: question 7 (ii,iii,v)
Page 19: question 19 (a,b)
Page 26: question 28 (d)
Source: Data Presentation and Interpretation</t>
      </text>
    </comment>
    <comment ref="N18" authorId="0" shapeId="0">
      <text>
        <t>Page 2: question 3 (iv,vi)
Page 4: question 5 (i,ii)
Page 17: question 18 (i,ii,iii)
Source: Data Presentation and Interpretation</t>
      </text>
    </comment>
    <comment ref="G19" authorId="0" shapeId="0">
      <text>
        <t>Question 6 (c) (page 4)
Source: Variance and Standard Deviation</t>
      </text>
    </comment>
    <comment ref="J19" authorId="0" shapeId="0">
      <text>
        <t>Page 1: question 1 (e)
Page 3: question 3 (e)
Page 8: question 8 (d)
Page 13: question 14 (d)
Page 22: question 21 (e)
Page 26: question 25 (c)
Page 31: question 31 (f)
Page 32: question 33 (d)
Source: Representation and summary data</t>
      </text>
    </comment>
    <comment ref="N19" authorId="0" shapeId="0">
      <text>
        <t>Page 2: question 2 (i)
Page 5: question 6 (ii)
Page 5: question 7 (iv)
Page 10: question 12 (a)
Page 17: question 18 (vi)
Page 21: question 23 (a)
Page 22: question 24 (a)
Page 25: question 27 (c)
Source: Data Presentation and Interpretation</t>
      </text>
    </comment>
    <comment ref="G21" authorId="0" shapeId="0">
      <text>
        <t>Question 1 (c,d) (page 2)
Question 2 (b,c,d,e) (page 4)
Question 3 (page 5)
Source: Exam Booklet</t>
      </text>
    </comment>
    <comment ref="J21" authorId="0" shapeId="0">
      <text>
        <t>Page 1: question 1
Page 2: question 2 (b,c)
Page 3: question 3 (d)
Source: Regression and Correlation</t>
      </text>
    </comment>
    <comment ref="N21" authorId="0" shapeId="0">
      <text>
        <t>Page 11: question 14 (c)
Page 15: question 16 (c)
Page 20: question 21 (b(ii),b(iii))
Page 23: question 25
Source: Data Presentation and Interpretation</t>
      </text>
    </comment>
    <comment ref="J22" authorId="0" shapeId="0">
      <text>
        <t>Page 14: question 15 (e)
Source: Representation and summary data</t>
      </text>
    </comment>
    <comment ref="N22" authorId="0" shapeId="0">
      <text>
        <t>Page 11: question 14 (c)
Page 20: question 21 (b(iv))
Source: Data Presentation and Interpretation</t>
      </text>
    </comment>
    <comment ref="G23" authorId="0" shapeId="0">
      <text>
        <t>Question 5 (c) (page 4)
Question 7 (c) (page 6)
Source: OCR MEI large data set (LDS9 Health, June 2027)</t>
      </text>
    </comment>
    <comment ref="J23" authorId="0" shapeId="0">
      <text>
        <t>Page 1: question 1 (a)
Page 2: question 2 (a,b)
Page 4: question 3 (a)
Source: Regression and Correlation</t>
      </text>
    </comment>
    <comment ref="N23" authorId="0" shapeId="0">
      <text>
        <t>Page 9: question 11 (c,d)
Page 11: question 14 (b)
Page 15: question 16 (c)
Page 20: question 21 (b(i))
Source: Data Presentation and Interpretation</t>
      </text>
    </comment>
    <comment ref="G24" authorId="0" shapeId="0">
      <text>
        <t>Question 5 (a) (page 3)
Source: Histograms</t>
      </text>
    </comment>
    <comment ref="J24" authorId="0" shapeId="0">
      <text>
        <t>Page 19: question 19 (a)
Page 19: question 18 (a)
Page 23: question 22 (a)
Page 27: question 26 (a)
Source: Representation and summary data</t>
      </text>
    </comment>
    <comment ref="N24" authorId="0" shapeId="0">
      <text>
        <t>Page 14: question 15
Page 19: question 19 (b)
Page 20: question 21 (a)
Page 26: question 28 (c)
Source: Data Presentation and Interpretation</t>
      </text>
    </comment>
    <comment ref="G25" authorId="0" shapeId="0">
      <text>
        <t>Question 1 (a,b) (page 2)
Question 2 (a) (page 4)
Question 3 (a,b) (page 6)
Question 4 (a) (page 8)
Source: Question Set 2: Measures of Location and Spread exam questions</t>
      </text>
    </comment>
    <comment ref="J25" authorId="0" shapeId="0">
      <text>
        <t>Page 8: question 8 (e)
Page 9: question 10 (a)
Page 17: question 17 (f,g)
Page 21: question 20 (b,c,d)
Page 29: question 28 (d)
Page 31: question 31 (a)
Source: Representation and summary data</t>
      </text>
    </comment>
    <comment ref="N25" authorId="0" shapeId="0">
      <text>
        <t>Page 1: question 1 (ii,v)
Page 5: question 6 (iii)
Page 9: question 11 (b)
Page 11: question 13 (a,d)
Page 19: question 20 (a,b)
Page 21: question 23 (b,c)
Source: Data Presentation and Interpretation</t>
      </text>
    </comment>
    <comment ref="G26" authorId="0" shapeId="0">
      <text>
        <t>Question 1 (a) (page 1)
Question 2 (a) (page 2)
Question 4 (a) (page 5)
Question 6 (b) (page 6)
Question 8 (a) (page 7)
Source: Box Plots</t>
      </text>
    </comment>
    <comment ref="J26" authorId="0" shapeId="0">
      <text>
        <t>Page 2: question 2 (a,b)
Page 8: question 8 (b)
Page 12: question 12 (b)
Page 25: question 24 (a)
Page 26: question 25 (a)
Page 31: question 31 (c)
Page 32: question 33 (a)
Page 33: question 34 (b)
Source: Representation and summary data</t>
      </text>
    </comment>
    <comment ref="N26" authorId="0" shapeId="0">
      <text>
        <t>Page 2: question 3 (i,iv)
Page 4: question 5 (ii)
Page 7: question 8 (i)
Page 10: question 12 (b)
Page 17: question 18 (iii)
Page 25: question 27 (d)
Source: Data Presentation and Interpretation</t>
      </text>
    </comment>
    <comment ref="G27" authorId="0" shapeId="0">
      <text>
        <t>Question 2 (page 1)
Question 3 (page 2)
Question 4 (page 2)
Question 5 (c) (page 3)
Question 6 (b) (page 4)
Question 8 (b) (page 6)
Source: Variance and Standard Deviation</t>
      </text>
    </comment>
    <comment ref="J27" authorId="0" shapeId="0">
      <text>
        <t>Page 1: question 1 (c)
Page 3: question 3 (c)
Page 5: question 6 (b)
Page 12: question 12 (a)
Page 23: question 22 (d)
Page 28: question 27 (a)
Page 29: question 28 (c)
Page 30: question 29 (a)
Source: Representation and summary data</t>
      </text>
    </comment>
    <comment ref="N27" authorId="0" shapeId="0">
      <text>
        <t>Page 2: question 2 (ii)
Page 4: question 4 (ii,iv)
Page 5: question 7 (i)
Page 7: question 9
Page 8: question 10 (b)
Page 11: question 13 (a)
Page 16: question 17 (i)
Page 21: question 22 (b)
Source: Data Presentation and Interpretation</t>
      </text>
    </comment>
    <comment ref="G28" authorId="0" shapeId="0">
      <text>
        <t>Question 1 (b) (page 1)
Question 2 (b) (page 2)
Question 3 (c) (page 3)
Question 4 (b) (page 5)
Question 5 (page 5)
Question 7 (page 7)
Question 8 (b) (page 7)
Source: Box Plots</t>
      </text>
    </comment>
    <comment ref="J28" authorId="0" shapeId="0">
      <text>
        <t>Page 2: question 2 (c)
Page 6: question 7 (b)
Page 12: question 12 (c)
Page 24: question 23 (a)
Page 30: question 29 (c)
Page 31: question 31 (d)
Page 32: question 33 (b)
Source: Representation and summary data</t>
      </text>
    </comment>
    <comment ref="N28" authorId="0" shapeId="0">
      <text>
        <t>Page 2: question 2 (iii)
Page 2: question 3 (iii)
Page 4: question 4 (iii)
Page 7: question 8 (ii)
Page 8: question 10 (c)
Page 10: question 12 (c)
Page 17: question 18 (iv)
Page 21: question 23 (d)
Source: Data Presentation and Interpretation</t>
      </text>
    </comment>
    <comment ref="G29" authorId="0" shapeId="0">
      <text>
        <t>Question 3 (b) (page 2)
Question 4 (b,c) (page 3)
Question 6 (c) (page 5)
Question 8 (page 7)
Source: OCR MEI large data set (LDS9 Health, June 2027)</t>
      </text>
    </comment>
    <comment ref="J29" authorId="0" shapeId="0">
      <text>
        <t>Page 3: question 3 (b)
Page 6: question 5 (a)
Source: Data Presentation and Interpretation</t>
      </text>
    </comment>
    <comment ref="N29" authorId="0" shapeId="0">
      <text>
        <t>Page 2: question 3 (iii)
Page 8: question 10 (c)
Page 26: question 28 (a)
Source: Data Presentation and Interpretation</t>
      </text>
    </comment>
    <comment ref="G30" authorId="0" shapeId="0">
      <text>
        <t>Question 1 (page 1)
Question 2 (page 1)
Question 3 (page 2)
Question 4 (page 3)
Question 5 (page 4)
Question 6 (page 5)
Question 7 (page 6)
Question 8 (page 7)
Source: OCR MEI large data set (LDS9 Health, June 2027)</t>
      </text>
    </comment>
    <comment ref="N30" authorId="0" shapeId="0">
      <text>
        <t>Page 9: question 11 (a,b)
Page 11: question 14 (b)
Page 15: question 16 (a)
Page 20: question 21 (a)
Page 24: question 26
Page 26: question 28
Source: Data Presentation and Interpretation</t>
      </text>
    </comment>
    <comment ref="G33" authorId="0" shapeId="0">
      <text>
        <t>Question 1 (a,b) (page 2)
Question 2 (a,c) (page 4)
Question 4 (c) (page 7)
Question 5 (page 8)
Question 6 (page 9)
Source: Exam Booklet</t>
      </text>
    </comment>
    <comment ref="J33" authorId="0" shapeId="0">
      <text>
        <t>Page 1: question 1 (b)
Page 2: question 2 (b)
Page 4: question 4
Page 8: question 8 (b)
Source: Probability</t>
      </text>
    </comment>
    <comment ref="N33" authorId="0" shapeId="0">
      <text>
        <t>Page 1: question 2 (i)
Page 3: question 7 (i,ii)
Page 4: question 10
Page 4: question 9 (a,b)
Source: Probability (Yr. 1)</t>
      </text>
    </comment>
    <comment ref="G34" authorId="0" shapeId="0">
      <text>
        <t>Question 2 (page 1)
Question 3 (page 1)
Question 6 (b) (page 3)
Source: A Level Maths: Probability — Medium</t>
      </text>
    </comment>
    <comment ref="J34" authorId="0" shapeId="0">
      <text>
        <t>Page 3: question 3 (b)
Page 5: question 6 (a)
Page 15: question 20
Page 15: question 21 (c)
Page 16: question 23 (c)
Page 17: question 24 (d)
Source: Probability</t>
      </text>
    </comment>
    <comment ref="N34" authorId="0" shapeId="0">
      <text>
        <t>Page 1: question 1 (b)
Page 1: question 2 (ii)
Page 3: question 6 (ii)
Page 3: question 7 (ii,iii)
Source: Probability (Yr. 1)</t>
      </text>
    </comment>
    <comment ref="G35" authorId="0" shapeId="0">
      <text>
        <t>Question 1 (b) (page 2)
Question 5 (a) (page 8)
Source: Exam Booklet</t>
      </text>
    </comment>
    <comment ref="J35" authorId="0" shapeId="0">
      <text>
        <t>Page 1: question 1 (d)
Page 15: question 21 (b,d)
Page 16: question 23 (b,d)
Page 17: question 24 (a)
Page 17: question 25 (c)
Source: Probability</t>
      </text>
    </comment>
    <comment ref="N35" authorId="0" shapeId="0">
      <text>
        <t>Page 1: question 1 (a)
Page 1: question 2 (i)
Page 2: question 4 (i)
Page 3: question 7 (i)
Page 4: question 9 (a)
Page 4: question 8
Source: Probability (Yr. 1)</t>
      </text>
    </comment>
    <comment ref="G36" authorId="0" shapeId="0">
      <text>
        <t>Question 2 (d) (page 4)
Question 3 (c) (page 6)
Question 9 (page 16)
Question 10 (a,c) (page 17)
Source: Question Set 2: Conditional Probability exam questions</t>
      </text>
    </comment>
    <comment ref="J36" authorId="0" shapeId="0">
      <text>
        <t>Page 2: question 2 (e)
Page 5: question 6 (a)
Page 6: question 7 (c)
Page 11: question 15 (d)
Page 15: question 22 (b)
Page 15: question 21
Page 19: question 26 (d)
Source: Probability</t>
      </text>
    </comment>
    <comment ref="N36" authorId="0" shapeId="0">
      <text>
        <t>Page 1: question 1 (iii)
Page 2: question 3 (i)
Page 4: question 10 (c)
Source: Probability (Yr. 2)</t>
      </text>
    </comment>
    <comment ref="G37" authorId="0" shapeId="0">
      <text>
        <t>Question 1 (b) (page 2)
Question 2 (b) (page 4)
Question 3 (a) (page 6)
Question 4 (page 7)
Question 5 (b) (page 8)
Question 6 (b) (page 9)
Question 7 (page 10)
Source: Exam Booklet</t>
      </text>
    </comment>
    <comment ref="J37" authorId="0" shapeId="0">
      <text>
        <t>Page 2: question 2 (a,b,c)
Page 3: question 4 (a,b,c)
Page 7: question 9 (a,b,c,d,e)
Page 8: question 10 (a,b)
Page 10: question 13 (a,b,c,d)
Page 11: question 15 (a,b)
Page 13: question 18 (a,b,c)
Page 14: question 19 (a,b)
Source: Probability</t>
      </text>
    </comment>
    <comment ref="N37" authorId="0" shapeId="0">
      <text>
        <t>Page 1: question 1 (ii)
Page 2: question 3 (iii)
Page 3: question 5 (i,ii)
Page 3: question 6
Source: Probability (Yr. 2)</t>
      </text>
    </comment>
    <comment ref="G38" authorId="0" shapeId="0">
      <text>
        <t>Question 1 (b,c) (page 2)
Question 2 (b) (page 4)
Question 4 (a,c) (page 8)
Question 6 (c) (page 12)
Question 7 (b) (page 14)
Question 8 (c) (page 15)
Question 10 (b) (page 17)
Source: Question Set 2: Conditional Probability exam questions</t>
      </text>
    </comment>
    <comment ref="J38" authorId="0" shapeId="0">
      <text>
        <t>Page 2: question 2 (d)
Page 3: question 4 (d)
Page 7: question 9 (f)
Page 8: question 10 (c)
Page 10: question 13 (e)
Page 12: question 16 (b)
Page 13: question 18 (d)
Page 19: question 26 (c)
Source: Probability</t>
      </text>
    </comment>
    <comment ref="N38" authorId="0" shapeId="0">
      <text>
        <t>Page 1: question 2 (iii)
Page 1: question 1 (i)
Page 2: question 3 (ii)
Page 3: question 6
Page 3: question 5 (iii)
Page 3: question 7
Page 4: question 10 (a,b)
Page 4: question 9
Source: Probability (Yr. 2)</t>
      </text>
    </comment>
    <comment ref="G39" authorId="0" shapeId="0">
      <text>
        <t>Question 2 (d) (page 4)
Question 3 (c) (page 6)
Question 9 (b) (page 16)
Question 10 (c) (page 17)
Source: Question Set 2: Conditional Probability exam questions</t>
      </text>
    </comment>
    <comment ref="J39" authorId="0" shapeId="0">
      <text>
        <t>Page 1: question 1 (b)
Page 3: question 3 (c)
Page 4: question 4 (d)
Source: Conditional Probability</t>
      </text>
    </comment>
    <comment ref="N39" authorId="0" shapeId="0">
      <text>
        <t>Page 1: question 1 (iii)
Page 2: question 3 (i)
Page 4: question 10 (c)
Source: Probability (Yr. 2)</t>
      </text>
    </comment>
    <comment ref="G42" authorId="0" shapeId="0">
      <text>
        <t>Question 12 (a) (page 13)
Source: Question Set 6: Statistical Distributions exam questions</t>
      </text>
    </comment>
    <comment ref="J42" authorId="0" shapeId="0">
      <text>
        <t>Page 1: question 2 (a)
Page 11: question 23 (a)
Page 14: question 28 (a)
Source: Discrete distributions - Binomial</t>
      </text>
    </comment>
    <comment ref="N42" authorId="0" shapeId="0">
      <text>
        <t>Page 10: question 12 (b)
Source: Hypothesis Testing for Binomial Probabilities</t>
      </text>
    </comment>
    <comment ref="G43" authorId="0" shapeId="0">
      <text>
        <t>Question 7 (b) (page 7)
Question 8 (b) (page 9)
Question 10 (b) (page 11)
Source: Question Set 6: Statistical Distributions exam questions</t>
      </text>
    </comment>
    <comment ref="J43" authorId="0" shapeId="0">
      <text>
        <t>Page 2: question 3 (a)
Page 4: question 9 (a)
Page 8: question 16 (a)
Page 9: question 20 (a)
Page 11: question 23 (b)
Page 13: question 27 (a)
Page 14: question 28 (b)
Source: Discrete distributions - Binomial</t>
      </text>
    </comment>
    <comment ref="N43" authorId="0" shapeId="0">
      <text>
        <t>Page 2: question 2 (i)
Page 10: question 12 (c)
Source: Hypothesis Testing for Binomial Probabilities</t>
      </text>
    </comment>
    <comment ref="G44" authorId="0" shapeId="0">
      <text>
        <t>Question 5 (page 5)
Question 6 (page 6)
Question 7 (b) (page 7)
Question 8 (b,c) (page 9)
Question 10 (page 11)
Question 14 (a) (page 15)
Source: Question Set 6: Statistical Distributions exam questions</t>
      </text>
    </comment>
    <comment ref="J44" authorId="0" shapeId="0">
      <text>
        <t>Page 1: question 1 (a,b)
Page 2: question 3 (b,c)
Page 3: question 6 (a,b)
Page 4: question 9 (b,c)
Page 5: question 10
Page 7: question 14 (a,b,c)
Page 10: question 22 (a)
Page 14: question 29 (a,b,c)
Source: Discrete distributions - Binomial</t>
      </text>
    </comment>
    <comment ref="N44" authorId="0" shapeId="0">
      <text>
        <t>Page 1: question 2 (i,ii)
Page 1: question 4
Page 1: question 3 (ii)
Page 2: question 6 (c)
Page 3: question 8
Page 4: question 10 (b)
Source: Binomial Distribution</t>
      </text>
    </comment>
    <comment ref="J45" authorId="0" shapeId="0">
      <text>
        <t>Page 9: question 19 (a)
Source: Discrete distributions - Binomial</t>
      </text>
    </comment>
    <comment ref="N45" authorId="0" shapeId="0">
      <text>
        <t>Page 1: question 1 (iC)
Page 4: question 4 (iC)
Page 5: question 5 (iC)
Page 10: question 12 (c)
Source: Hypothesis Testing for Binomial Probabilities</t>
      </text>
    </comment>
    <comment ref="G46" authorId="0" shapeId="0">
      <text>
        <t>Question 14 (b) (page 15)
Source: Question Set 6: Statistical Distributions exam questions</t>
      </text>
    </comment>
    <comment ref="J46" authorId="0" shapeId="0">
      <text>
        <t>Page 3: question 3 (b)
Source: Discrete Distributions - Binomial</t>
      </text>
    </comment>
    <comment ref="N46" authorId="0" shapeId="0">
      <text>
        <t>Page 10: question 12 (d)
Source: Hypothesis Testing for Binomial Probabilities</t>
      </text>
    </comment>
    <comment ref="G47" authorId="0" shapeId="0">
      <text>
        <t>Question 1 (a,b) (page 1)
Question 2 (a,b) (page 2)
Question 7 (a) (page 7)
Question 13 (page 14)
Question 15 (a) (page 16)
Source: Question Set 6: Statistical Distributions exam questions</t>
      </text>
    </comment>
    <comment ref="J47" authorId="0" shapeId="0">
      <text>
        <t>Page 3: question 3 (a)
Page 6: question 6
Page 10: question 10 (a)
Page 12: question 12 (a)
Page 13: question 13 (a)
Source: Probability</t>
      </text>
    </comment>
    <comment ref="N47" authorId="0" shapeId="0">
      <text>
        <t>Page 1: question 1 (i)
Page 1: question 2 (a)
Page 1: question 3 (a)
Page 2: question 4 (a,b)
Page 2: question 5 (a)
Source: Discrete Probability Distributions</t>
      </text>
    </comment>
    <comment ref="G48" authorId="0" shapeId="0">
      <text>
        <t>Question 3 (page 3)
Question 7 (c) (page 7)
Question 8 (a) (page 9)
Question 9 (page 10)
Question 11 (page 12)
Question 15 (b) (page 16)
Source: Question Set 6: Statistical Distributions exam questions</t>
      </text>
    </comment>
    <comment ref="J48" authorId="0" shapeId="0">
      <text>
        <t>Page 3: question 3 (c)
Page 6: question 6
Page 10: question 10 (a,b)
Page 12: question 12 (b)
Page 13: question 13 (b)
Source: Probability</t>
      </text>
    </comment>
    <comment ref="N48" authorId="0" shapeId="0">
      <text>
        <t>Page 1: question 3 (b)
Page 1: question 2 (b)
Page 2: question 5 (b)
Page 2: question 4 (b)
Source: Discrete Probability Distributions</t>
      </text>
    </comment>
    <comment ref="J49" authorId="0" shapeId="0">
      <text>
        <t>Page 2: question 2 (d)
Page 3: question 3 (e,f)
Page 5: question 5 (e)
Page 6: question 6 (b)
Page 7: question 7 (c)
Source: Normal Distribution</t>
      </text>
    </comment>
    <comment ref="N49" authorId="0" shapeId="0">
      <text>
        <t>Page 1: question 1 (i,ii,iv,v)
Page 2: question 2 (c,d)
Source: Hypothesis Testing for Normal Mean</t>
      </text>
    </comment>
    <comment ref="J50" authorId="0" shapeId="0">
      <text>
        <t>Page 1: question 2 (a)
Page 5: question 9 (a)
Page 7: question 13 (a)
Page 9: question 16 (a)
Source: Normal distribution</t>
      </text>
    </comment>
    <comment ref="N50" authorId="0" shapeId="0">
      <text>
        <t>Page 3: question 3 (iv)
Page 4: question 4 (v)
Source: Normal Distribution</t>
      </text>
    </comment>
    <comment ref="G51" authorId="0" shapeId="0">
      <text>
        <t>Question 4 (page 3)
Question 5 (page 4)
Question 6 (page 4)
Question 7 (page 5)
Question 12 (a) (page 11)
Source: Question Set 3: The Normal Distribution exam questions</t>
      </text>
    </comment>
    <comment ref="J51" authorId="0" shapeId="0">
      <text>
        <t>Page 1: question 2 (b,c)
Page 2: question 3 (c)
Page 3: question 6 (b)
Page 5: question 9 (b)
Page 7: question 13 (b)
Page 8: question 15 (a)
Page 9: question 17 (b)
Page 10: question 19 (a,c)
Source: Normal distribution</t>
      </text>
    </comment>
    <comment ref="N51" authorId="0" shapeId="0">
      <text>
        <t>Page 1: question 1 (iii)
Page 3: question 3 (iii)
Page 4: question 4 (iv)
Page 5: question 5 (b)
Page 6: question 7 (c)
Page 6: question 6 (a)
Page 7: question 8 (d)
Source: Normal Distribution</t>
      </text>
    </comment>
    <comment ref="J52" authorId="0" shapeId="0">
      <text>
        <t>Page 2: question 4 (c)
Page 3: question 6 (a)
Page 9: question 16 (a)
Source: Normal distribution</t>
      </text>
    </comment>
    <comment ref="N52" authorId="0" shapeId="0">
      <text>
        <t>Page 3: question 3 (iv)
Page 4: question 4 (v)
Page 5: question 5 (a)
Page 6: question 7 (a)
Source: Normal Distribution</t>
      </text>
    </comment>
    <comment ref="G53" authorId="0" shapeId="0">
      <text>
        <t>Question 1 (page 1)
Question 2 (page 2)
Question 3 (page 3)
Question 8 (a) (page 6)
Question 9 (a) (page 7)
Question 11 (a,b) (page 9)
Source: Question Set 3: The Normal Distribution exam questions</t>
      </text>
    </comment>
    <comment ref="J53" authorId="0" shapeId="0">
      <text>
        <t>Page 1: question 1 (a,b)
Page 2: question 4
Page 2: question 3 (a,b)
Page 3: question 5
Page 4: question 7
Page 4: question 8
Page 5: question 11
Page 6: question 12 (a,b)
Source: Normal distribution</t>
      </text>
    </comment>
    <comment ref="N53" authorId="0" shapeId="0">
      <text>
        <t>Page 1: question 1 (i,ii,iv)
Page 2: question 2 (i,ii,iii)
Page 3: question 3 (i,ii)
Page 4: question 4 (i,ii,iii)
Page 6: question 6 (b)
Source: Normal Distribution</t>
      </text>
    </comment>
    <comment ref="G54" authorId="0" shapeId="0">
      <text>
        <t>Question 12 (a) (page 13)
Question 14 (c) (page 15)
Source: Question Set 6: Statistical Distributions exam questions</t>
      </text>
    </comment>
    <comment ref="J54" authorId="0" shapeId="0">
      <text>
        <t>Page 1: question 1 (c)
Page 2: question 2 (a,f)
Page 3: question 3 (c,e)
Source: Discrete Distributions - Binomial</t>
      </text>
    </comment>
    <comment ref="N54" authorId="0" shapeId="0">
      <text>
        <t>Page 7: question 8 (a,b,e)
Source: Normal Distribution</t>
      </text>
    </comment>
    <comment ref="G57" authorId="0" shapeId="0">
      <text>
        <t>Question 7 (b,c,d) (page 10)
Source: Exam Booklet</t>
      </text>
    </comment>
    <comment ref="J57" authorId="0" shapeId="0">
      <text>
        <t>Page 1: question 1 (d)
Page 3: question 3 (a,b)
Page 5: question 5 (e)
Source: Hypothesis Testing - Tests on Binomial</t>
      </text>
    </comment>
    <comment ref="N57" authorId="0" shapeId="0">
      <text>
        <t>Page 2: question 2 (i,ii)
Page 3: question 3 (v)
Page 5: question 5 (iii)
Source: Hypothesis Testing for Binomial Probabilities</t>
      </text>
    </comment>
    <comment ref="G58" authorId="0" shapeId="0">
      <text>
        <t>Question 9 (b) (page 6)
Source: A Level Maths: The Normal Distribution — Medium</t>
      </text>
    </comment>
    <comment ref="N58" authorId="0" shapeId="0">
      <text>
        <t>Page 1: question 1 (ii)
Page 2: question 2 (ii)
Page 3: question 3 (ii)
Page 5: question 5 (ii)
Page 8: question 9 (ii)
Source: Hypothesis Testing for Binomial Probabilities</t>
      </text>
    </comment>
    <comment ref="G59" authorId="0" shapeId="0">
      <text>
        <t>Question 7 (d) (page 10)
Source: Exam Booklet</t>
      </text>
    </comment>
    <comment ref="J59" authorId="0" shapeId="0">
      <text>
        <t>Page 2: question 2 (c)
Page 3: question 3 (c)
Source: Hypothesis Testing - Tests on Binomial</t>
      </text>
    </comment>
    <comment ref="N59" authorId="0" shapeId="0">
      <text>
        <t>Page 2: question 2 (v)
Source: Normal Distribution</t>
      </text>
    </comment>
    <comment ref="G60" authorId="0" shapeId="0">
      <text>
        <t>Question 8 (a) (page 3)
Source: A Level Maths: Hypothesis Testing — Medium</t>
      </text>
    </comment>
    <comment ref="J60" authorId="0" shapeId="0">
      <text>
        <t>Page 2: question 2 (a)
Page 3: question 3 (a)
Source: Hypothesis Testing - Tests on Binomial</t>
      </text>
    </comment>
    <comment ref="N60" authorId="0" shapeId="0">
      <text>
        <t>Page 2: question 2 (i)
Page 3: question 3 (ii)
Page 5: question 5 (ii)
Page 6: question 6 (b)
Page 8: question 9 (ii)
Source: Hypothesis Testing for Binomial Probabilities</t>
      </text>
    </comment>
    <comment ref="G61" authorId="0" shapeId="0">
      <text>
        <t>Question 3 (b,c) (page 3)
Question 4 (b,c) (page 5)
Question 5 (b) (page 7)
Question 6 (b) (page 8)
Question 7 (e) (page 10)
Source: Exam Booklet</t>
      </text>
    </comment>
    <comment ref="J61" authorId="0" shapeId="0">
      <text>
        <t>Page 1: question 1 (e)
Page 3: question 5
Page 3: question 6
Page 3: question 7 (a)
Page 4: question 8 (c)
Page 5: question 9 (a)
Page 6: question 11
Source: Hypothesis tests - Tests on binomial</t>
      </text>
    </comment>
    <comment ref="N61" authorId="0" shapeId="0">
      <text>
        <t>Page 1: question 1 (ii,iii)
Page 2: question 2 (iii)
Page 3: question 3 (iii,iv)
Page 4: question 4 (ii,iii)
Page 6: question 7
Page 8: question 9 (iii)
Page 9: question 11
Page 10: question 12 (f)
Source: Hypothesis Testing for Binomial Probabilities</t>
      </text>
    </comment>
    <comment ref="G62" authorId="0" shapeId="0">
      <text>
        <t>Question 7 (c) (page 10)
Source: Exam Booklet</t>
      </text>
    </comment>
    <comment ref="J62" authorId="0" shapeId="0">
      <text>
        <t>Page 1: question 1 (b,c,d)
Page 1: question 2 (b,c,d)
Page 2: question 3
Page 2: question 4
Page 4: question 8 (a,b)
Page 6: question 12 (a,b)
Page 7: question 13 (a,b)
Source: Hypothesis tests - Tests on binomial</t>
      </text>
    </comment>
    <comment ref="N62" authorId="0" shapeId="0">
      <text>
        <t>Page 3: question 3 (v)
Page 5: question 5 (iii)
Page 6: question 6 (b)
Source: Hypothesis Testing for Binomial Probabilities</t>
      </text>
    </comment>
    <comment ref="J63" authorId="0" shapeId="0">
      <text>
        <t>Page 2: question 3 (b)
Source: Sampling methods 2</t>
      </text>
    </comment>
    <comment ref="G64" authorId="0" shapeId="0">
      <text>
        <t>Question 8 (b,c) (page 6)
Question 9 (b,c) (page 7)
Question 10 (b) (page 8)
Question 11 (c) (page 9)
Question 12 (b) (page 11)
Question 13 (b) (page 13)
Source: Question Set 3: The Normal Distribution exam questions</t>
      </text>
    </comment>
    <comment ref="J64" authorId="0" shapeId="0">
      <text>
        <t>Page 1: question 1 (c)
Page 4: question 4 (d)
Page 6: question 6 (c)
Page 7: question 7 (b)
Source: Normal Distribution</t>
      </text>
    </comment>
    <comment ref="N64" authorId="0" shapeId="0">
      <text>
        <t>Page 2: question 2 (e)
Page 3: question 3 (b)
Page 3: question 4 (e)
Page 5: question 5 (c,d)
Page 6: question 6
Source: Hypothesis Testing for Normal Mean</t>
      </text>
    </comment>
    <comment ref="N65" authorId="0" shapeId="0">
      <text>
        <t>Page 5: question 5 (c,d)
Source: Hypothesis Testing for Normal Mean</t>
      </text>
    </comment>
    <comment ref="G66" authorId="0" shapeId="0">
      <text>
        <t>Question 1 (b) (page 2)
Question 5 (b) (page 7)
Question 6 (b) (page 9)
Question 9 (a) (page 13)
Source: Question Set 1: Regression, Correlation and Hypothesis Testing exam questions</t>
      </text>
    </comment>
    <comment ref="J66" authorId="0" shapeId="0">
      <text>
        <t>Page 1: question 1 (b)
Page 2: question 2 (c)
Page 3: question 3 (b)
Page 4: question 4 (a)
Page 5: question 5 (a,b)
Source: Regression, Correlation and Hypothesis Testing</t>
      </text>
    </comment>
    <comment ref="N66" authorId="0" shapeId="0">
      <text>
        <t>Page 1: question 1 (b)
Page 2: question 2 (c)
Source: Hypothesis Testing for Correlation and Association</t>
      </text>
    </comment>
    <comment ref="G67" authorId="0" shapeId="0">
      <text>
        <t>Question 1 (d,e) (page 2)
Question 2 (page 4)
Question 3 (page 5)
Question 4 (page 6)
Question 5 (a) (page 7)
Question 6 (a) (page 9)
Question 10 (page 14)
Question 11 (page 15)
Source: Question Set 1: Regression, Correlation and Hypothesis Testing exam questions</t>
      </text>
    </comment>
    <comment ref="J67" authorId="0" shapeId="0">
      <text>
        <t>Page 1: question 1 (c)
Page 2: question 2 (a)
Page 3: question 3 (a)
Page 4: question 4 (c)
Page 5: question 5 (d)
Source: Regression, Correlation and Hypothesis Testing</t>
      </text>
    </comment>
    <comment ref="N67" authorId="0" shapeId="0">
      <text>
        <t>Page 1: question 1 (a)
Page 2: question 2 (c)
Page 4: question 3 (d)
Source: Hypothesis Testing for Correlation and Association</t>
      </text>
    </comment>
  </commentList>
</comments>
</file>

<file path=xl/comments/comment3.xml><?xml version="1.0" encoding="utf-8"?>
<comments xmlns="http://schemas.openxmlformats.org/spreadsheetml/2006/main">
  <authors>
    <author>Tracker</author>
  </authors>
  <commentList>
    <comment ref="G9" authorId="0" shapeId="0">
      <text>
        <t>Question 2 (b) (page 1)
Question 3 (page 1)
Question 5 (a,b) (page 2)
Question 7 (page 3)
Source: Modelling Assumptions</t>
      </text>
    </comment>
    <comment ref="J9" authorId="0" shapeId="0">
      <text>
        <t>Page 2: question 2 (c)
Page 5: question 5 (d)
Page 6: question 6 (d)
Page 7: question 7 (d)
Page 8: question 8 (d)
Page 11: question 13 (c)
Page 12: question 14 (c)
Page 13: question 15 (d)
Source: Dynamics - Connected particles</t>
      </text>
    </comment>
    <comment ref="N9" authorId="0" shapeId="0">
      <text>
        <t>Page 3: question 5 (b)
Page 4: question 6 (c)
Source: Calculus in Kinematics</t>
      </text>
    </comment>
    <comment ref="G10" authorId="0" shapeId="0">
      <text>
        <t>Question 1 (page 1)
Question 2 (a) (page 1)
Question 6 (a,b) (page 2)
Source: Modelling Assumptions</t>
      </text>
    </comment>
    <comment ref="J10" authorId="0" shapeId="0">
      <text>
        <t>Page 3: question 5 (d)
Page 10: question 16 (c)
Source: Moments - Moments about a point 1</t>
      </text>
    </comment>
    <comment ref="G12" authorId="0" shapeId="0">
      <text>
        <t>Question 3 (a) (page 5)
Source: Question Set 1: Constant Acceleration exam questions</t>
      </text>
    </comment>
    <comment ref="J12" authorId="0" shapeId="0">
      <text>
        <t>Page 1: question 1 (a)
Source: Kinematics - by Graphical Methods</t>
      </text>
    </comment>
    <comment ref="N13" authorId="0" shapeId="0">
      <text>
        <t>Page 3: question 5 (a)
Source: Rigid Bodies in Equilibrium</t>
      </text>
    </comment>
    <comment ref="J16" authorId="0" shapeId="0">
      <text>
        <t>Page 1: question 1 (b)
Page 3: question 3 (b)
Source: Kinematics - Uniform Acceleration Formulae</t>
      </text>
    </comment>
    <comment ref="N16" authorId="0" shapeId="0">
      <text>
        <t>Page 5: question 9 (b)
Source: Motion in 1 Dimension, Kinematics Graphs and Constant Acceleration Formulae</t>
      </text>
    </comment>
    <comment ref="G17" authorId="0" shapeId="0">
      <text>
        <t>Question 1 (b) (page 2)
Question 4 (b) (page 5)
Question 7 (c) (page 8)
Question 9 (b) (page 10)
Source: Exam Booklet</t>
      </text>
    </comment>
    <comment ref="J17" authorId="0" shapeId="0">
      <text>
        <t>Page 1: question 1 (c)
Page 2: question 2 (b)
Page 3: question 3 (c)
Source: Kinematics - Problems in Calculus</t>
      </text>
    </comment>
    <comment ref="N17" authorId="0" shapeId="0">
      <text>
        <t>Page 1: question 2 (b)
Page 1: question 1 (b)
Page 4: question 7 (b)
Source: Calculus in Kinematics</t>
      </text>
    </comment>
    <comment ref="G18" authorId="0" shapeId="0">
      <text>
        <t>Question 6 (a) (page 7)
Question 7 (b) (page 8)
Source: Exam Booklet</t>
      </text>
    </comment>
    <comment ref="J18" authorId="0" shapeId="0">
      <text>
        <t>Page 3: question 3 (b)
Source: Kinematics - Problems in Calculus</t>
      </text>
    </comment>
    <comment ref="N18" authorId="0" shapeId="0">
      <text>
        <t>Page 1: question 2 (a)
Page 4: question 6 (b)
Source: Calculus in Kinematics</t>
      </text>
    </comment>
    <comment ref="G19" authorId="0" shapeId="0">
      <text>
        <t>Question 1 (page 1)
Question 2 (page 3)
Question 3 (page 4)
Question 4 (page 6)
Source: 9.2 Velocity-Time Graphs</t>
      </text>
    </comment>
    <comment ref="J19" authorId="0" shapeId="0">
      <text>
        <t>Page 1: question 3
Page 1: question 2
Page 2: question 5
Page 2: question 4
Page 3: question 6
Page 4: question 8
Page 5: question 10
Page 7: question 13
Source: Kinematics - by graphical methods</t>
      </text>
    </comment>
    <comment ref="N19" authorId="0" shapeId="0">
      <text>
        <t>Page 1: question 1 (i)
Page 2: question 3
Page 3: question 4
Page 4: question 6 (v)
Page 5: question 9 (a)
Page 5: question 8 (a)
Source: Motion in 1 Dimension, Kinematics Graphs and Constant Acceleration Formulae</t>
      </text>
    </comment>
    <comment ref="G20" authorId="0" shapeId="0">
      <text>
        <t>Question 4 (a) (page 5)
Question 5 (page 6)
Question 8 (page 9)
Question 9 (a) (page 10)
Question 11 (page 12)
Source: Exam Booklet</t>
      </text>
    </comment>
    <comment ref="J20" authorId="0" shapeId="0">
      <text>
        <t>Page 1: question 1 (a)
Page 2: question 2 (a)
Page 3: question 3 (b)
Source: Kinematics - Problems in Calculus</t>
      </text>
    </comment>
    <comment ref="N20" authorId="0" shapeId="0">
      <text>
        <t>Page 1: question 1 (a)
Page 1: question 3
Page 1: question 2 (a)
Page 4: question 6 (a)
Page 4: question 7 (c)
Source: Calculus in Kinematics</t>
      </text>
    </comment>
    <comment ref="G21" authorId="0" shapeId="0">
      <text>
        <t>Question 1 (page 2)
Question 2 (page 3)
Question 3 (page 4)
Question 4 (b) (page 5)
Question 6 (b) (page 7)
Question 7 (a,c) (page 8)
Question 10 (page 11)
Question 12 (page 13)
Source: Exam Booklet</t>
      </text>
    </comment>
    <comment ref="J21" authorId="0" shapeId="0">
      <text>
        <t>Page 1: question 1
Page 1: question 4
Page 1: question 3 (b)
Page 1: question 2
Page 2: question 5 (b,d)
Page 3: question 6
Page 4: question 11
Page 5: question 12
Source: Kinematics - Problems with calculus</t>
      </text>
    </comment>
    <comment ref="N21" authorId="0" shapeId="0">
      <text>
        <t>Page 2: question 4
Page 3: question 5 (g)
Page 4: question 7 (b)
Source: Calculus in Kinematics</t>
      </text>
    </comment>
    <comment ref="G22" authorId="0" shapeId="0">
      <text>
        <t>Question 4 (page 2)
Question 8 (page 3)
Source: Modelling Assumptions</t>
      </text>
    </comment>
    <comment ref="J22" authorId="0" shapeId="0">
      <text>
        <t>Page 1: question Q1
Source: Kinematics - by Graphical Methods</t>
      </text>
    </comment>
    <comment ref="N22" authorId="0" shapeId="0">
      <text>
        <t>Page 6: question 10
Source: Motion in 1 Dimension, Kinematics Graphs and Constant Acceleration Formulae</t>
      </text>
    </comment>
    <comment ref="G23" authorId="0" shapeId="0">
      <text>
        <t>Question 2 (page 4)
Question 5 (page 7)
Question 6 (page 8)
Question 7 (page 10)
Question 8 (page 12)
Question 9 (page 14)
Question 10 (page 15)
Question 15 (page 21)
Source: Question Set 1: Constant Acceleration exam questions</t>
      </text>
    </comment>
    <comment ref="J23" authorId="0" shapeId="0">
      <text>
        <t>Page 1: question 1
Page 4: question 5
Page 4: question 8
Page 5: question 9
Page 5: question 10
Page 6: question 12
Page 7: question 15
Page 9: question 18
Source: Kinematics - Uniform acceleration formulae</t>
      </text>
    </comment>
    <comment ref="N23" authorId="0" shapeId="0">
      <text>
        <t>Page 1: question 1 (iii,iv,v)
Page 2: question 2
Page 3: question 5
Page 4: question 6 (i,ii,iii,iv)
Page 5: question 7
Page 5: question 8 (b,c,d)
Source: Motion in 1 Dimension, Kinematics Graphs and Constant Acceleration Formulae</t>
      </text>
    </comment>
    <comment ref="G26" authorId="0" shapeId="0">
      <text>
        <t>Question 2 (page 2)
Question 3 (page 3)
Question 4 (b) (page 4)
Question 12 (b) (page 16)
Question 16 (a) (page 20)
Question 21 (page 26)
Source: Question Set 5: Further Kinematics exam questions</t>
      </text>
    </comment>
    <comment ref="J26" authorId="0" shapeId="0">
      <text>
        <t>Page 1: question 1
Page 4: question 8 (a)
Page 5: question 9 (a)
Page 7: question 11 (c)
Page 9: question 15 (b)
Page 9: question 16 (b)
Source: Kinematics - Problems with vectors 1</t>
      </text>
    </comment>
    <comment ref="N26" authorId="0" shapeId="0">
      <text>
        <t>Page 1: question 1
Page 2: question 3 (ii)
Page 2: question 4 (ii)
Page 3: question 6 (a)
Page 3: question 5 (a)
Source: Motion in 2 Dimensions</t>
      </text>
    </comment>
    <comment ref="G27" authorId="0" shapeId="0">
      <text>
        <t>Question 1 (page 1)
Question 10 (page 14)
Question 13 (page 17)
Question 14 (page 18)
Question 16 (page 20)
Question 17 (page 21)
Question 18 (page 22)
Question 19 (page 23)
Source: Question Set 5: Further Kinematics exam questions</t>
      </text>
    </comment>
    <comment ref="J27" authorId="0" shapeId="0">
      <text>
        <t>Page 5: question Q5
Page 6: question Q6
Page 7: question Q7
Page 8: question Q8
Page 9: question Q9
Page 10: question Q10
Source: Kinematics - Problems in Calculus</t>
      </text>
    </comment>
    <comment ref="N27" authorId="0" shapeId="0">
      <text>
        <t>Page 1: question 1
Page 2: question 4 (i,ii)
Page 3: question 6 (a,b)
Page 3: question 7 (i,ii)
Page 3: question 5 (c)
Page 4: question 9
Page 4: question 8
Page 4: question 10 (a)
Source: Motion in 2 Dimensions</t>
      </text>
    </comment>
    <comment ref="G28" authorId="0" shapeId="0">
      <text>
        <t>Question 6 (a) (page 8)
Source: Question Set 3: Projectiles exam questions</t>
      </text>
    </comment>
    <comment ref="J28" authorId="0" shapeId="0">
      <text>
        <t>Page 2: question 2 (a)
Page 3: question 3 (a)
Source: Kinematics - Projectiles 2</t>
      </text>
    </comment>
    <comment ref="N28" authorId="0" shapeId="0">
      <text>
        <t>Page 2: question 4 (iii)
Page 3: question 6 (c)
Page 4: question 10 (b)
Source: Motion in 2 Dimensions</t>
      </text>
    </comment>
    <comment ref="G29" authorId="0" shapeId="0">
      <text>
        <t>Question 5 (page 5)
Question 7 (page 8)
Question 8 (page 10)
Question 9 (page 12)
Question 12 (a) (page 16)
Question 14 (b) (page 18)
Question 18 (a) (page 22)
Question 20 (b) (page 25)
Source: Question Set 5: Further Kinematics exam questions</t>
      </text>
    </comment>
    <comment ref="J29" authorId="0" shapeId="0">
      <text>
        <t>Page 1: question 3
Page 3: question 5
Page 4: question 8 (c,d)
Page 6: question 10
Page 7: question 12
Page 8: question 13
Page 9: question 16
Page 10: question 17
Source: Kinematics - Problems with vectors 1</t>
      </text>
    </comment>
    <comment ref="N29" authorId="0" shapeId="0">
      <text>
        <t>Page 1: question 2
Page 2: question 3
Page 3: question 5 (b,c)
Page 3: question 7 (iii)
Page 4: question 9 (b,c)
Source: Motion in 2 Dimensions</t>
      </text>
    </comment>
    <comment ref="G32" authorId="0" shapeId="0">
      <text>
        <t>Question 2 (a) (page 2)
Question 5 (a) (page 7)
Question 7 (c) (page 10)
Question 8 (c) (page 12)
Question 9 (c) (page 14)
Source: Question Set 3: Projectiles exam questions</t>
      </text>
    </comment>
    <comment ref="J32" authorId="0" shapeId="0">
      <text>
        <t>Page 2: question 2 (a)
Page 4: question 4 (a,b,f)
Page 8: question 9 (d)
Page 11: question 13 (a)
Source: Kinematics - Projectiles 2</t>
      </text>
    </comment>
    <comment ref="N32" authorId="0" shapeId="0">
      <text>
        <t>Page 3: question 4 (i)
Page 4: question 6 (a,c)
Page 8: question 12 (a)
Source: Motion Under Gravity in Two Dimensions</t>
      </text>
    </comment>
    <comment ref="G33" authorId="0" shapeId="0">
      <text>
        <t>Question 1 (page 1)
Question 2 (page 2)
Question 3 (b) (page 4)
Question 4 (b,c) (page 5)
Question 5 (b) (page 7)
Question 6 (b) (page 8)
Question 7 (b) (page 10)
Question 9 (a) (page 14)
Source: Question Set 3: Projectiles exam questions</t>
      </text>
    </comment>
    <comment ref="J33" authorId="0" shapeId="0">
      <text>
        <t>Page 1: question 1 (b,c)
Page 4: question 4 (e)
Page 5: question 5
Page 6: question 6 (a,b)
Page 9: question 11
Page 11: question 13 (b,c)
Page 12: question 14 (c)
Page 13: question 15
Source: Kinematics - Projectiles 2</t>
      </text>
    </comment>
    <comment ref="N33" authorId="0" shapeId="0">
      <text>
        <t>Page 1: question 1
Page 1: question 2 (i)
Page 2: question 3 (ii)
Page 3: question 4 (iii,iv)
Page 3: question 5
Page 5: question 8 (ii,iii)
Page 7: question 11
Page 8: question 12 (c)
Source: Motion Under Gravity in Two Dimensions</t>
      </text>
    </comment>
    <comment ref="G34" authorId="0" shapeId="0">
      <text>
        <t>Question 3 (a) (page 4)
Question 4 (a) (page 5)
Question 5 (a) (page 7)
Question 7 (a) (page 10)
Question 8 (a,b) (page 12)
Question 9 (b) (page 14)
Source: Question Set 3: Projectiles exam questions</t>
      </text>
    </comment>
    <comment ref="J34" authorId="0" shapeId="0">
      <text>
        <t>Page 1: question 1 (a)
Page 4: question 4 (a,b,c)
Page 8: question 9 (c)
Page 8: question 8 (a)
Page 9: question 10 (b)
Page 11: question 13 (a)
Page 12: question 14 (b)
Source: Kinematics - Projectiles 2</t>
      </text>
    </comment>
    <comment ref="N34" authorId="0" shapeId="0">
      <text>
        <t>Page 5: question 8 (iv,v)
Page 6: question 9 (c)
Page 8: question 12 (b,d)
Source: Motion Under Gravity in Two Dimensions</t>
      </text>
    </comment>
    <comment ref="G35" authorId="0" shapeId="0">
      <text>
        <t>Question 6 (a) (page 8)
Source: Question Set 3: Projectiles exam questions</t>
      </text>
    </comment>
    <comment ref="J35" authorId="0" shapeId="0">
      <text>
        <t>Page 2: question 2 (a)
Page 3: question 3 (a)
Source: Kinematics - Projectiles 2</t>
      </text>
    </comment>
    <comment ref="N35" authorId="0" shapeId="0">
      <text>
        <t>Page 3: question 4 (ii)
Page 7: question 10 (b)
Source: Motion Under Gravity in Two Dimensions</t>
      </text>
    </comment>
    <comment ref="G36" authorId="0" shapeId="0">
      <text>
        <t>Question 2 (page 2)
Question 3 (page 4)
Question 4 (page 5)
Question 5 (page 7)
Question 6 (b) (page 8)
Question 7 (page 10)
Question 8 (page 12)
Question 9 (page 14)
Source: Question Set 3: Projectiles exam questions</t>
      </text>
    </comment>
    <comment ref="J36" authorId="0" shapeId="0">
      <text>
        <t>Page 1: question 1
Page 3: question 3 (b)
Page 5: question 5
Page 8: question 8
Page 8: question 9
Page 9: question 11
Page 12: question 14
Page 13: question 15
Source: Kinematics - Projectiles 2</t>
      </text>
    </comment>
    <comment ref="N36" authorId="0" shapeId="0">
      <text>
        <t>Page 1: question 2
Page 2: question 3 (iii)
Page 3: question 5
Page 3: question 4 (iv)
Page 4: question 7
Page 4: question 6 (b)
Page 5: question 8
Page 7: question 10 (c)
Source: Motion Under Gravity in Two Dimensions</t>
      </text>
    </comment>
    <comment ref="G39" authorId="0" shapeId="0">
      <text>
        <t>Question 8 (b) (page 13)
Source: Question Set 2: Forces and Friction exam questions</t>
      </text>
    </comment>
    <comment ref="J39" authorId="0" shapeId="0">
      <text>
        <t>Page 3: question 3 (b)
Source: Dynamics - F = ma on a slope</t>
      </text>
    </comment>
    <comment ref="N39" authorId="0" shapeId="0">
      <text>
        <t>Page 1: question 3
Page 1: question 2
Source: Forces</t>
      </text>
    </comment>
    <comment ref="N40" authorId="0" shapeId="0">
      <text>
        <t>Page 6: question 9 (a,b)
Source: Motion Under Gravity in Two Dimensions</t>
      </text>
    </comment>
    <comment ref="J41" authorId="0" shapeId="0">
      <text>
        <t>Page 2: question 4 (a)
Source: Statics - Equilibrium problems</t>
      </text>
    </comment>
    <comment ref="N41" authorId="0" shapeId="0">
      <text>
        <t>Page 1: question 2
Page 1: question 3
Source: Forces</t>
      </text>
    </comment>
    <comment ref="G42" authorId="0" shapeId="0">
      <text>
        <t>Question 9 (page 15)
Question 12 (page 17)
Source: Question Set 2: Forces and Motion exam questions</t>
      </text>
    </comment>
    <comment ref="J42" authorId="0" shapeId="0">
      <text>
        <t>Page 3: question 5 (b)
Source: Statics</t>
      </text>
    </comment>
    <comment ref="N42" authorId="0" shapeId="0">
      <text>
        <t>Page 1: question 1 (i,ii)
Source: Vectors (Yr. 1)</t>
      </text>
    </comment>
    <comment ref="G43" authorId="0" shapeId="0">
      <text>
        <t>Question 6 (page 12)
Source: Question Set 2: Forces and Motion exam questions</t>
      </text>
    </comment>
    <comment ref="N43" authorId="0" shapeId="0">
      <text>
        <t>Page 1: question 1
Page 1: question 3
Page 1: question 2
Page 2: question 4
Source: Forces</t>
      </text>
    </comment>
    <comment ref="G44" authorId="0" shapeId="0">
      <text>
        <t>Question 1 (page 2)
Question 2 (page 4)
Question 8 (a) (page 13)
Source: Question Set 2: Forces and Friction exam questions</t>
      </text>
    </comment>
    <comment ref="J44" authorId="0" shapeId="0">
      <text>
        <t>Page 1: question 1
Page 2: question 3
Page 4: question 6
Page 5: question 8 (a,b)
Source: Statics</t>
      </text>
    </comment>
    <comment ref="N44" authorId="0" shapeId="0">
      <text>
        <t>Page 1: question 1
Page 2: question 2 (ii)
Page 3: question 3
Source: Vector Treatment of Forces</t>
      </text>
    </comment>
    <comment ref="G45" authorId="0" shapeId="0">
      <text>
        <t>Question 1 (page 2)
Question 2 (page 4)
Source: Question Set 2: Forces and Friction exam questions</t>
      </text>
    </comment>
    <comment ref="J45" authorId="0" shapeId="0">
      <text>
        <t>Page 4: question 6
Page 5: question 8
Page 7: question 11
Page 9: question 14
Page 12: question 19
Page 13: question 21
Source: Statics - Equilibrium problems</t>
      </text>
    </comment>
    <comment ref="N45" authorId="0" shapeId="0">
      <text>
        <t>Page 1: question 1
Page 2: question 2 (v)
Page 3: question 3
Source: Vector Treatment of Forces</t>
      </text>
    </comment>
    <comment ref="G46" authorId="0" shapeId="0">
      <text>
        <t>Question 6 (page 12)
Source: Question Set 2: Forces and Motion exam questions</t>
      </text>
    </comment>
    <comment ref="J46" authorId="0" shapeId="0">
      <text>
        <t>Page 5: question 8
Page 9: question 14
Page 12: question 19
Page 13: question 21
Source: Statics - Equilibrium problems</t>
      </text>
    </comment>
    <comment ref="N46" authorId="0" shapeId="0">
      <text>
        <t>Page 1: question 1
Source: Forces</t>
      </text>
    </comment>
    <comment ref="G47" authorId="0" shapeId="0">
      <text>
        <t>Question 1 (page 2)
Question 2 (page 4)
Source: Question Set 2: Forces and Friction exam questions</t>
      </text>
    </comment>
    <comment ref="J47" authorId="0" shapeId="0">
      <text>
        <t>Page 4: question 6
Page 5: question 8
Page 7: question 11
Page 9: question 14
Page 12: question 19
Page 13: question 21
Source: Statics - Equilibrium problems</t>
      </text>
    </comment>
    <comment ref="N47" authorId="0" shapeId="0">
      <text>
        <t>Page 1: question 1
Page 3: question 3
Source: Vector Treatment of Forces</t>
      </text>
    </comment>
    <comment ref="G48" authorId="0" shapeId="0">
      <text>
        <t>Question 8 (b) (page 13)
Source: Question Set 2: Forces and Friction exam questions</t>
      </text>
    </comment>
    <comment ref="J48" authorId="0" shapeId="0">
      <text>
        <t>Page 2: question 4 (a)
Page 4: question 7 (a)
Page 7: question 12 (a)
Source: Statics - Equilibrium problems</t>
      </text>
    </comment>
    <comment ref="N48" authorId="0" shapeId="0">
      <text>
        <t>Page 1: question 2
Source: Frictional Force and Normal Contact Force</t>
      </text>
    </comment>
    <comment ref="G49" authorId="0" shapeId="0">
      <text>
        <t>Question 3 (page 6)
Question 4 (page 7)
Question 6 (page 9)
Question 7 (page 11)
Question 10 (a) (page 16)
Source: Question Set 2: Forces and Friction exam questions</t>
      </text>
    </comment>
    <comment ref="J49" authorId="0" shapeId="0">
      <text>
        <t>Page 2: question 3
Page 4: question 7
Page 5: question 9 (a)
Page 6: question 10
Page 7: question 12
Page 10: question 16
Page 11: question 18
Page 13: question 20
Source: Statics - Equilibrium problems</t>
      </text>
    </comment>
    <comment ref="N49" authorId="0" shapeId="0">
      <text>
        <t>Page 2: question 4 (b)
Page 3: question 6
Page 3: question 5
Source: Frictional Force and Normal Contact Force</t>
      </text>
    </comment>
    <comment ref="G50" authorId="0" shapeId="0">
      <text>
        <t>Question 5 (page 8)
Question 8 (a) (page 13)
Question 9 (page 15)
Question 10 (b) (page 16)
Source: Question Set 2: Forces and Friction exam questions</t>
      </text>
    </comment>
    <comment ref="J50" authorId="0" shapeId="0">
      <text>
        <t>Page 1: question 2
Page 1: question 1 (a,b)
Page 2: question 4 (b)
Page 3: question 6
Page 4: question 8
Page 4: question 7 (b)
Page 5: question 9
Page 5: question 10
Source: Dynamics - F = ma on a slope</t>
      </text>
    </comment>
    <comment ref="N50" authorId="0" shapeId="0">
      <text>
        <t>Page 1: question 3
Page 3: question 7
Page 3: question 5
Source: Frictional Force and Normal Contact Force</t>
      </text>
    </comment>
    <comment ref="G53" authorId="0" shapeId="0">
      <text>
        <t>Question 3 (page 6)
Question 4 (a,b,d) (page 8)
Question 5 (page 10)
Source: Question Set 2: Forces and Motion exam questions</t>
      </text>
    </comment>
    <comment ref="J53" authorId="0" shapeId="0">
      <text>
        <t>Page 1: question 1
Page 2: question 2 (a)
Page 5: question 5 (b)
Source: Forces and Newton's Laws of Motion</t>
      </text>
    </comment>
    <comment ref="N53" authorId="0" shapeId="0">
      <text>
        <t>Page 2: question 3
Page 2: question 4
Page 3: question 5 (i,ii,iii)
Source: Newton's Laws of Motion (Yr. 1)</t>
      </text>
    </comment>
    <comment ref="J54" authorId="0" shapeId="0">
      <text>
        <t>Page 5: question 5 (a,b)
Page 7: question 7 (a)
Page 13: question 15 (a)
Source: Dynamics - Connected particles</t>
      </text>
    </comment>
    <comment ref="N54" authorId="0" shapeId="0">
      <text>
        <t>Page 4: question 3 (i)
Page 5: question 4 (a)
Source: Newton's Laws of Motion (Yr. 2)</t>
      </text>
    </comment>
    <comment ref="G55" authorId="0" shapeId="0">
      <text>
        <t>Question 3 (a) (page 6)
Question 4 (a,d) (page 8)
Question 5 (a,d) (page 10)
Question 7 (b) (page 13)
Source: Question Set 2: Forces and Motion exam questions</t>
      </text>
    </comment>
    <comment ref="J55" authorId="0" shapeId="0">
      <text>
        <t>Page 1: question 1 (a)
Page 2: question 3 (b)
Page 3: question 5 (c)
Page 4: question 7 (b)
Source: Dynamics - F = ma horizontally</t>
      </text>
    </comment>
    <comment ref="N55" authorId="0" shapeId="0">
      <text>
        <t>Page 1: question 1 (ii,iii)
Page 2: question 3
Page 2: question 4
Source: Newton's Laws of Motion (Yr. 1)</t>
      </text>
    </comment>
    <comment ref="G56" authorId="0" shapeId="0">
      <text>
        <t>Question 1 (page 2)
Question 2 (page 4)
Question 3 (page 6)
Question 4 (a,b,c) (page 8)
Question 5 (page 10)
Question 13 (page 18)
Question 14 (page 20)
Question 15 (page 22)
Source: Question Set 2: Forces and Motion exam questions</t>
      </text>
    </comment>
    <comment ref="J56" authorId="0" shapeId="0">
      <text>
        <t>Page 1: question 1 (a,b)
Page 2: question 2 (a,b,c)
Page 3: question 3
Page 6: question 6 (a,b,c,d)
Page 8: question 8 (a,b,d)
Page 11: question 12
Page 15: question 16 (a,b)
Page 16: question 17 (a,b)
Source: Dynamics - Connected particles</t>
      </text>
    </comment>
    <comment ref="N56" authorId="0" shapeId="0">
      <text>
        <t>Page 1: question 1
Page 2: question 4
Page 3: question 5 (i,ii,iii)
Page 4: question 6
Source: Newton's Laws of Motion (Yr. 1)</t>
      </text>
    </comment>
    <comment ref="G57" authorId="0" shapeId="0">
      <text>
        <t>Question 1 (a,b) (page 2)
Question 2 (a) (page 4)
Question 3 (b) (page 6)
Question 4 (b) (page 8)
Question 5 (c,e) (page 10)
Question 13 (b,c) (page 18)
Question 14 (a) (page 20)
Question 15 (a) (page 22)
Source: Question Set 2: Forces and Motion exam questions</t>
      </text>
    </comment>
    <comment ref="J57" authorId="0" shapeId="0">
      <text>
        <t>Page 1: question 1 (a,b)
Page 2: question 2 (a,b)
Page 3: question 3 (b)
Page 6: question 6 (b,c)
Page 8: question 8 (b)
Page 11: question 12
Page 15: question 16 (b)
Page 16: question 17 (a)
Source: Dynamics - Connected particles</t>
      </text>
    </comment>
    <comment ref="N57" authorId="0" shapeId="0">
      <text>
        <t>Page 1: question 1 (ii,iii)
Page 2: question 4 (ii)
Page 3: question 5 (ii)
Page 4: question 6
Source: Newton's Laws of Motion (Yr. 1)</t>
      </text>
    </comment>
    <comment ref="G58" authorId="0" shapeId="0">
      <text>
        <t>Question 3 (a) (page 6)
Question 4 (a) (page 8)
Question 5 (a) (page 10)
Source: Question Set 2: Forces and Motion exam questions</t>
      </text>
    </comment>
    <comment ref="J58" authorId="0" shapeId="0">
      <text>
        <t>Page 3: question 3 (a)
Page 8: question 8 (a)
Page 9: question 10 (a)
Page 15: question 16 (a)
Source: Dynamics - Connected particles</t>
      </text>
    </comment>
    <comment ref="N58" authorId="0" shapeId="0">
      <text>
        <t>Page 2: question 4 (i)
Page 3: question 5 (i,iii)
Source: Newton's Laws of Motion (Yr. 1)</t>
      </text>
    </comment>
    <comment ref="G59" authorId="0" shapeId="0">
      <text>
        <t>Question 7 (page 13)
Source: Question Set 2: Forces and Motion exam questions</t>
      </text>
    </comment>
    <comment ref="J59" authorId="0" shapeId="0">
      <text>
        <t>Page 2: question 4 (b)
Page 2: question 3 (b)
Page 3: question 6 (a,b)
Page 4: question 7 (b)
Source: Dynamics - F = ma horizontally</t>
      </text>
    </comment>
    <comment ref="N59" authorId="0" shapeId="0">
      <text>
        <t>Page 1: question 1
Page 2: question 2
Page 5: question 6
Page 6: question 7
Page 7: question 10
Source: Newton's Laws of Motion (Yr. 2)</t>
      </text>
    </comment>
    <comment ref="G62" authorId="0" shapeId="0">
      <text>
        <t>Question 1 (page 1)
Question 2 (page 2)
Source: Question Set 1: Moments exam questions</t>
      </text>
    </comment>
    <comment ref="J62" authorId="0" shapeId="0">
      <text>
        <t>Page 3: question 4
Page 5: question 7 (a)
Page 8: question 12
Page 9: question 14
Source: Moments - Moments about a point 1</t>
      </text>
    </comment>
    <comment ref="N62" authorId="0" shapeId="0">
      <text>
        <t>Page 1: question 3 (b)
Page 1: question 2
Page 3: question 5 (a,b)
Source: Rigid Bodies in Equilibrium</t>
      </text>
    </comment>
    <comment ref="G63" authorId="0" shapeId="0">
      <text>
        <t>Question 2 (page 2)
Question 3 (page 4)
Question 4 (page 6)
Source: Question Set 1: Moments exam questions</t>
      </text>
    </comment>
    <comment ref="J63" authorId="0" shapeId="0">
      <text>
        <t>Page 1: question 1
Page 1: question 2
Page 2: question 3
Page 3: question 5
Page 4: question 6
Page 5: question 8
Page 7: question 11
Page 9: question 14
Source: Moments - Moments about a point 1</t>
      </text>
    </comment>
    <comment ref="N63" authorId="0" shapeId="0">
      <text>
        <t>Page 1: question 3
Page 1: question 2
Page 1: question 1
Page 2: question 4
Page 3: question 5 (c)
Source: Rigid Bodies in Equilibrium</t>
      </text>
    </comment>
    <comment ref="G64" authorId="0" shapeId="0">
      <text>
        <t>Question 1 (page 1)
Question 2 (page 2)
Source: Question Set 1: Moments exam questions</t>
      </text>
    </comment>
    <comment ref="J64" authorId="0" shapeId="0">
      <text>
        <t>Page 3: question 5 (b,c)
Page 6: question 10 (b)
Page 7: question 11 (c)
Page 10: question 16 (a,b)
Source: Moments - Moments about a point 1</t>
      </text>
    </comment>
    <comment ref="N64" authorId="0" shapeId="0">
      <text>
        <t>Page 1: question 1
Page 3: question 5
Source: Rigid Bodies in Equilibrium</t>
      </text>
    </comment>
    <comment ref="G65" authorId="0" shapeId="0">
      <text>
        <t>Question 3 (page 4)
Question 4 (page 6)
Source: Question Set 1: Moments exam questions</t>
      </text>
    </comment>
    <comment ref="J65" authorId="0" shapeId="0">
      <text>
        <t>Page 5: question 7 (b,c)
Page 9: question 13
Source: Moments - Moments about a point 1</t>
      </text>
    </comment>
    <comment ref="N65" authorId="0" shapeId="0">
      <text>
        <t>Page 1: question 2
Page 1: question 1
Source: Rigid Bodies in Equilibrium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29</row>
      <rowOff>0</rowOff>
    </from>
    <ext cx="5760000" cy="70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thsgenie.co.uk/a-level/maths/ocr/mei/structure-of-mathematical-proof" TargetMode="External" Id="rId1" /><Relationship Type="http://schemas.openxmlformats.org/officeDocument/2006/relationships/hyperlink" Target="https://assets.mathsgenie.co.uk/content/worksheets/a_level_maths/algebraic-methods-a3de4bc8.pdf#page=9" TargetMode="External" Id="rId2" /><Relationship Type="http://schemas.openxmlformats.org/officeDocument/2006/relationships/hyperlink" Target="https://assets.mathsgenie.co.uk/content/worksheets/a_level_maths/algebraic-methods-ans-9324f91d.pdf" TargetMode="External" Id="rId3" /><Relationship Type="http://schemas.openxmlformats.org/officeDocument/2006/relationships/hyperlink" Target="https://pmt.physicsandmathstutor.com/download/Maths/A-level/Pure/Proof-1/Edexcel-Set-C/QP/Proof%20QP.pdf#page=1" TargetMode="External" Id="rId4" /><Relationship Type="http://schemas.openxmlformats.org/officeDocument/2006/relationships/hyperlink" Target="https://pmt.physicsandmathstutor.com/download/Maths/A-level/Pure/Proof-1/Edexcel-Set-C/MS/Proof%20MS.pdf" TargetMode="External" Id="rId5" /><Relationship Type="http://schemas.openxmlformats.org/officeDocument/2006/relationships/hyperlink" Target="https://pmt.physicsandmathstutor.com/download/Maths/A-level/Pure/Proof-1/Edexcel-Set-C/MA/Proof%20MA.pdf" TargetMode="External" Id="rId6" /><Relationship Type="http://schemas.openxmlformats.org/officeDocument/2006/relationships/hyperlink" Target="https://pmt.physicsandmathstutor.com/download/Maths/A-level/Pure/Proof-1/OCR-MEI-Set-A/Proof%20%28Yr.%201%29.pdf#page=1" TargetMode="External" Id="rId7" /><Relationship Type="http://schemas.openxmlformats.org/officeDocument/2006/relationships/hyperlink" Target="https://pmt.physicsandmathstutor.com/download/Maths/A-level/Pure/Proof-1/OCR-MEI-Set-A/Proof%20%28Yr.%201%29.pdf#page=3" TargetMode="External" Id="rId8" /><Relationship Type="http://schemas.openxmlformats.org/officeDocument/2006/relationships/hyperlink" Target="https://mathsgenie.co.uk/a-level/maths/ocr/mei/disproof-by-counter-example" TargetMode="External" Id="rId9" /><Relationship Type="http://schemas.openxmlformats.org/officeDocument/2006/relationships/hyperlink" Target="https://assets.mathsgenie.co.uk/content/worksheets/a_level_maths/algebraic-methods-a3de4bc8.pdf#page=7" TargetMode="External" Id="rId10" /><Relationship Type="http://schemas.openxmlformats.org/officeDocument/2006/relationships/hyperlink" Target="https://assets.mathsgenie.co.uk/content/worksheets/a_level_maths/algebraic-methods-ans-9324f91d.pdf" TargetMode="External" Id="rId11" /><Relationship Type="http://schemas.openxmlformats.org/officeDocument/2006/relationships/hyperlink" Target="https://pmt.physicsandmathstutor.com/download/Maths/A-level/Pure/Proof-1/Solomon/2a.%20Mixed%20exam-style%20questions%20on%20proof.pdf#page=1" TargetMode="External" Id="rId12" /><Relationship Type="http://schemas.openxmlformats.org/officeDocument/2006/relationships/hyperlink" Target="https://pmt.physicsandmathstutor.com/download/Maths/A-level/Pure/Proof-1/Solomon/2b.%20Mixed%20exam-style%20questions%20on%20proof%20-%20Answers.pdf" TargetMode="External" Id="rId13" /><Relationship Type="http://schemas.openxmlformats.org/officeDocument/2006/relationships/hyperlink" Target="https://pmt.physicsandmathstutor.com/download/Maths/A-level/Pure/Proof-1/OCR-MEI-Set-A/Proof%20%28Yr.%201%29.pdf#page=1" TargetMode="External" Id="rId14" /><Relationship Type="http://schemas.openxmlformats.org/officeDocument/2006/relationships/hyperlink" Target="https://pmt.physicsandmathstutor.com/download/Maths/A-level/Pure/Proof-1/OCR-MEI-Set-A/Proof%20%28Yr.%201%29.pdf#page=3" TargetMode="External" Id="rId15" /><Relationship Type="http://schemas.openxmlformats.org/officeDocument/2006/relationships/hyperlink" Target="https://mathsgenie.co.uk/a-level/maths/ocr/mei/proof-by-contradiction" TargetMode="External" Id="rId16" /><Relationship Type="http://schemas.openxmlformats.org/officeDocument/2006/relationships/hyperlink" Target="https://assets.mathsgenie.co.uk/content/worksheets/a_level_maths/a-level-algebraic-methods-67104351.pdf#page=7" TargetMode="External" Id="rId17" /><Relationship Type="http://schemas.openxmlformats.org/officeDocument/2006/relationships/hyperlink" Target="https://assets.mathsgenie.co.uk/content/worksheets/a_level_maths/a-level-algebraic-methods-ans-75eb77a6.pdf" TargetMode="External" Id="rId18" /><Relationship Type="http://schemas.openxmlformats.org/officeDocument/2006/relationships/hyperlink" Target="https://pmt.physicsandmathstutor.com/download/Maths/A-level/Pure/Proof-1/Solomon/2a.%20Mixed%20exam-style%20questions%20on%20proof.pdf#page=1" TargetMode="External" Id="rId19" /><Relationship Type="http://schemas.openxmlformats.org/officeDocument/2006/relationships/hyperlink" Target="https://pmt.physicsandmathstutor.com/download/Maths/A-level/Pure/Proof-1/Solomon/2b.%20Mixed%20exam-style%20questions%20on%20proof%20-%20Answers.pdf" TargetMode="External" Id="rId20" /><Relationship Type="http://schemas.openxmlformats.org/officeDocument/2006/relationships/hyperlink" Target="https://pmt.physicsandmathstutor.com/download/Maths/A-level/Pure/Proof-2/OCR-MEI-Set-A/Proof%20%28Yr.%202%29.pdf#page=1" TargetMode="External" Id="rId21" /><Relationship Type="http://schemas.openxmlformats.org/officeDocument/2006/relationships/hyperlink" Target="https://pmt.physicsandmathstutor.com/download/Maths/A-level/Pure/Proof-2/OCR-MEI-Set-A/Proof%20%28Yr.%202%29.pdf#page=3" TargetMode="External" Id="rId22" /><Relationship Type="http://schemas.openxmlformats.org/officeDocument/2006/relationships/hyperlink" Target="https://mathsgenie.co.uk/a-level/maths/ocr/mei/algebraic-vocabulary-and-notation" TargetMode="External" Id="rId23" /><Relationship Type="http://schemas.openxmlformats.org/officeDocument/2006/relationships/hyperlink" Target="https://mathsgenie.co.uk/a-level/maths/ocr/mei/solve-quadratic-equations" TargetMode="External" Id="rId24" /><Relationship Type="http://schemas.openxmlformats.org/officeDocument/2006/relationships/hyperlink" Target="https://assets.mathsgenie.co.uk/content/worksheets/as_level_maths/as-pure-algebraic-expressions-1f02c4c4.pdf#page=3" TargetMode="External" Id="rId25" /><Relationship Type="http://schemas.openxmlformats.org/officeDocument/2006/relationships/hyperlink" Target="https://assets.mathsgenie.co.uk/content/worksheets/a_level_maths/algebraic-expressions-ans-8768133f.pdf" TargetMode="External" Id="rId26" /><Relationship Type="http://schemas.openxmlformats.org/officeDocument/2006/relationships/hyperlink" Target="https://pmt.physicsandmathstutor.com/download/Maths/A-level/Pure/Algebra-and-Functions-1/Solomon/06a.%20Quadratics%20%E2%80%93%20factorising.pdf#page=1" TargetMode="External" Id="rId27" /><Relationship Type="http://schemas.openxmlformats.org/officeDocument/2006/relationships/hyperlink" Target="https://pmt.physicsandmathstutor.com/download/Maths/A-level/Pure/Algebra-and-Functions-1/Solomon/06b.%20Quadratics%20%E2%80%93%20factorising%20-%20Answers.pdf" TargetMode="External" Id="rId28" /><Relationship Type="http://schemas.openxmlformats.org/officeDocument/2006/relationships/hyperlink" Target="https://pmt.physicsandmathstutor.com/download/Maths/A-level/Pure/Algebra-and-Functions-1/OCR-MEI-Set-A/Graphs%20%28Yr.%201%29.pdf#page=3" TargetMode="External" Id="rId29" /><Relationship Type="http://schemas.openxmlformats.org/officeDocument/2006/relationships/hyperlink" Target="https://pmt.physicsandmathstutor.com/download/Maths/A-level/Pure/Algebra-and-Functions-1/OCR-MEI-Set-A/Graphs%20%28Yr.%201%29.pdf#page=7" TargetMode="External" Id="rId30" /><Relationship Type="http://schemas.openxmlformats.org/officeDocument/2006/relationships/hyperlink" Target="https://mathsgenie.co.uk/a-level/maths/ocr/mei/discriminant-of-a-quadratic" TargetMode="External" Id="rId31" /><Relationship Type="http://schemas.openxmlformats.org/officeDocument/2006/relationships/hyperlink" Target="https://assets.mathsgenie.co.uk/content/worksheets/a_level_maths/quadratics-368699de.pdf#page=1" TargetMode="External" Id="rId32" /><Relationship Type="http://schemas.openxmlformats.org/officeDocument/2006/relationships/hyperlink" Target="https://assets.mathsgenie.co.uk/content/worksheets/a_level_maths/quadratics-ans-cb70f353.pdf" TargetMode="External" Id="rId33" /><Relationship Type="http://schemas.openxmlformats.org/officeDocument/2006/relationships/hyperlink" Target="https://pmt.physicsandmathstutor.com/download/Maths/A-level/Pure/Algebra-and-Functions-1/Edexcel-Set-A/Inequalities.pdf#page=1" TargetMode="External" Id="rId34" /><Relationship Type="http://schemas.openxmlformats.org/officeDocument/2006/relationships/hyperlink" Target="https://pmt.physicsandmathstutor.com/download/Maths/A-level/Pure/Algebra-and-Functions-1/OCR-MEI-Set-A/Graphs%20%28Yr.%201%29.pdf#page=2" TargetMode="External" Id="rId35" /><Relationship Type="http://schemas.openxmlformats.org/officeDocument/2006/relationships/hyperlink" Target="https://pmt.physicsandmathstutor.com/download/Maths/A-level/Pure/Algebra-and-Functions-1/OCR-MEI-Set-A/Graphs%20%28Yr.%201%29.pdf#page=7" TargetMode="External" Id="rId36" /><Relationship Type="http://schemas.openxmlformats.org/officeDocument/2006/relationships/hyperlink" Target="https://mathsgenie.co.uk/a-level/maths/ocr/mei/linear-simultaneous-equations" TargetMode="External" Id="rId37" /><Relationship Type="http://schemas.openxmlformats.org/officeDocument/2006/relationships/hyperlink" Target="https://assets.mathsgenie.co.uk/content/worksheets/a_level_maths/straight-line-graphs-292c4a26.pdf#page=5" TargetMode="External" Id="rId38" /><Relationship Type="http://schemas.openxmlformats.org/officeDocument/2006/relationships/hyperlink" Target="https://assets.mathsgenie.co.uk/content/worksheets/a_level_maths/straight-line-graphs-ans-005ba0f8.pdf" TargetMode="External" Id="rId39" /><Relationship Type="http://schemas.openxmlformats.org/officeDocument/2006/relationships/hyperlink" Target="https://pmt.physicsandmathstutor.com/download/Maths/A-level/Pure/Algebra-and-Functions-1/Solomon/08a.%20Simultaneous%20equations.pdf#page=1" TargetMode="External" Id="rId40" /><Relationship Type="http://schemas.openxmlformats.org/officeDocument/2006/relationships/hyperlink" Target="https://pmt.physicsandmathstutor.com/download/Maths/A-level/Pure/Algebra-and-Functions-1/Solomon/08b.%20Simultaneous%20equations%20-%20Answers.pdf" TargetMode="External" Id="rId41" /><Relationship Type="http://schemas.openxmlformats.org/officeDocument/2006/relationships/hyperlink" Target="https://pmt.physicsandmathstutor.com/download/Maths/A-level/Pure/Algebra-and-Functions-1/OCR-MEI-Set-A/Solution%20of%20Equations.pdf#page=1" TargetMode="External" Id="rId42" /><Relationship Type="http://schemas.openxmlformats.org/officeDocument/2006/relationships/hyperlink" Target="https://pmt.physicsandmathstutor.com/download/Maths/A-level/Pure/Algebra-and-Functions-1/OCR-MEI-Set-A/Solution%20of%20Equations.pdf#page=2" TargetMode="External" Id="rId43" /><Relationship Type="http://schemas.openxmlformats.org/officeDocument/2006/relationships/hyperlink" Target="https://mathsgenie.co.uk/a-level/maths/ocr/mei/one-linear-one-quadratic-simultaneous-equations" TargetMode="External" Id="rId44" /><Relationship Type="http://schemas.openxmlformats.org/officeDocument/2006/relationships/hyperlink" Target="https://assets.mathsgenie.co.uk/content/worksheets/as_level_maths/equations-and-inequalities-dcb945d3.pdf#page=2" TargetMode="External" Id="rId45" /><Relationship Type="http://schemas.openxmlformats.org/officeDocument/2006/relationships/hyperlink" Target="https://assets.mathsgenie.co.uk/content/worksheets/as_level_maths/equations-and-inequalities-ans-0265cfa5.pdf" TargetMode="External" Id="rId46" /><Relationship Type="http://schemas.openxmlformats.org/officeDocument/2006/relationships/hyperlink" Target="https://pmt.physicsandmathstutor.com/download/Maths/A-level/Pure/Algebra-and-Functions-1/Edexcel-Set-A/Simultaneous%20Equations.pdf#page=1" TargetMode="External" Id="rId47" /><Relationship Type="http://schemas.openxmlformats.org/officeDocument/2006/relationships/hyperlink" Target="https://pmt.physicsandmathstutor.com/download/Maths/A-level/Pure/Coordinate-Geometry-1/OCR-MEI-Set-A/Curves.pdf#page=2" TargetMode="External" Id="rId48" /><Relationship Type="http://schemas.openxmlformats.org/officeDocument/2006/relationships/hyperlink" Target="https://pmt.physicsandmathstutor.com/download/Maths/A-level/Pure/Coordinate-Geometry-1/OCR-MEI-Set-A/Curves.pdf#page=4" TargetMode="External" Id="rId49" /><Relationship Type="http://schemas.openxmlformats.org/officeDocument/2006/relationships/hyperlink" Target="https://mathsgenie.co.uk/a-level/maths/ocr/mei/points-of-intersection-and-solutions" TargetMode="External" Id="rId50" /><Relationship Type="http://schemas.openxmlformats.org/officeDocument/2006/relationships/hyperlink" Target="https://assets.mathsgenie.co.uk/content/worksheets/as_level_maths/graphs-and-transformations-2ff373eb.pdf#page=3" TargetMode="External" Id="rId51" /><Relationship Type="http://schemas.openxmlformats.org/officeDocument/2006/relationships/hyperlink" Target="https://assets.mathsgenie.co.uk/content/worksheets/as_level_maths/graphs-and-transformations-ans-ad2c0ad7.pdf" TargetMode="External" Id="rId52" /><Relationship Type="http://schemas.openxmlformats.org/officeDocument/2006/relationships/hyperlink" Target="https://pmt.physicsandmathstutor.com/download/Maths/A-level/Pure/Algebra-and-Functions-1/Edexcel-Set-C/QP/Transformations%20and%20Graphs%20QP.pdf#page=3" TargetMode="External" Id="rId53" /><Relationship Type="http://schemas.openxmlformats.org/officeDocument/2006/relationships/hyperlink" Target="https://pmt.physicsandmathstutor.com/download/Maths/A-level/Pure/Algebra-and-Functions-1/Edexcel-Set-C/MS/Transformations%20and%20Graphs%20MS.pdf" TargetMode="External" Id="rId54" /><Relationship Type="http://schemas.openxmlformats.org/officeDocument/2006/relationships/hyperlink" Target="https://pmt.physicsandmathstutor.com/download/Maths/A-level/Pure/Algebra-and-Functions-1/Edexcel-Set-C/MA/Transformations%20and%20Graphs%20MA.pdf" TargetMode="External" Id="rId55" /><Relationship Type="http://schemas.openxmlformats.org/officeDocument/2006/relationships/hyperlink" Target="https://pmt.physicsandmathstutor.com/download/Maths/A-level/Pure/Algebra-and-Functions-1/OCR-MEI-Set-A/Graphs%20%28Yr.%201%29.pdf#page=2" TargetMode="External" Id="rId56" /><Relationship Type="http://schemas.openxmlformats.org/officeDocument/2006/relationships/hyperlink" Target="https://pmt.physicsandmathstutor.com/download/Maths/A-level/Pure/Algebra-and-Functions-1/OCR-MEI-Set-A/Graphs%20%28Yr.%201%29.pdf#page=7" TargetMode="External" Id="rId57" /><Relationship Type="http://schemas.openxmlformats.org/officeDocument/2006/relationships/hyperlink" Target="https://mathsgenie.co.uk/a-level/maths/ocr/mei/linear-inequalities" TargetMode="External" Id="rId58" /><Relationship Type="http://schemas.openxmlformats.org/officeDocument/2006/relationships/hyperlink" Target="https://assets.mathsgenie.co.uk/content/worksheets/as_level_maths/equations-and-inequalities-dcb945d3.pdf#page=6" TargetMode="External" Id="rId59" /><Relationship Type="http://schemas.openxmlformats.org/officeDocument/2006/relationships/hyperlink" Target="https://assets.mathsgenie.co.uk/content/worksheets/as_level_maths/equations-and-inequalities-ans-0265cfa5.pdf" TargetMode="External" Id="rId60" /><Relationship Type="http://schemas.openxmlformats.org/officeDocument/2006/relationships/hyperlink" Target="https://pmt.physicsandmathstutor.com/download/Maths/A-level/Pure/Algebra-and-Functions-1/Edexcel-Set-A/Inequalities.pdf#page=1" TargetMode="External" Id="rId61" /><Relationship Type="http://schemas.openxmlformats.org/officeDocument/2006/relationships/hyperlink" Target="https://pmt.physicsandmathstutor.com/download/Maths/A-level/Pure/Algebra-and-Functions-1/OCR-MEI-Set-A/Inequalitites.pdf#page=1" TargetMode="External" Id="rId62" /><Relationship Type="http://schemas.openxmlformats.org/officeDocument/2006/relationships/hyperlink" Target="https://pmt.physicsandmathstutor.com/download/Maths/A-level/Pure/Algebra-and-Functions-1/OCR-MEI-Set-A/Inequalitites.pdf#page=2" TargetMode="External" Id="rId63" /><Relationship Type="http://schemas.openxmlformats.org/officeDocument/2006/relationships/hyperlink" Target="https://mathsgenie.co.uk/a-level/maths/ocr/mei/quadratic-inequalities" TargetMode="External" Id="rId64" /><Relationship Type="http://schemas.openxmlformats.org/officeDocument/2006/relationships/hyperlink" Target="https://assets.mathsgenie.co.uk/content/worksheets/as_level_maths/equations-and-inequalities-dcb945d3.pdf#page=1" TargetMode="External" Id="rId65" /><Relationship Type="http://schemas.openxmlformats.org/officeDocument/2006/relationships/hyperlink" Target="https://assets.mathsgenie.co.uk/content/worksheets/as_level_maths/equations-and-inequalities-ans-0265cfa5.pdf" TargetMode="External" Id="rId66" /><Relationship Type="http://schemas.openxmlformats.org/officeDocument/2006/relationships/hyperlink" Target="https://pmt.physicsandmathstutor.com/download/Maths/A-level/Pure/Algebra-and-Functions-1/Edexcel-Set-A/Inequalities.pdf#page=1" TargetMode="External" Id="rId67" /><Relationship Type="http://schemas.openxmlformats.org/officeDocument/2006/relationships/hyperlink" Target="https://pmt.physicsandmathstutor.com/download/Maths/A-level/Pure/Algebra-and-Functions-1/OCR-MEI-Set-A/Inequalitites.pdf#page=1" TargetMode="External" Id="rId68" /><Relationship Type="http://schemas.openxmlformats.org/officeDocument/2006/relationships/hyperlink" Target="https://pmt.physicsandmathstutor.com/download/Maths/A-level/Pure/Algebra-and-Functions-1/OCR-MEI-Set-A/Inequalitites.pdf#page=2" TargetMode="External" Id="rId69" /><Relationship Type="http://schemas.openxmlformats.org/officeDocument/2006/relationships/hyperlink" Target="https://mathsgenie.co.uk/a-level/maths/ocr/mei/expressing-solutions-of-inequalities" TargetMode="External" Id="rId70" /><Relationship Type="http://schemas.openxmlformats.org/officeDocument/2006/relationships/hyperlink" Target="https://assets.mathsgenie.co.uk/content/worksheets/as_level_maths/equations-and-inequalities-dcb945d3.pdf#page=1" TargetMode="External" Id="rId71" /><Relationship Type="http://schemas.openxmlformats.org/officeDocument/2006/relationships/hyperlink" Target="https://assets.mathsgenie.co.uk/content/worksheets/as_level_maths/equations-and-inequalities-ans-0265cfa5.pdf" TargetMode="External" Id="rId72" /><Relationship Type="http://schemas.openxmlformats.org/officeDocument/2006/relationships/hyperlink" Target="https://pmt.physicsandmathstutor.com/download/Maths/A-level/Pure/Algebra-and-Functions-1/Edexcel-Set-A/Inequalities.pdf#page=1" TargetMode="External" Id="rId73" /><Relationship Type="http://schemas.openxmlformats.org/officeDocument/2006/relationships/hyperlink" Target="https://pmt.physicsandmathstutor.com/download/Maths/A-level/Pure/Algebra-and-Functions-1/OCR-MEI-Set-A/Inequalitites.pdf#page=1" TargetMode="External" Id="rId74" /><Relationship Type="http://schemas.openxmlformats.org/officeDocument/2006/relationships/hyperlink" Target="https://pmt.physicsandmathstutor.com/download/Maths/A-level/Pure/Algebra-and-Functions-1/OCR-MEI-Set-A/Inequalitites.pdf#page=2" TargetMode="External" Id="rId75" /><Relationship Type="http://schemas.openxmlformats.org/officeDocument/2006/relationships/hyperlink" Target="https://mathsgenie.co.uk/a-level/maths/ocr/mei/use-and-manipulate-surds" TargetMode="External" Id="rId76" /><Relationship Type="http://schemas.openxmlformats.org/officeDocument/2006/relationships/hyperlink" Target="https://assets.mathsgenie.co.uk/content/worksheets/a_level_maths/as-pure-mathematics-1-algebraic-expressions-medium-fe59d1c7.pdf#page=1" TargetMode="External" Id="rId77" /><Relationship Type="http://schemas.openxmlformats.org/officeDocument/2006/relationships/hyperlink" Target="https://assets.mathsgenie.co.uk/content/worksheets/a_level_maths/as-pure-mathematics-1-algebraic-expressions-medium-ans-caa289b8.pdf" TargetMode="External" Id="rId78" /><Relationship Type="http://schemas.openxmlformats.org/officeDocument/2006/relationships/hyperlink" Target="https://pmt.physicsandmathstutor.com/download/Maths/A-level/Pure/Algebra-and-Functions-1/Solomon/02a.%20Surds.pdf#page=1" TargetMode="External" Id="rId79" /><Relationship Type="http://schemas.openxmlformats.org/officeDocument/2006/relationships/hyperlink" Target="https://pmt.physicsandmathstutor.com/download/Maths/A-level/Pure/Algebra-and-Functions-1/Solomon/02b.%20Surds%20-%20Answers.pdf" TargetMode="External" Id="rId80" /><Relationship Type="http://schemas.openxmlformats.org/officeDocument/2006/relationships/hyperlink" Target="https://pmt.physicsandmathstutor.com/download/Maths/A-level/Pure/Algebra-and-Functions-1/OCR-MEI-Set-A/Surds%20and%20Indices.pdf#page=1" TargetMode="External" Id="rId81" /><Relationship Type="http://schemas.openxmlformats.org/officeDocument/2006/relationships/hyperlink" Target="https://pmt.physicsandmathstutor.com/download/Maths/A-level/Pure/Algebra-and-Functions-1/OCR-MEI-Set-A/Surds%20and%20Indices.pdf#page=5" TargetMode="External" Id="rId82" /><Relationship Type="http://schemas.openxmlformats.org/officeDocument/2006/relationships/hyperlink" Target="https://mathsgenie.co.uk/a-level/maths/ocr/mei/rationalise-the-denominator" TargetMode="External" Id="rId83" /><Relationship Type="http://schemas.openxmlformats.org/officeDocument/2006/relationships/hyperlink" Target="https://assets.mathsgenie.co.uk/content/worksheets/a_level_maths/as-pure-mathematics-1-algebraic-expressions-medium-fe59d1c7.pdf#page=2" TargetMode="External" Id="rId84" /><Relationship Type="http://schemas.openxmlformats.org/officeDocument/2006/relationships/hyperlink" Target="https://assets.mathsgenie.co.uk/content/worksheets/a_level_maths/as-pure-mathematics-1-algebraic-expressions-medium-ans-caa289b8.pdf" TargetMode="External" Id="rId85" /><Relationship Type="http://schemas.openxmlformats.org/officeDocument/2006/relationships/hyperlink" Target="https://pmt.physicsandmathstutor.com/download/Maths/A-level/Pure/Algebra-and-Functions-1/Solomon/02a.%20Surds.pdf#page=1" TargetMode="External" Id="rId86" /><Relationship Type="http://schemas.openxmlformats.org/officeDocument/2006/relationships/hyperlink" Target="https://pmt.physicsandmathstutor.com/download/Maths/A-level/Pure/Algebra-and-Functions-1/Solomon/02b.%20Surds%20-%20Answers.pdf" TargetMode="External" Id="rId87" /><Relationship Type="http://schemas.openxmlformats.org/officeDocument/2006/relationships/hyperlink" Target="https://pmt.physicsandmathstutor.com/download/Maths/A-level/Pure/Algebra-and-Functions-1/OCR-MEI-Set-A/Surds%20and%20Indices.pdf#page=1" TargetMode="External" Id="rId88" /><Relationship Type="http://schemas.openxmlformats.org/officeDocument/2006/relationships/hyperlink" Target="https://pmt.physicsandmathstutor.com/download/Maths/A-level/Pure/Algebra-and-Functions-1/OCR-MEI-Set-A/Surds%20and%20Indices.pdf#page=5" TargetMode="External" Id="rId89" /><Relationship Type="http://schemas.openxmlformats.org/officeDocument/2006/relationships/hyperlink" Target="https://mathsgenie.co.uk/a-level/maths/ocr/mei/laws-of-indices" TargetMode="External" Id="rId90" /><Relationship Type="http://schemas.openxmlformats.org/officeDocument/2006/relationships/hyperlink" Target="https://assets.mathsgenie.co.uk/content/worksheets/as_level_maths/as-pure-algebraic-expressions-1f02c4c4.pdf#page=1" TargetMode="External" Id="rId91" /><Relationship Type="http://schemas.openxmlformats.org/officeDocument/2006/relationships/hyperlink" Target="https://assets.mathsgenie.co.uk/content/worksheets/a_level_maths/algebraic-expressions-ans-8768133f.pdf" TargetMode="External" Id="rId92" /><Relationship Type="http://schemas.openxmlformats.org/officeDocument/2006/relationships/hyperlink" Target="https://pmt.physicsandmathstutor.com/download/Maths/A-level/Pure/Algebra-and-Functions-1/Solomon/01a.%20Indices.pdf#page=1" TargetMode="External" Id="rId93" /><Relationship Type="http://schemas.openxmlformats.org/officeDocument/2006/relationships/hyperlink" Target="https://pmt.physicsandmathstutor.com/download/Maths/A-level/Pure/Algebra-and-Functions-1/Solomon/01b.%20Indices%20-%20Answers.pdf" TargetMode="External" Id="rId94" /><Relationship Type="http://schemas.openxmlformats.org/officeDocument/2006/relationships/hyperlink" Target="https://pmt.physicsandmathstutor.com/download/Maths/A-level/Pure/Algebra-and-Functions-1/OCR-MEI-Set-A/Surds%20and%20Indices.pdf#page=1" TargetMode="External" Id="rId95" /><Relationship Type="http://schemas.openxmlformats.org/officeDocument/2006/relationships/hyperlink" Target="https://pmt.physicsandmathstutor.com/download/Maths/A-level/Pure/Algebra-and-Functions-1/OCR-MEI-Set-A/Surds%20and%20Indices.pdf#page=5" TargetMode="External" Id="rId96" /><Relationship Type="http://schemas.openxmlformats.org/officeDocument/2006/relationships/hyperlink" Target="https://mathsgenie.co.uk/a-level/maths/ocr/mei/negative-fractional-and-zero-indices" TargetMode="External" Id="rId97" /><Relationship Type="http://schemas.openxmlformats.org/officeDocument/2006/relationships/hyperlink" Target="https://assets.mathsgenie.co.uk/content/worksheets/as_level_maths/as-pure-algebraic-expressions-1f02c4c4.pdf#page=1" TargetMode="External" Id="rId98" /><Relationship Type="http://schemas.openxmlformats.org/officeDocument/2006/relationships/hyperlink" Target="https://assets.mathsgenie.co.uk/content/worksheets/a_level_maths/algebraic-expressions-ans-8768133f.pdf" TargetMode="External" Id="rId99" /><Relationship Type="http://schemas.openxmlformats.org/officeDocument/2006/relationships/hyperlink" Target="https://pmt.physicsandmathstutor.com/download/Maths/A-level/Pure/Algebra-and-Functions-1/Solomon/01a.%20Indices.pdf#page=1" TargetMode="External" Id="rId100" /><Relationship Type="http://schemas.openxmlformats.org/officeDocument/2006/relationships/hyperlink" Target="https://pmt.physicsandmathstutor.com/download/Maths/A-level/Pure/Algebra-and-Functions-1/Solomon/01b.%20Indices%20-%20Answers.pdf" TargetMode="External" Id="rId101" /><Relationship Type="http://schemas.openxmlformats.org/officeDocument/2006/relationships/hyperlink" Target="https://pmt.physicsandmathstutor.com/download/Maths/A-level/Pure/Algebra-and-Functions-1/OCR-MEI-Set-A/Surds%20and%20Indices.pdf#page=1" TargetMode="External" Id="rId102" /><Relationship Type="http://schemas.openxmlformats.org/officeDocument/2006/relationships/hyperlink" Target="https://pmt.physicsandmathstutor.com/download/Maths/A-level/Pure/Algebra-and-Functions-1/OCR-MEI-Set-A/Surds%20and%20Indices.pdf#page=5" TargetMode="External" Id="rId103" /><Relationship Type="http://schemas.openxmlformats.org/officeDocument/2006/relationships/hyperlink" Target="https://mathsgenie.co.uk/a-level/maths/ocr/mei/proportional-relationships" TargetMode="External" Id="rId104" /><Relationship Type="http://schemas.openxmlformats.org/officeDocument/2006/relationships/hyperlink" Target="https://assets.mathsgenie.co.uk/content/worksheets/a_level_maths__ocr_mei/as-pure-mathematics-4-graphs-and-transformations-open-73745531.pdf#page=4" TargetMode="External" Id="rId105" /><Relationship Type="http://schemas.openxmlformats.org/officeDocument/2006/relationships/hyperlink" Target="https://assets.mathsgenie.co.uk/content/worksheets/a_level_maths__ocr_mei/as-pure-mathematics-4-graphs-and-transformations-open-ans-a7c7b4ad.pdf" TargetMode="External" Id="rId106" /><Relationship Type="http://schemas.openxmlformats.org/officeDocument/2006/relationships/hyperlink" Target="https://mathsgenie.co.uk/a-level/maths/ocr/mei/partial-fractions" TargetMode="External" Id="rId107" /><Relationship Type="http://schemas.openxmlformats.org/officeDocument/2006/relationships/hyperlink" Target="https://assets.mathsgenie.co.uk/content/worksheets/a_level_maths/a-level-algebraic-methods-67104351.pdf#page=1" TargetMode="External" Id="rId108" /><Relationship Type="http://schemas.openxmlformats.org/officeDocument/2006/relationships/hyperlink" Target="https://assets.mathsgenie.co.uk/content/worksheets/a_level_maths/a-level-algebraic-methods-ans-75eb77a6.pdf" TargetMode="External" Id="rId109" /><Relationship Type="http://schemas.openxmlformats.org/officeDocument/2006/relationships/hyperlink" Target="https://pmt.physicsandmathstutor.com/download/Maths/A-level/Pure/Algebra-and-Functions-2/Edexcel-Set-C/QP/Partial%20Fractions%20QP.pdf#page=1" TargetMode="External" Id="rId110" /><Relationship Type="http://schemas.openxmlformats.org/officeDocument/2006/relationships/hyperlink" Target="https://pmt.physicsandmathstutor.com/download/Maths/A-level/Pure/Algebra-and-Functions-2/Edexcel-Set-C/MS/Partial%20Fractions%20MS.pdf" TargetMode="External" Id="rId111" /><Relationship Type="http://schemas.openxmlformats.org/officeDocument/2006/relationships/hyperlink" Target="https://pmt.physicsandmathstutor.com/download/Maths/A-level/Pure/Algebra-and-Functions-2/Edexcel-Set-C/MA/Partial%20Fractions%20MA.pdf" TargetMode="External" Id="rId112" /><Relationship Type="http://schemas.openxmlformats.org/officeDocument/2006/relationships/hyperlink" Target="https://pmt.physicsandmathstutor.com/download/Maths/A-level/Pure/Algebra-and-Functions-2/OCR-MEI-Set-A/Partial%20Fractions.pdf#page=1" TargetMode="External" Id="rId113" /><Relationship Type="http://schemas.openxmlformats.org/officeDocument/2006/relationships/hyperlink" Target="https://pmt.physicsandmathstutor.com/download/Maths/A-level/Pure/Algebra-and-Functions-2/OCR-MEI-Set-A/Partial%20Fractions.pdf#page=2" TargetMode="External" Id="rId114" /><Relationship Type="http://schemas.openxmlformats.org/officeDocument/2006/relationships/hyperlink" Target="https://mathsgenie.co.uk/a-level/maths/ocr/mei/simplify-rational-expressions" TargetMode="External" Id="rId115" /><Relationship Type="http://schemas.openxmlformats.org/officeDocument/2006/relationships/hyperlink" Target="https://assets.mathsgenie.co.uk/content/worksheets/a_level_maths/year-2-differentiation-5cb3a7d8.pdf#page=17" TargetMode="External" Id="rId116" /><Relationship Type="http://schemas.openxmlformats.org/officeDocument/2006/relationships/hyperlink" Target="https://assets.mathsgenie.co.uk/content/worksheets/a_level_maths/year-2-differentiation-ans-fe9163b5.pdf" TargetMode="External" Id="rId117" /><Relationship Type="http://schemas.openxmlformats.org/officeDocument/2006/relationships/hyperlink" Target="https://pmt.physicsandmathstutor.com/download/Maths/A-level/Pure/Algebra-and-Functions-2/Solomon/13a.%20Mixed%20exam-style%20questions%20on%20rational%20expressions.pdf#page=1" TargetMode="External" Id="rId118" /><Relationship Type="http://schemas.openxmlformats.org/officeDocument/2006/relationships/hyperlink" Target="https://pmt.physicsandmathstutor.com/download/Maths/A-level/Pure/Algebra-and-Functions-2/Solomon/13b.%20Mixed%20exam-style%20questions%20on%20rational%20expressions%20-%20Answers.pdf" TargetMode="External" Id="rId119" /><Relationship Type="http://schemas.openxmlformats.org/officeDocument/2006/relationships/hyperlink" Target="https://pmt.physicsandmathstutor.com/download/Maths/A-level/Pure/Algebra-and-Functions-2/OCR-MEI-Set-A/Rational%20Expressions.pdf#page=1" TargetMode="External" Id="rId120" /><Relationship Type="http://schemas.openxmlformats.org/officeDocument/2006/relationships/hyperlink" Target="https://pmt.physicsandmathstutor.com/download/Maths/A-level/Pure/Algebra-and-Functions-2/OCR-MEI-Set-A/Rational%20Expressions.pdf#page=2" TargetMode="External" Id="rId121" /><Relationship Type="http://schemas.openxmlformats.org/officeDocument/2006/relationships/hyperlink" Target="https://mathsgenie.co.uk/a-level/maths/ocr/mei/operations-on-polynomials" TargetMode="External" Id="rId122" /><Relationship Type="http://schemas.openxmlformats.org/officeDocument/2006/relationships/hyperlink" Target="https://assets.mathsgenie.co.uk/content/worksheets/a_level_maths/algebraic-methods-a3de4bc8.pdf#page=1" TargetMode="External" Id="rId123" /><Relationship Type="http://schemas.openxmlformats.org/officeDocument/2006/relationships/hyperlink" Target="https://assets.mathsgenie.co.uk/content/worksheets/a_level_maths/algebraic-methods-ans-9324f91d.pdf" TargetMode="External" Id="rId124" /><Relationship Type="http://schemas.openxmlformats.org/officeDocument/2006/relationships/hyperlink" Target="https://pmt.physicsandmathstutor.com/download/Maths/A-level/Pure/Algebra-and-Functions-1/Solomon/11a.%20Polynomials.pdf#page=1" TargetMode="External" Id="rId125" /><Relationship Type="http://schemas.openxmlformats.org/officeDocument/2006/relationships/hyperlink" Target="https://pmt.physicsandmathstutor.com/download/Maths/A-level/Pure/Algebra-and-Functions-1/Solomon/11b.%20Polynomials%20-%20Answers.pdf" TargetMode="External" Id="rId126" /><Relationship Type="http://schemas.openxmlformats.org/officeDocument/2006/relationships/hyperlink" Target="https://pmt.physicsandmathstutor.com/download/Maths/A-level/Pure/Algebra-and-Functions-1/OCR-MEI-Set-A/Polynomials.pdf#page=1" TargetMode="External" Id="rId127" /><Relationship Type="http://schemas.openxmlformats.org/officeDocument/2006/relationships/hyperlink" Target="https://pmt.physicsandmathstutor.com/download/Maths/A-level/Pure/Algebra-and-Functions-1/OCR-MEI-Set-A/Polynomials.pdf#page=2" TargetMode="External" Id="rId128" /><Relationship Type="http://schemas.openxmlformats.org/officeDocument/2006/relationships/hyperlink" Target="https://mathsgenie.co.uk/a-level/maths/ocr/mei/factor-theorem" TargetMode="External" Id="rId129" /><Relationship Type="http://schemas.openxmlformats.org/officeDocument/2006/relationships/hyperlink" Target="https://assets.mathsgenie.co.uk/content/worksheets/a_level_maths/algebraic-methods-a3de4bc8.pdf#page=1" TargetMode="External" Id="rId130" /><Relationship Type="http://schemas.openxmlformats.org/officeDocument/2006/relationships/hyperlink" Target="https://assets.mathsgenie.co.uk/content/worksheets/a_level_maths/algebraic-methods-ans-9324f91d.pdf" TargetMode="External" Id="rId131" /><Relationship Type="http://schemas.openxmlformats.org/officeDocument/2006/relationships/hyperlink" Target="https://pmt.physicsandmathstutor.com/download/Maths/A-level/Pure/Algebra-and-Functions-1/Edexcel-Set-C/QP/Factor%20Theorem%20QP.pdf#page=1" TargetMode="External" Id="rId132" /><Relationship Type="http://schemas.openxmlformats.org/officeDocument/2006/relationships/hyperlink" Target="https://pmt.physicsandmathstutor.com/download/Maths/A-level/Pure/Algebra-and-Functions-1/Edexcel-Set-C/MS/Factor%20Theorem%20MS.pdf" TargetMode="External" Id="rId133" /><Relationship Type="http://schemas.openxmlformats.org/officeDocument/2006/relationships/hyperlink" Target="https://pmt.physicsandmathstutor.com/download/Maths/A-level/Pure/Algebra-and-Functions-1/Edexcel-Set-C/MA/Factor%20Theorem%20MA.pdf" TargetMode="External" Id="rId134" /><Relationship Type="http://schemas.openxmlformats.org/officeDocument/2006/relationships/hyperlink" Target="https://pmt.physicsandmathstutor.com/download/Maths/A-level/Pure/Algebra-and-Functions-1/OCR-MEI-Set-A/Polynomials.pdf#page=1" TargetMode="External" Id="rId135" /><Relationship Type="http://schemas.openxmlformats.org/officeDocument/2006/relationships/hyperlink" Target="https://pmt.physicsandmathstutor.com/download/Maths/A-level/Pure/Algebra-and-Functions-1/OCR-MEI-Set-A/Polynomials.pdf#page=2" TargetMode="External" Id="rId136" /><Relationship Type="http://schemas.openxmlformats.org/officeDocument/2006/relationships/hyperlink" Target="https://mathsgenie.co.uk/a-level/maths/ocr/mei/definition-of-a-function" TargetMode="External" Id="rId137" /><Relationship Type="http://schemas.openxmlformats.org/officeDocument/2006/relationships/hyperlink" Target="https://assets.mathsgenie.co.uk/content/worksheets/a_level_maths/functions-and-graphs-e0302bb2.pdf#page=8" TargetMode="External" Id="rId138" /><Relationship Type="http://schemas.openxmlformats.org/officeDocument/2006/relationships/hyperlink" Target="https://assets.mathsgenie.co.uk/content/worksheets/a_level_maths/functions-and-graphs-ans-f4112813.pdf" TargetMode="External" Id="rId139" /><Relationship Type="http://schemas.openxmlformats.org/officeDocument/2006/relationships/hyperlink" Target="https://pmt.physicsandmathstutor.com/download/Maths/A-level/Pure/Algebra-and-Functions-2/Solomon/01a.%20Domain%2C%20range%20and%20values%20of%20functions.pdf#page=1" TargetMode="External" Id="rId140" /><Relationship Type="http://schemas.openxmlformats.org/officeDocument/2006/relationships/hyperlink" Target="https://pmt.physicsandmathstutor.com/download/Maths/A-level/Pure/Algebra-and-Functions-2/Solomon/01b.%20Domain%2C%20range%20and%20values%20of%20functions%20-%20Answers.pdf" TargetMode="External" Id="rId141" /><Relationship Type="http://schemas.openxmlformats.org/officeDocument/2006/relationships/hyperlink" Target="https://pmt.physicsandmathstutor.com/download/Maths/A-level/Pure/Algebra-and-Functions-2/OCR-MEI-Set-A/The%20Language%20of%20Functions.pdf#page=1" TargetMode="External" Id="rId142" /><Relationship Type="http://schemas.openxmlformats.org/officeDocument/2006/relationships/hyperlink" Target="https://pmt.physicsandmathstutor.com/download/Maths/A-level/Pure/Algebra-and-Functions-2/OCR-MEI-Set-A/The%20Language%20of%20Functions.pdf#page=2" TargetMode="External" Id="rId143" /><Relationship Type="http://schemas.openxmlformats.org/officeDocument/2006/relationships/hyperlink" Target="https://mathsgenie.co.uk/a-level/maths/ocr/mei/composite-functions" TargetMode="External" Id="rId144" /><Relationship Type="http://schemas.openxmlformats.org/officeDocument/2006/relationships/hyperlink" Target="https://assets.mathsgenie.co.uk/content/worksheets/a_level_maths/functions-and-graphs-e0302bb2.pdf#page=1" TargetMode="External" Id="rId145" /><Relationship Type="http://schemas.openxmlformats.org/officeDocument/2006/relationships/hyperlink" Target="https://assets.mathsgenie.co.uk/content/worksheets/a_level_maths/functions-and-graphs-ans-f4112813.pdf" TargetMode="External" Id="rId146" /><Relationship Type="http://schemas.openxmlformats.org/officeDocument/2006/relationships/hyperlink" Target="https://pmt.physicsandmathstutor.com/download/Maths/A-level/Pure/Algebra-and-Functions-2/Solomon/05a.%20Composite%20functions.pdf#page=1" TargetMode="External" Id="rId147" /><Relationship Type="http://schemas.openxmlformats.org/officeDocument/2006/relationships/hyperlink" Target="https://pmt.physicsandmathstutor.com/download/Maths/A-level/Pure/Algebra-and-Functions-2/Solomon/05b.%20Composite%20functions%20-%20Answers.pdf" TargetMode="External" Id="rId148" /><Relationship Type="http://schemas.openxmlformats.org/officeDocument/2006/relationships/hyperlink" Target="https://pmt.physicsandmathstutor.com/download/Maths/A-level/Pure/Algebra-and-Functions-2/OCR-MEI-Set-A/The%20Language%20of%20Functions.pdf#page=1" TargetMode="External" Id="rId149" /><Relationship Type="http://schemas.openxmlformats.org/officeDocument/2006/relationships/hyperlink" Target="https://pmt.physicsandmathstutor.com/download/Maths/A-level/Pure/Algebra-and-Functions-2/OCR-MEI-Set-A/The%20Language%20of%20Functions.pdf#page=2" TargetMode="External" Id="rId150" /><Relationship Type="http://schemas.openxmlformats.org/officeDocument/2006/relationships/hyperlink" Target="https://mathsgenie.co.uk/a-level/maths/ocr/mei/inverse-functions-and-their-graphs" TargetMode="External" Id="rId151" /><Relationship Type="http://schemas.openxmlformats.org/officeDocument/2006/relationships/hyperlink" Target="https://assets.mathsgenie.co.uk/content/worksheets/a_level_maths/functions-and-graphs-e0302bb2.pdf#page=2" TargetMode="External" Id="rId152" /><Relationship Type="http://schemas.openxmlformats.org/officeDocument/2006/relationships/hyperlink" Target="https://assets.mathsgenie.co.uk/content/worksheets/a_level_maths/functions-and-graphs-ans-f4112813.pdf" TargetMode="External" Id="rId153" /><Relationship Type="http://schemas.openxmlformats.org/officeDocument/2006/relationships/hyperlink" Target="https://pmt.physicsandmathstutor.com/download/Maths/A-level/Pure/Algebra-and-Functions-2/Solomon/06a.%20Inverse%20of%20a%20function.pdf#page=1" TargetMode="External" Id="rId154" /><Relationship Type="http://schemas.openxmlformats.org/officeDocument/2006/relationships/hyperlink" Target="https://pmt.physicsandmathstutor.com/download/Maths/A-level/Pure/Algebra-and-Functions-2/Solomon/06b.%20Inverse%20of%20a%20function%20-%20Answers.pdf" TargetMode="External" Id="rId155" /><Relationship Type="http://schemas.openxmlformats.org/officeDocument/2006/relationships/hyperlink" Target="https://pmt.physicsandmathstutor.com/download/Maths/A-level/Pure/Algebra-and-Functions-2/OCR-MEI-Set-A/The%20Language%20of%20Functions.pdf#page=1" TargetMode="External" Id="rId156" /><Relationship Type="http://schemas.openxmlformats.org/officeDocument/2006/relationships/hyperlink" Target="https://pmt.physicsandmathstutor.com/download/Maths/A-level/Pure/Algebra-and-Functions-2/OCR-MEI-Set-A/The%20Language%20of%20Functions.pdf#page=2" TargetMode="External" Id="rId157" /><Relationship Type="http://schemas.openxmlformats.org/officeDocument/2006/relationships/hyperlink" Target="https://mathsgenie.co.uk/a-level/maths/ocr/mei/the-modulus-function" TargetMode="External" Id="rId158" /><Relationship Type="http://schemas.openxmlformats.org/officeDocument/2006/relationships/hyperlink" Target="https://assets.mathsgenie.co.uk/content/worksheets/a_level_maths/functions-and-graphs-e0302bb2.pdf#page=9" TargetMode="External" Id="rId159" /><Relationship Type="http://schemas.openxmlformats.org/officeDocument/2006/relationships/hyperlink" Target="https://assets.mathsgenie.co.uk/content/worksheets/a_level_maths/functions-and-graphs-ans-f4112813.pdf" TargetMode="External" Id="rId160" /><Relationship Type="http://schemas.openxmlformats.org/officeDocument/2006/relationships/hyperlink" Target="https://pmt.physicsandmathstutor.com/download/Maths/A-level/Pure/Algebra-and-Functions-2/Edexcel-Set-C/QP/Modulus%20of%20Functions%20QP.pdf#page=1" TargetMode="External" Id="rId161" /><Relationship Type="http://schemas.openxmlformats.org/officeDocument/2006/relationships/hyperlink" Target="https://pmt.physicsandmathstutor.com/download/Maths/A-level/Pure/Algebra-and-Functions-2/Edexcel-Set-C/MS/Modulus%20of%20Functions%20MS.pdf" TargetMode="External" Id="rId162" /><Relationship Type="http://schemas.openxmlformats.org/officeDocument/2006/relationships/hyperlink" Target="https://pmt.physicsandmathstutor.com/download/Maths/A-level/Pure/Algebra-and-Functions-2/Edexcel-Set-C/MA/Modulus%20of%20Functions%20MA.pdf" TargetMode="External" Id="rId163" /><Relationship Type="http://schemas.openxmlformats.org/officeDocument/2006/relationships/hyperlink" Target="https://pmt.physicsandmathstutor.com/download/Maths/A-level/Pure/Algebra-and-Functions-2/OCR-MEI-Set-A/The%20Modulus%20Function.pdf#page=1" TargetMode="External" Id="rId164" /><Relationship Type="http://schemas.openxmlformats.org/officeDocument/2006/relationships/hyperlink" Target="https://pmt.physicsandmathstutor.com/download/Maths/A-level/Pure/Algebra-and-Functions-2/OCR-MEI-Set-A/The%20Modulus%20Function.pdf#page=3" TargetMode="External" Id="rId165" /><Relationship Type="http://schemas.openxmlformats.org/officeDocument/2006/relationships/hyperlink" Target="https://mathsgenie.co.uk/a-level/maths/ocr/mei/inequalities-with-a-modulus-sign" TargetMode="External" Id="rId166" /><Relationship Type="http://schemas.openxmlformats.org/officeDocument/2006/relationships/hyperlink" Target="https://assets.mathsgenie.co.uk/content/worksheets/a_level_maths/functions-and-graphs-e0302bb2.pdf#page=9" TargetMode="External" Id="rId167" /><Relationship Type="http://schemas.openxmlformats.org/officeDocument/2006/relationships/hyperlink" Target="https://assets.mathsgenie.co.uk/content/worksheets/a_level_maths/functions-and-graphs-ans-f4112813.pdf" TargetMode="External" Id="rId168" /><Relationship Type="http://schemas.openxmlformats.org/officeDocument/2006/relationships/hyperlink" Target="https://pmt.physicsandmathstutor.com/download/Maths/A-level/Pure/Algebra-and-Functions-2/Solomon/04a.%20The%20modulus%20function.pdf#page=1" TargetMode="External" Id="rId169" /><Relationship Type="http://schemas.openxmlformats.org/officeDocument/2006/relationships/hyperlink" Target="https://pmt.physicsandmathstutor.com/download/Maths/A-level/Pure/Algebra-and-Functions-2/Solomon/04b.%20The%20modulus%20function%20-%20Answers.pdf" TargetMode="External" Id="rId170" /><Relationship Type="http://schemas.openxmlformats.org/officeDocument/2006/relationships/hyperlink" Target="https://pmt.physicsandmathstutor.com/download/Maths/A-level/Pure/Algebra-and-Functions-2/OCR-MEI-Set-A/The%20Modulus%20Function.pdf#page=1" TargetMode="External" Id="rId171" /><Relationship Type="http://schemas.openxmlformats.org/officeDocument/2006/relationships/hyperlink" Target="https://pmt.physicsandmathstutor.com/download/Maths/A-level/Pure/Algebra-and-Functions-2/OCR-MEI-Set-A/The%20Modulus%20Function.pdf#page=3" TargetMode="External" Id="rId172" /><Relationship Type="http://schemas.openxmlformats.org/officeDocument/2006/relationships/hyperlink" Target="https://mathsgenie.co.uk/a-level/maths/ocr/mei/functions-in-modelling" TargetMode="External" Id="rId173" /><Relationship Type="http://schemas.openxmlformats.org/officeDocument/2006/relationships/hyperlink" Target="https://assets.mathsgenie.co.uk/content/worksheets/a_level_maths/quadratics-368699de.pdf#page=11" TargetMode="External" Id="rId174" /><Relationship Type="http://schemas.openxmlformats.org/officeDocument/2006/relationships/hyperlink" Target="https://assets.mathsgenie.co.uk/content/worksheets/a_level_maths/quadratics-ans-cb70f353.pdf" TargetMode="External" Id="rId175" /><Relationship Type="http://schemas.openxmlformats.org/officeDocument/2006/relationships/hyperlink" Target="https://pmt.physicsandmathstutor.com/download/Maths/A-level/Pure/Algebra-and-Functions-1/Edexcel-Set-C/QP/Quadratics%20QP.pdf#page=7" TargetMode="External" Id="rId176" /><Relationship Type="http://schemas.openxmlformats.org/officeDocument/2006/relationships/hyperlink" Target="https://pmt.physicsandmathstutor.com/download/Maths/A-level/Pure/Algebra-and-Functions-1/Edexcel-Set-C/MS/Quadratics%20MS.pdf" TargetMode="External" Id="rId177" /><Relationship Type="http://schemas.openxmlformats.org/officeDocument/2006/relationships/hyperlink" Target="https://pmt.physicsandmathstutor.com/download/Maths/A-level/Pure/Algebra-and-Functions-1/Edexcel-Set-C/MA/Quadratics%20MA.pdf" TargetMode="External" Id="rId178" /><Relationship Type="http://schemas.openxmlformats.org/officeDocument/2006/relationships/hyperlink" Target="https://pmt.physicsandmathstutor.com/download/Maths/A-level/Pure/Algebra-and-Functions-1/OCR-MEI-Set-A/Graphs%20%28Yr.%201%29.pdf#page=1" TargetMode="External" Id="rId179" /><Relationship Type="http://schemas.openxmlformats.org/officeDocument/2006/relationships/hyperlink" Target="https://pmt.physicsandmathstutor.com/download/Maths/A-level/Pure/Algebra-and-Functions-1/OCR-MEI-Set-A/Graphs%20%28Yr.%201%29.pdf#page=7" TargetMode="External" Id="rId180" /><Relationship Type="http://schemas.openxmlformats.org/officeDocument/2006/relationships/hyperlink" Target="https://mathsgenie.co.uk/a-level/maths/ocr/mei/graphs-of-functions" TargetMode="External" Id="rId181" /><Relationship Type="http://schemas.openxmlformats.org/officeDocument/2006/relationships/hyperlink" Target="https://assets.mathsgenie.co.uk/content/worksheets/as_level_maths/graphs-and-transformations-2ff373eb.pdf#page=3" TargetMode="External" Id="rId182" /><Relationship Type="http://schemas.openxmlformats.org/officeDocument/2006/relationships/hyperlink" Target="https://assets.mathsgenie.co.uk/content/worksheets/as_level_maths/graphs-and-transformations-ans-ad2c0ad7.pdf" TargetMode="External" Id="rId183" /><Relationship Type="http://schemas.openxmlformats.org/officeDocument/2006/relationships/hyperlink" Target="https://pmt.physicsandmathstutor.com/download/Maths/A-level/Pure/Algebra-and-Functions-1/Solomon/14a.%20Graphs%20of%20functions.pdf#page=1" TargetMode="External" Id="rId184" /><Relationship Type="http://schemas.openxmlformats.org/officeDocument/2006/relationships/hyperlink" Target="https://pmt.physicsandmathstutor.com/download/Maths/A-level/Pure/Algebra-and-Functions-1/Solomon/14b.%20Graphs%20of%20functions%20-%20Answers.pdf" TargetMode="External" Id="rId185" /><Relationship Type="http://schemas.openxmlformats.org/officeDocument/2006/relationships/hyperlink" Target="https://pmt.physicsandmathstutor.com/download/Maths/A-level/Pure/Algebra-and-Functions-1/OCR-MEI-Set-A/Graphs%20%28Yr.%201%29.pdf#page=1" TargetMode="External" Id="rId186" /><Relationship Type="http://schemas.openxmlformats.org/officeDocument/2006/relationships/hyperlink" Target="https://pmt.physicsandmathstutor.com/download/Maths/A-level/Pure/Algebra-and-Functions-1/OCR-MEI-Set-A/Graphs%20%28Yr.%201%29.pdf#page=7" TargetMode="External" Id="rId187" /><Relationship Type="http://schemas.openxmlformats.org/officeDocument/2006/relationships/hyperlink" Target="https://mathsgenie.co.uk/a-level/maths/ocr/mei/intersection-points-with-axes" TargetMode="External" Id="rId188" /><Relationship Type="http://schemas.openxmlformats.org/officeDocument/2006/relationships/hyperlink" Target="https://assets.mathsgenie.co.uk/content/worksheets/as_level_maths/graphs-and-transformations-2ff373eb.pdf#page=2" TargetMode="External" Id="rId189" /><Relationship Type="http://schemas.openxmlformats.org/officeDocument/2006/relationships/hyperlink" Target="https://assets.mathsgenie.co.uk/content/worksheets/as_level_maths/graphs-and-transformations-ans-ad2c0ad7.pdf" TargetMode="External" Id="rId190" /><Relationship Type="http://schemas.openxmlformats.org/officeDocument/2006/relationships/hyperlink" Target="https://pmt.physicsandmathstutor.com/download/Maths/A-level/Pure/Algebra-and-Functions-1/Solomon/14a.%20Graphs%20of%20functions.pdf#page=1" TargetMode="External" Id="rId191" /><Relationship Type="http://schemas.openxmlformats.org/officeDocument/2006/relationships/hyperlink" Target="https://pmt.physicsandmathstutor.com/download/Maths/A-level/Pure/Algebra-and-Functions-1/Solomon/14b.%20Graphs%20of%20functions%20-%20Answers.pdf" TargetMode="External" Id="rId192" /><Relationship Type="http://schemas.openxmlformats.org/officeDocument/2006/relationships/hyperlink" Target="https://pmt.physicsandmathstutor.com/download/Maths/A-level/Pure/Algebra-and-Functions-1/OCR-MEI-Set-A/Graphs%20%28Yr.%201%29.pdf#page=1" TargetMode="External" Id="rId193" /><Relationship Type="http://schemas.openxmlformats.org/officeDocument/2006/relationships/hyperlink" Target="https://pmt.physicsandmathstutor.com/download/Maths/A-level/Pure/Algebra-and-Functions-1/OCR-MEI-Set-A/Graphs%20%28Yr.%201%29.pdf#page=7" TargetMode="External" Id="rId194" /><Relationship Type="http://schemas.openxmlformats.org/officeDocument/2006/relationships/hyperlink" Target="https://mathsgenie.co.uk/a-level/maths/ocr/mei/completing-the-square-for-a-quadratic-curve" TargetMode="External" Id="rId195" /><Relationship Type="http://schemas.openxmlformats.org/officeDocument/2006/relationships/hyperlink" Target="https://assets.mathsgenie.co.uk/content/worksheets/a_level_maths/quadratics-368699de.pdf#page=7" TargetMode="External" Id="rId196" /><Relationship Type="http://schemas.openxmlformats.org/officeDocument/2006/relationships/hyperlink" Target="https://assets.mathsgenie.co.uk/content/worksheets/a_level_maths/quadratics-ans-cb70f353.pdf" TargetMode="External" Id="rId197" /><Relationship Type="http://schemas.openxmlformats.org/officeDocument/2006/relationships/hyperlink" Target="https://pmt.physicsandmathstutor.com/download/Maths/A-level/Pure/Algebra-and-Functions-1/Solomon/05a.%20Quadratics%20%E2%80%93%20completing%20the%20square.pdf#page=1" TargetMode="External" Id="rId198" /><Relationship Type="http://schemas.openxmlformats.org/officeDocument/2006/relationships/hyperlink" Target="https://pmt.physicsandmathstutor.com/download/Maths/A-level/Pure/Algebra-and-Functions-1/Solomon/05b.%20Quadratics%20%E2%80%93%20completing%20the%20square%20-%20Answers.pdf" TargetMode="External" Id="rId199" /><Relationship Type="http://schemas.openxmlformats.org/officeDocument/2006/relationships/hyperlink" Target="https://pmt.physicsandmathstutor.com/download/Maths/A-level/Pure/Algebra-and-Functions-1/OCR-MEI-Set-A/Graphs%20%28Yr.%201%29.pdf#page=1" TargetMode="External" Id="rId200" /><Relationship Type="http://schemas.openxmlformats.org/officeDocument/2006/relationships/hyperlink" Target="https://pmt.physicsandmathstutor.com/download/Maths/A-level/Pure/Algebra-and-Functions-1/OCR-MEI-Set-A/Graphs%20%28Yr.%201%29.pdf#page=7" TargetMode="External" Id="rId201" /><Relationship Type="http://schemas.openxmlformats.org/officeDocument/2006/relationships/hyperlink" Target="https://mathsgenie.co.uk/a-level/maths/ocr/mei/sketch-graphs-of-simple-functions" TargetMode="External" Id="rId202" /><Relationship Type="http://schemas.openxmlformats.org/officeDocument/2006/relationships/hyperlink" Target="https://assets.mathsgenie.co.uk/content/worksheets/as_level_maths/graphs-and-transformations-2ff373eb.pdf#page=10" TargetMode="External" Id="rId203" /><Relationship Type="http://schemas.openxmlformats.org/officeDocument/2006/relationships/hyperlink" Target="https://assets.mathsgenie.co.uk/content/worksheets/as_level_maths/graphs-and-transformations-ans-ad2c0ad7.pdf" TargetMode="External" Id="rId204" /><Relationship Type="http://schemas.openxmlformats.org/officeDocument/2006/relationships/hyperlink" Target="https://pmt.physicsandmathstutor.com/download/Maths/A-level/Pure/Algebra-and-Functions-1/Edexcel-Set-A/Transformations%20and%20Graphs.pdf#page=2" TargetMode="External" Id="rId205" /><Relationship Type="http://schemas.openxmlformats.org/officeDocument/2006/relationships/hyperlink" Target="https://pmt.physicsandmathstutor.com/download/Maths/A-level/Pure/Algebra-and-Functions-1/OCR-MEI-Set-A/Graphs%20%28Yr.%201%29.pdf#page=1" TargetMode="External" Id="rId206" /><Relationship Type="http://schemas.openxmlformats.org/officeDocument/2006/relationships/hyperlink" Target="https://pmt.physicsandmathstutor.com/download/Maths/A-level/Pure/Algebra-and-Functions-1/OCR-MEI-Set-A/Graphs%20%28Yr.%201%29.pdf#page=7" TargetMode="External" Id="rId207" /><Relationship Type="http://schemas.openxmlformats.org/officeDocument/2006/relationships/hyperlink" Target="https://mathsgenie.co.uk/a-level/maths/ocr/mei/stationary-points-when-curve-sketching" TargetMode="External" Id="rId208" /><Relationship Type="http://schemas.openxmlformats.org/officeDocument/2006/relationships/hyperlink" Target="https://assets.mathsgenie.co.uk/content/worksheets/a_level_maths__ocr_mei/as-pure-mathematics-4-graphs-and-transformations-open-73745531.pdf#page=4" TargetMode="External" Id="rId209" /><Relationship Type="http://schemas.openxmlformats.org/officeDocument/2006/relationships/hyperlink" Target="https://assets.mathsgenie.co.uk/content/worksheets/a_level_maths__ocr_mei/as-pure-mathematics-4-graphs-and-transformations-open-ans-a7c7b4ad.pdf" TargetMode="External" Id="rId210" /><Relationship Type="http://schemas.openxmlformats.org/officeDocument/2006/relationships/hyperlink" Target="https://pmt.physicsandmathstutor.com/download/Maths/A-level/Pure/Differentiation-1/Solomon/4a.%20Increasing%20and%20decreasing%20functions%20and%20stationary%20points.pdf#page=1" TargetMode="External" Id="rId211" /><Relationship Type="http://schemas.openxmlformats.org/officeDocument/2006/relationships/hyperlink" Target="https://pmt.physicsandmathstutor.com/download/Maths/A-level/Pure/Differentiation-1/Solomon/4b.%20Increasing%20and%20decreasing%20functions%20and%20stationary%20points%20-%20Answers.pdf" TargetMode="External" Id="rId212" /><Relationship Type="http://schemas.openxmlformats.org/officeDocument/2006/relationships/hyperlink" Target="https://pmt.physicsandmathstutor.com/download/Maths/A-level/Pure/Differentiation-1/OCR-MEI-Set-A/Applications%20of%20Differentiation%20to%20Functions%20and%20Graphs%20%28Yr.%201%29.pdf#page=1" TargetMode="External" Id="rId213" /><Relationship Type="http://schemas.openxmlformats.org/officeDocument/2006/relationships/hyperlink" Target="https://pmt.physicsandmathstutor.com/download/Maths/A-level/Pure/Differentiation-1/OCR-MEI-Set-A/Applications%20of%20Differentiation%20to%20Functions%20and%20Graphs%20%28Yr.%201%29.pdf#page=3" TargetMode="External" Id="rId214" /><Relationship Type="http://schemas.openxmlformats.org/officeDocument/2006/relationships/hyperlink" Target="https://mathsgenie.co.uk/a-level/maths/ocr/mei/graphs-of-reciprocal-type-functions" TargetMode="External" Id="rId215" /><Relationship Type="http://schemas.openxmlformats.org/officeDocument/2006/relationships/hyperlink" Target="https://assets.mathsgenie.co.uk/content/worksheets/as_level_maths/graphs-and-transformations-2ff373eb.pdf#page=3" TargetMode="External" Id="rId216" /><Relationship Type="http://schemas.openxmlformats.org/officeDocument/2006/relationships/hyperlink" Target="https://assets.mathsgenie.co.uk/content/worksheets/as_level_maths/graphs-and-transformations-ans-ad2c0ad7.pdf" TargetMode="External" Id="rId217" /><Relationship Type="http://schemas.openxmlformats.org/officeDocument/2006/relationships/hyperlink" Target="https://pmt.physicsandmathstutor.com/download/Maths/A-level/Pure/Algebra-and-Functions-1/Edexcel-Set-A/Transformations%20and%20Graphs.pdf#page=8" TargetMode="External" Id="rId218" /><Relationship Type="http://schemas.openxmlformats.org/officeDocument/2006/relationships/hyperlink" Target="https://pmt.physicsandmathstutor.com/download/Maths/A-level/Pure/Algebra-and-Functions-1/OCR-MEI-Set-A/Graphs%20%28Yr.%201%29.pdf#page=2" TargetMode="External" Id="rId219" /><Relationship Type="http://schemas.openxmlformats.org/officeDocument/2006/relationships/hyperlink" Target="https://pmt.physicsandmathstutor.com/download/Maths/A-level/Pure/Algebra-and-Functions-1/OCR-MEI-Set-A/Graphs%20%28Yr.%201%29.pdf#page=7" TargetMode="External" Id="rId220" /><Relationship Type="http://schemas.openxmlformats.org/officeDocument/2006/relationships/hyperlink" Target="https://mathsgenie.co.uk/a-level/maths/ocr/mei/single-transformations-of-graphs" TargetMode="External" Id="rId221" /><Relationship Type="http://schemas.openxmlformats.org/officeDocument/2006/relationships/hyperlink" Target="https://assets.mathsgenie.co.uk/content/worksheets/as_level_maths/graphs-and-transformations-2ff373eb.pdf#page=2" TargetMode="External" Id="rId222" /><Relationship Type="http://schemas.openxmlformats.org/officeDocument/2006/relationships/hyperlink" Target="https://assets.mathsgenie.co.uk/content/worksheets/as_level_maths/graphs-and-transformations-ans-ad2c0ad7.pdf" TargetMode="External" Id="rId223" /><Relationship Type="http://schemas.openxmlformats.org/officeDocument/2006/relationships/hyperlink" Target="https://pmt.physicsandmathstutor.com/download/Maths/A-level/Pure/Algebra-and-Functions-1/Edexcel-Set-A/Transformations%20and%20Graphs.pdf#page=1" TargetMode="External" Id="rId224" /><Relationship Type="http://schemas.openxmlformats.org/officeDocument/2006/relationships/hyperlink" Target="https://pmt.physicsandmathstutor.com/download/Maths/A-level/Pure/Algebra-and-Functions-1/OCR-MEI-Set-A/Graphs%20%28Yr.%201%29.pdf#page=4" TargetMode="External" Id="rId225" /><Relationship Type="http://schemas.openxmlformats.org/officeDocument/2006/relationships/hyperlink" Target="https://pmt.physicsandmathstutor.com/download/Maths/A-level/Pure/Algebra-and-Functions-1/OCR-MEI-Set-A/Graphs%20%28Yr.%201%29.pdf#page=7" TargetMode="External" Id="rId226" /><Relationship Type="http://schemas.openxmlformats.org/officeDocument/2006/relationships/hyperlink" Target="https://mathsgenie.co.uk/a-level/maths/ocr/mei/combined-transformations-of-graphs" TargetMode="External" Id="rId227" /><Relationship Type="http://schemas.openxmlformats.org/officeDocument/2006/relationships/hyperlink" Target="https://assets.mathsgenie.co.uk/content/worksheets/a_level_maths/functions-and-graphs-e0302bb2.pdf#page=35" TargetMode="External" Id="rId228" /><Relationship Type="http://schemas.openxmlformats.org/officeDocument/2006/relationships/hyperlink" Target="https://assets.mathsgenie.co.uk/content/worksheets/a_level_maths/functions-and-graphs-ans-f4112813.pdf" TargetMode="External" Id="rId229" /><Relationship Type="http://schemas.openxmlformats.org/officeDocument/2006/relationships/hyperlink" Target="https://pmt.physicsandmathstutor.com/download/Maths/A-level/Pure/Algebra-and-Functions-2/Solomon/07a.%20Transformations%20of%20functions.pdf#page=1" TargetMode="External" Id="rId230" /><Relationship Type="http://schemas.openxmlformats.org/officeDocument/2006/relationships/hyperlink" Target="https://pmt.physicsandmathstutor.com/download/Maths/A-level/Pure/Algebra-and-Functions-2/Solomon/07b.%20Transformations%20of%20functions%20-%20Answers.pdf" TargetMode="External" Id="rId231" /><Relationship Type="http://schemas.openxmlformats.org/officeDocument/2006/relationships/hyperlink" Target="https://pmt.physicsandmathstutor.com/download/Maths/A-level/Pure/Integration-2/OCR-MEI-Set-A/Integration%20by%20Substitution.pdf#page=1" TargetMode="External" Id="rId232" /><Relationship Type="http://schemas.openxmlformats.org/officeDocument/2006/relationships/hyperlink" Target="https://pmt.physicsandmathstutor.com/download/Maths/A-level/Pure/Integration-2/OCR-MEI-Set-A/Integration%20by%20Substitution.pdf#page=7" TargetMode="External" Id="rId233" /><Relationship Type="http://schemas.openxmlformats.org/officeDocument/2006/relationships/hyperlink" Target="https://mathsgenie.co.uk/a-level/maths/ocr/mei/stationary-points-of-inflection" TargetMode="External" Id="rId234" /><Relationship Type="http://schemas.openxmlformats.org/officeDocument/2006/relationships/hyperlink" Target="https://assets.mathsgenie.co.uk/content/worksheets/a_level_maths/year-2-differentiation-5cb3a7d8.pdf#page=11" TargetMode="External" Id="rId235" /><Relationship Type="http://schemas.openxmlformats.org/officeDocument/2006/relationships/hyperlink" Target="https://assets.mathsgenie.co.uk/content/worksheets/a_level_maths/year-2-differentiation-ans-fe9163b5.pdf" TargetMode="External" Id="rId236" /><Relationship Type="http://schemas.openxmlformats.org/officeDocument/2006/relationships/hyperlink" Target="https://pmt.physicsandmathstutor.com/download/Maths/A-level/Pure/Differentiation-1/Solomon/4a.%20Increasing%20and%20decreasing%20functions%20and%20stationary%20points.pdf#page=1" TargetMode="External" Id="rId237" /><Relationship Type="http://schemas.openxmlformats.org/officeDocument/2006/relationships/hyperlink" Target="https://pmt.physicsandmathstutor.com/download/Maths/A-level/Pure/Differentiation-1/Solomon/4b.%20Increasing%20and%20decreasing%20functions%20and%20stationary%20points%20-%20Answers.pdf" TargetMode="External" Id="rId238" /><Relationship Type="http://schemas.openxmlformats.org/officeDocument/2006/relationships/hyperlink" Target="https://mathsgenie.co.uk/a-level/maths/ocr/mei/gradients-of-parallel-and-perpendicular-lines" TargetMode="External" Id="rId239" /><Relationship Type="http://schemas.openxmlformats.org/officeDocument/2006/relationships/hyperlink" Target="https://assets.mathsgenie.co.uk/content/worksheets/a_level_maths/straight-line-graphs-292c4a26.pdf#page=1" TargetMode="External" Id="rId240" /><Relationship Type="http://schemas.openxmlformats.org/officeDocument/2006/relationships/hyperlink" Target="https://assets.mathsgenie.co.uk/content/worksheets/a_level_maths/straight-line-graphs-ans-005ba0f8.pdf" TargetMode="External" Id="rId241" /><Relationship Type="http://schemas.openxmlformats.org/officeDocument/2006/relationships/hyperlink" Target="https://pmt.physicsandmathstutor.com/download/Maths/A-level/Pure/Coordinate-Geometry-1/Solomon/2a.%20Parallel%20and%20perpendicular%20lines.pdf#page=1" TargetMode="External" Id="rId242" /><Relationship Type="http://schemas.openxmlformats.org/officeDocument/2006/relationships/hyperlink" Target="https://pmt.physicsandmathstutor.com/download/Maths/A-level/Pure/Coordinate-Geometry-1/Solomon/2b.%20Parallel%20and%20perpendicular%20lines%20-%20Answers.pdf" TargetMode="External" Id="rId243" /><Relationship Type="http://schemas.openxmlformats.org/officeDocument/2006/relationships/hyperlink" Target="https://pmt.physicsandmathstutor.com/download/Maths/A-level/Pure/Coordinate-Geometry-1/OCR-MEI-Set-A/Straight%20Lines.pdf#page=1" TargetMode="External" Id="rId244" /><Relationship Type="http://schemas.openxmlformats.org/officeDocument/2006/relationships/hyperlink" Target="https://pmt.physicsandmathstutor.com/download/Maths/A-level/Pure/Coordinate-Geometry-1/OCR-MEI-Set-A/Straight%20Lines.pdf#page=4" TargetMode="External" Id="rId245" /><Relationship Type="http://schemas.openxmlformats.org/officeDocument/2006/relationships/hyperlink" Target="https://mathsgenie.co.uk/a-level/maths/ocr/mei/distance-between-two-points" TargetMode="External" Id="rId246" /><Relationship Type="http://schemas.openxmlformats.org/officeDocument/2006/relationships/hyperlink" Target="https://assets.mathsgenie.co.uk/content/worksheets/a_level_maths/straight-line-graphs-292c4a26.pdf#page=4" TargetMode="External" Id="rId247" /><Relationship Type="http://schemas.openxmlformats.org/officeDocument/2006/relationships/hyperlink" Target="https://assets.mathsgenie.co.uk/content/worksheets/a_level_maths/straight-line-graphs-ans-005ba0f8.pdf" TargetMode="External" Id="rId248" /><Relationship Type="http://schemas.openxmlformats.org/officeDocument/2006/relationships/hyperlink" Target="https://pmt.physicsandmathstutor.com/download/Maths/A-level/Pure/Coordinate-Geometry-1/Solomon/1a.%20Equations%20of%20straight%20lines.pdf#page=2" TargetMode="External" Id="rId249" /><Relationship Type="http://schemas.openxmlformats.org/officeDocument/2006/relationships/hyperlink" Target="https://pmt.physicsandmathstutor.com/download/Maths/A-level/Pure/Coordinate-Geometry-1/Solomon/1b.%20Equations%20of%20straight%20lines%20-%20Answers.pdf" TargetMode="External" Id="rId250" /><Relationship Type="http://schemas.openxmlformats.org/officeDocument/2006/relationships/hyperlink" Target="https://pmt.physicsandmathstutor.com/download/Maths/A-level/Pure/Coordinate-Geometry-1/OCR-MEI-Set-A/Straight%20Lines.pdf#page=2" TargetMode="External" Id="rId251" /><Relationship Type="http://schemas.openxmlformats.org/officeDocument/2006/relationships/hyperlink" Target="https://pmt.physicsandmathstutor.com/download/Maths/A-level/Pure/Coordinate-Geometry-1/OCR-MEI-Set-A/Straight%20Lines.pdf#page=4" TargetMode="External" Id="rId252" /><Relationship Type="http://schemas.openxmlformats.org/officeDocument/2006/relationships/hyperlink" Target="https://mathsgenie.co.uk/a-level/maths/ocr/mei/midpoint-of-a-line-segment" TargetMode="External" Id="rId253" /><Relationship Type="http://schemas.openxmlformats.org/officeDocument/2006/relationships/hyperlink" Target="https://assets.mathsgenie.co.uk/content/worksheets/a_level_maths/straight-line-graphs-292c4a26.pdf#page=3" TargetMode="External" Id="rId254" /><Relationship Type="http://schemas.openxmlformats.org/officeDocument/2006/relationships/hyperlink" Target="https://assets.mathsgenie.co.uk/content/worksheets/a_level_maths/straight-line-graphs-ans-005ba0f8.pdf" TargetMode="External" Id="rId255" /><Relationship Type="http://schemas.openxmlformats.org/officeDocument/2006/relationships/hyperlink" Target="https://pmt.physicsandmathstutor.com/download/Maths/A-level/Pure/Coordinate-Geometry-1/Solomon/1a.%20Equations%20of%20straight%20lines.pdf#page=2" TargetMode="External" Id="rId256" /><Relationship Type="http://schemas.openxmlformats.org/officeDocument/2006/relationships/hyperlink" Target="https://pmt.physicsandmathstutor.com/download/Maths/A-level/Pure/Coordinate-Geometry-1/Solomon/1b.%20Equations%20of%20straight%20lines%20-%20Answers.pdf" TargetMode="External" Id="rId257" /><Relationship Type="http://schemas.openxmlformats.org/officeDocument/2006/relationships/hyperlink" Target="https://pmt.physicsandmathstutor.com/download/Maths/A-level/Pure/Coordinate-Geometry-1/OCR-MEI-Set-A/Curves.pdf#page=1" TargetMode="External" Id="rId258" /><Relationship Type="http://schemas.openxmlformats.org/officeDocument/2006/relationships/hyperlink" Target="https://pmt.physicsandmathstutor.com/download/Maths/A-level/Pure/Coordinate-Geometry-1/OCR-MEI-Set-A/Curves.pdf#page=4" TargetMode="External" Id="rId259" /><Relationship Type="http://schemas.openxmlformats.org/officeDocument/2006/relationships/hyperlink" Target="https://mathsgenie.co.uk/a-level/maths/ocr/mei/form-the-equation-of-a-straight-line" TargetMode="External" Id="rId260" /><Relationship Type="http://schemas.openxmlformats.org/officeDocument/2006/relationships/hyperlink" Target="https://assets.mathsgenie.co.uk/content/worksheets/a_level_maths/straight-line-graphs-292c4a26.pdf#page=1" TargetMode="External" Id="rId261" /><Relationship Type="http://schemas.openxmlformats.org/officeDocument/2006/relationships/hyperlink" Target="https://assets.mathsgenie.co.uk/content/worksheets/a_level_maths/straight-line-graphs-ans-005ba0f8.pdf" TargetMode="External" Id="rId262" /><Relationship Type="http://schemas.openxmlformats.org/officeDocument/2006/relationships/hyperlink" Target="https://pmt.physicsandmathstutor.com/download/Maths/A-level/Pure/Coordinate-Geometry-1/Solomon/1a.%20Equations%20of%20straight%20lines.pdf#page=1" TargetMode="External" Id="rId263" /><Relationship Type="http://schemas.openxmlformats.org/officeDocument/2006/relationships/hyperlink" Target="https://pmt.physicsandmathstutor.com/download/Maths/A-level/Pure/Coordinate-Geometry-1/Solomon/1b.%20Equations%20of%20straight%20lines%20-%20Answers.pdf" TargetMode="External" Id="rId264" /><Relationship Type="http://schemas.openxmlformats.org/officeDocument/2006/relationships/hyperlink" Target="https://pmt.physicsandmathstutor.com/download/Maths/A-level/Pure/Coordinate-Geometry-1/OCR-MEI-Set-A/Straight%20Lines.pdf#page=1" TargetMode="External" Id="rId265" /><Relationship Type="http://schemas.openxmlformats.org/officeDocument/2006/relationships/hyperlink" Target="https://pmt.physicsandmathstutor.com/download/Maths/A-level/Pure/Coordinate-Geometry-1/OCR-MEI-Set-A/Straight%20Lines.pdf#page=4" TargetMode="External" Id="rId266" /><Relationship Type="http://schemas.openxmlformats.org/officeDocument/2006/relationships/hyperlink" Target="https://mathsgenie.co.uk/a-level/maths/ocr/mei/draw-a-line-given-its-equation" TargetMode="External" Id="rId267" /><Relationship Type="http://schemas.openxmlformats.org/officeDocument/2006/relationships/hyperlink" Target="https://pmt.physicsandmathstutor.com/download/Maths/A-level/Pure/Coordinate-Geometry-1/Solomon/3a.%20Coordinate%20geometry%20%E2%88%92%20further%20questions.pdf#page=1" TargetMode="External" Id="rId268" /><Relationship Type="http://schemas.openxmlformats.org/officeDocument/2006/relationships/hyperlink" Target="https://pmt.physicsandmathstutor.com/download/Maths/A-level/Pure/Coordinate-Geometry-1/Solomon/3b.%20Coordinate%20geometry%20%E2%88%92%20further%20questions%20%E2%88%92%20Answers.pdf" TargetMode="External" Id="rId269" /><Relationship Type="http://schemas.openxmlformats.org/officeDocument/2006/relationships/hyperlink" Target="https://pmt.physicsandmathstutor.com/download/Maths/A-level/Pure/Coordinate-Geometry-1/OCR-MEI-Set-A/Straight%20Lines.pdf#page=1" TargetMode="External" Id="rId270" /><Relationship Type="http://schemas.openxmlformats.org/officeDocument/2006/relationships/hyperlink" Target="https://pmt.physicsandmathstutor.com/download/Maths/A-level/Pure/Coordinate-Geometry-1/OCR-MEI-Set-A/Straight%20Lines.pdf#page=4" TargetMode="External" Id="rId271" /><Relationship Type="http://schemas.openxmlformats.org/officeDocument/2006/relationships/hyperlink" Target="https://mathsgenie.co.uk/a-level/maths/ocr/mei/point-of-intersection-of-two-lines" TargetMode="External" Id="rId272" /><Relationship Type="http://schemas.openxmlformats.org/officeDocument/2006/relationships/hyperlink" Target="https://assets.mathsgenie.co.uk/content/worksheets/a_level_maths/straight-line-graphs-292c4a26.pdf#page=5" TargetMode="External" Id="rId273" /><Relationship Type="http://schemas.openxmlformats.org/officeDocument/2006/relationships/hyperlink" Target="https://assets.mathsgenie.co.uk/content/worksheets/a_level_maths/straight-line-graphs-ans-005ba0f8.pdf" TargetMode="External" Id="rId274" /><Relationship Type="http://schemas.openxmlformats.org/officeDocument/2006/relationships/hyperlink" Target="https://pmt.physicsandmathstutor.com/download/Maths/A-level/Pure/Coordinate-Geometry-1/Solomon/1a.%20Equations%20of%20straight%20lines.pdf#page=2" TargetMode="External" Id="rId275" /><Relationship Type="http://schemas.openxmlformats.org/officeDocument/2006/relationships/hyperlink" Target="https://pmt.physicsandmathstutor.com/download/Maths/A-level/Pure/Coordinate-Geometry-1/Solomon/1b.%20Equations%20of%20straight%20lines%20-%20Answers.pdf" TargetMode="External" Id="rId276" /><Relationship Type="http://schemas.openxmlformats.org/officeDocument/2006/relationships/hyperlink" Target="https://pmt.physicsandmathstutor.com/download/Maths/A-level/Pure/Coordinate-Geometry-1/OCR-MEI-Set-A/Straight%20Lines.pdf#page=1" TargetMode="External" Id="rId277" /><Relationship Type="http://schemas.openxmlformats.org/officeDocument/2006/relationships/hyperlink" Target="https://pmt.physicsandmathstutor.com/download/Maths/A-level/Pure/Coordinate-Geometry-1/OCR-MEI-Set-A/Straight%20Lines.pdf#page=4" TargetMode="External" Id="rId278" /><Relationship Type="http://schemas.openxmlformats.org/officeDocument/2006/relationships/hyperlink" Target="https://mathsgenie.co.uk/a-level/maths/ocr/mei/straight-line-models" TargetMode="External" Id="rId279" /><Relationship Type="http://schemas.openxmlformats.org/officeDocument/2006/relationships/hyperlink" Target="https://assets.mathsgenie.co.uk/content/worksheets/a_level_maths/straight-line-graphs-292c4a26.pdf#page=16" TargetMode="External" Id="rId280" /><Relationship Type="http://schemas.openxmlformats.org/officeDocument/2006/relationships/hyperlink" Target="https://assets.mathsgenie.co.uk/content/worksheets/a_level_maths/straight-line-graphs-ans-005ba0f8.pdf" TargetMode="External" Id="rId281" /><Relationship Type="http://schemas.openxmlformats.org/officeDocument/2006/relationships/hyperlink" Target="https://pmt.physicsandmathstutor.com/download/Maths/A-level/Pure/Coordinate-Geometry-1/Edexcel-Set-C/QP/Linear%20Models%20QP.pdf#page=2" TargetMode="External" Id="rId282" /><Relationship Type="http://schemas.openxmlformats.org/officeDocument/2006/relationships/hyperlink" Target="https://pmt.physicsandmathstutor.com/download/Maths/A-level/Pure/Coordinate-Geometry-1/Edexcel-Set-C/MS/Linear%20Models%20MS.pdf" TargetMode="External" Id="rId283" /><Relationship Type="http://schemas.openxmlformats.org/officeDocument/2006/relationships/hyperlink" Target="https://pmt.physicsandmathstutor.com/download/Maths/A-level/Pure/Coordinate-Geometry-1/Edexcel-Set-C/MA/Linear%20Models%20MA.pdf" TargetMode="External" Id="rId284" /><Relationship Type="http://schemas.openxmlformats.org/officeDocument/2006/relationships/hyperlink" Target="https://mathsgenie.co.uk/a-level/maths/ocr/mei/intersection-of-a-line-and-a-curve" TargetMode="External" Id="rId285" /><Relationship Type="http://schemas.openxmlformats.org/officeDocument/2006/relationships/hyperlink" Target="https://assets.mathsgenie.co.uk/content/worksheets/as_level_maths/equations-and-inequalities-dcb945d3.pdf#page=2" TargetMode="External" Id="rId286" /><Relationship Type="http://schemas.openxmlformats.org/officeDocument/2006/relationships/hyperlink" Target="https://assets.mathsgenie.co.uk/content/worksheets/as_level_maths/equations-and-inequalities-ans-0265cfa5.pdf" TargetMode="External" Id="rId287" /><Relationship Type="http://schemas.openxmlformats.org/officeDocument/2006/relationships/hyperlink" Target="https://pmt.physicsandmathstutor.com/download/Maths/A-level/Pure/Algebra-and-Functions-1/Solomon/14a.%20Graphs%20of%20functions.pdf#page=2" TargetMode="External" Id="rId288" /><Relationship Type="http://schemas.openxmlformats.org/officeDocument/2006/relationships/hyperlink" Target="https://pmt.physicsandmathstutor.com/download/Maths/A-level/Pure/Algebra-and-Functions-1/Solomon/14b.%20Graphs%20of%20functions%20-%20Answers.pdf" TargetMode="External" Id="rId289" /><Relationship Type="http://schemas.openxmlformats.org/officeDocument/2006/relationships/hyperlink" Target="https://pmt.physicsandmathstutor.com/download/Maths/A-level/Pure/Algebra-and-Functions-1/OCR-MEI-Set-A/Graphs%20%28Yr.%201%29.pdf#page=2" TargetMode="External" Id="rId290" /><Relationship Type="http://schemas.openxmlformats.org/officeDocument/2006/relationships/hyperlink" Target="https://pmt.physicsandmathstutor.com/download/Maths/A-level/Pure/Algebra-and-Functions-1/OCR-MEI-Set-A/Graphs%20%28Yr.%201%29.pdf#page=7" TargetMode="External" Id="rId291" /><Relationship Type="http://schemas.openxmlformats.org/officeDocument/2006/relationships/hyperlink" Target="https://mathsgenie.co.uk/a-level/maths/ocr/mei/intersection-of-a-line-and-a-circle" TargetMode="External" Id="rId292" /><Relationship Type="http://schemas.openxmlformats.org/officeDocument/2006/relationships/hyperlink" Target="https://assets.mathsgenie.co.uk/content/worksheets/a_level_maths/circles-f6b421fc.pdf#page=5" TargetMode="External" Id="rId293" /><Relationship Type="http://schemas.openxmlformats.org/officeDocument/2006/relationships/hyperlink" Target="https://assets.mathsgenie.co.uk/content/worksheets/a_level_maths/circles-ans-e9cff5dc.pdf" TargetMode="External" Id="rId294" /><Relationship Type="http://schemas.openxmlformats.org/officeDocument/2006/relationships/hyperlink" Target="https://pmt.physicsandmathstutor.com/download/Maths/A-level/Pure/Coordinate-Geometry-1/Solomon/4a.%20Circles.pdf#page=2" TargetMode="External" Id="rId295" /><Relationship Type="http://schemas.openxmlformats.org/officeDocument/2006/relationships/hyperlink" Target="https://pmt.physicsandmathstutor.com/download/Maths/A-level/Pure/Coordinate-Geometry-1/Solomon/4b.%20Circles%20-%20Answers.pdf" TargetMode="External" Id="rId296" /><Relationship Type="http://schemas.openxmlformats.org/officeDocument/2006/relationships/hyperlink" Target="https://pmt.physicsandmathstutor.com/download/Maths/A-level/Pure/Coordinate-Geometry-1/OCR-MEI-Set-A/Curves.pdf#page=1" TargetMode="External" Id="rId297" /><Relationship Type="http://schemas.openxmlformats.org/officeDocument/2006/relationships/hyperlink" Target="https://pmt.physicsandmathstutor.com/download/Maths/A-level/Pure/Coordinate-Geometry-1/OCR-MEI-Set-A/Curves.pdf#page=4" TargetMode="External" Id="rId298" /><Relationship Type="http://schemas.openxmlformats.org/officeDocument/2006/relationships/hyperlink" Target="https://mathsgenie.co.uk/a-level/maths/ocr/mei/equation-of-a-circle" TargetMode="External" Id="rId299" /><Relationship Type="http://schemas.openxmlformats.org/officeDocument/2006/relationships/hyperlink" Target="https://assets.mathsgenie.co.uk/content/worksheets/a_level_maths__ocr_mei/as-pure-mathematics-6-circles-6-2-equation-of-a-circle-6117aa74.pdf#page=1" TargetMode="External" Id="rId300" /><Relationship Type="http://schemas.openxmlformats.org/officeDocument/2006/relationships/hyperlink" Target="https://assets.mathsgenie.co.uk/content/worksheets/a_level_maths__ocr_mei/as-pure-mathematics-6-circles-6-2-equation-of-a-circle-ans-2e19e501.pdf" TargetMode="External" Id="rId301" /><Relationship Type="http://schemas.openxmlformats.org/officeDocument/2006/relationships/hyperlink" Target="https://pmt.physicsandmathstutor.com/download/Maths/A-level/Pure/Coordinate-Geometry-1/Solomon/4a.%20Circles.pdf#page=1" TargetMode="External" Id="rId302" /><Relationship Type="http://schemas.openxmlformats.org/officeDocument/2006/relationships/hyperlink" Target="https://pmt.physicsandmathstutor.com/download/Maths/A-level/Pure/Coordinate-Geometry-1/Solomon/4b.%20Circles%20-%20Answers.pdf" TargetMode="External" Id="rId303" /><Relationship Type="http://schemas.openxmlformats.org/officeDocument/2006/relationships/hyperlink" Target="https://pmt.physicsandmathstutor.com/download/Maths/A-level/Pure/Coordinate-Geometry-1/OCR-MEI-Set-A/Curves.pdf#page=1" TargetMode="External" Id="rId304" /><Relationship Type="http://schemas.openxmlformats.org/officeDocument/2006/relationships/hyperlink" Target="https://pmt.physicsandmathstutor.com/download/Maths/A-level/Pure/Coordinate-Geometry-1/OCR-MEI-Set-A/Curves.pdf#page=4" TargetMode="External" Id="rId305" /><Relationship Type="http://schemas.openxmlformats.org/officeDocument/2006/relationships/hyperlink" Target="https://mathsgenie.co.uk/a-level/maths/ocr/mei/circle-properties" TargetMode="External" Id="rId306" /><Relationship Type="http://schemas.openxmlformats.org/officeDocument/2006/relationships/hyperlink" Target="https://assets.mathsgenie.co.uk/content/worksheets/a_level_maths/circles-f6b421fc.pdf#page=3" TargetMode="External" Id="rId307" /><Relationship Type="http://schemas.openxmlformats.org/officeDocument/2006/relationships/hyperlink" Target="https://assets.mathsgenie.co.uk/content/worksheets/a_level_maths/circles-ans-e9cff5dc.pdf" TargetMode="External" Id="rId308" /><Relationship Type="http://schemas.openxmlformats.org/officeDocument/2006/relationships/hyperlink" Target="https://pmt.physicsandmathstutor.com/download/Maths/A-level/Pure/Coordinate-Geometry-1/Solomon/4a.%20Circles.pdf#page=1" TargetMode="External" Id="rId309" /><Relationship Type="http://schemas.openxmlformats.org/officeDocument/2006/relationships/hyperlink" Target="https://pmt.physicsandmathstutor.com/download/Maths/A-level/Pure/Coordinate-Geometry-1/Solomon/4b.%20Circles%20-%20Answers.pdf" TargetMode="External" Id="rId310" /><Relationship Type="http://schemas.openxmlformats.org/officeDocument/2006/relationships/hyperlink" Target="https://pmt.physicsandmathstutor.com/download/Maths/A-level/Pure/Coordinate-Geometry-1/OCR-MEI-Set-A/Curves.pdf#page=1" TargetMode="External" Id="rId311" /><Relationship Type="http://schemas.openxmlformats.org/officeDocument/2006/relationships/hyperlink" Target="https://pmt.physicsandmathstutor.com/download/Maths/A-level/Pure/Coordinate-Geometry-1/OCR-MEI-Set-A/Curves.pdf#page=4" TargetMode="External" Id="rId312" /><Relationship Type="http://schemas.openxmlformats.org/officeDocument/2006/relationships/hyperlink" Target="https://mathsgenie.co.uk/a-level/maths/ocr/mei/parameter-and-parametric-equations" TargetMode="External" Id="rId313" /><Relationship Type="http://schemas.openxmlformats.org/officeDocument/2006/relationships/hyperlink" Target="https://assets.mathsgenie.co.uk/content/worksheets/a_level_maths/a-level-pure-mathematics-8-parametric-equations-medium-a78560a5.pdf#page=1" TargetMode="External" Id="rId314" /><Relationship Type="http://schemas.openxmlformats.org/officeDocument/2006/relationships/hyperlink" Target="https://assets.mathsgenie.co.uk/content/worksheets/a_level_maths/a-level-pure-mathematics-8-parametric-equations-medium-ans-f3cbf813.pdf" TargetMode="External" Id="rId315" /><Relationship Type="http://schemas.openxmlformats.org/officeDocument/2006/relationships/hyperlink" Target="https://pmt.physicsandmathstutor.com/download/Maths/A-level/Pure/Differentiation-2/Solomon/13a.%20Parametric%20equations.pdf#page=1" TargetMode="External" Id="rId316" /><Relationship Type="http://schemas.openxmlformats.org/officeDocument/2006/relationships/hyperlink" Target="https://pmt.physicsandmathstutor.com/download/Maths/A-level/Pure/Differentiation-2/Solomon/13b.%20Parametric%20equations%20-%20Answers.pdf" TargetMode="External" Id="rId317" /><Relationship Type="http://schemas.openxmlformats.org/officeDocument/2006/relationships/hyperlink" Target="https://pmt.physicsandmathstutor.com/download/Maths/A-level/Pure/Coordinate-Geometry-2/OCR-MEI-Set-A/Parametric%20Equations.pdf#page=4" TargetMode="External" Id="rId318" /><Relationship Type="http://schemas.openxmlformats.org/officeDocument/2006/relationships/hyperlink" Target="https://pmt.physicsandmathstutor.com/download/Maths/A-level/Pure/Coordinate-Geometry-2/OCR-MEI-Set-A/Parametric%20Equations.pdf#page=5" TargetMode="External" Id="rId319" /><Relationship Type="http://schemas.openxmlformats.org/officeDocument/2006/relationships/hyperlink" Target="https://mathsgenie.co.uk/a-level/maths/ocr/mei/convert-between-cartesian-and-parametric-forms" TargetMode="External" Id="rId320" /><Relationship Type="http://schemas.openxmlformats.org/officeDocument/2006/relationships/hyperlink" Target="https://assets.mathsgenie.co.uk/content/worksheets/a_level_maths/parametric-equations-37ac7b71.pdf#page=1" TargetMode="External" Id="rId321" /><Relationship Type="http://schemas.openxmlformats.org/officeDocument/2006/relationships/hyperlink" Target="https://assets.mathsgenie.co.uk/content/worksheets/a_level_maths/parametric-equations-ans-f9e3d49c.pdf" TargetMode="External" Id="rId322" /><Relationship Type="http://schemas.openxmlformats.org/officeDocument/2006/relationships/hyperlink" Target="https://pmt.physicsandmathstutor.com/download/Maths/A-level/Pure/Differentiation-2/Solomon/13a.%20Parametric%20equations.pdf#page=1" TargetMode="External" Id="rId323" /><Relationship Type="http://schemas.openxmlformats.org/officeDocument/2006/relationships/hyperlink" Target="https://pmt.physicsandmathstutor.com/download/Maths/A-level/Pure/Differentiation-2/Solomon/13b.%20Parametric%20equations%20-%20Answers.pdf" TargetMode="External" Id="rId324" /><Relationship Type="http://schemas.openxmlformats.org/officeDocument/2006/relationships/hyperlink" Target="https://pmt.physicsandmathstutor.com/download/Maths/A-level/Pure/Coordinate-Geometry-2/OCR-MEI-Set-A/Parametric%20Equations.pdf#page=2" TargetMode="External" Id="rId325" /><Relationship Type="http://schemas.openxmlformats.org/officeDocument/2006/relationships/hyperlink" Target="https://pmt.physicsandmathstutor.com/download/Maths/A-level/Pure/Coordinate-Geometry-2/OCR-MEI-Set-A/Parametric%20Equations.pdf#page=5" TargetMode="External" Id="rId326" /><Relationship Type="http://schemas.openxmlformats.org/officeDocument/2006/relationships/hyperlink" Target="https://mathsgenie.co.uk/a-level/maths/ocr/mei/equation-of-a-circle-in-parametric-form" TargetMode="External" Id="rId327" /><Relationship Type="http://schemas.openxmlformats.org/officeDocument/2006/relationships/hyperlink" Target="https://assets.mathsgenie.co.uk/content/worksheets/a_level_maths/parametric-equations-37ac7b71.pdf#page=2" TargetMode="External" Id="rId328" /><Relationship Type="http://schemas.openxmlformats.org/officeDocument/2006/relationships/hyperlink" Target="https://assets.mathsgenie.co.uk/content/worksheets/a_level_maths/parametric-equations-ans-f9e3d49c.pdf" TargetMode="External" Id="rId329" /><Relationship Type="http://schemas.openxmlformats.org/officeDocument/2006/relationships/hyperlink" Target="https://pmt.physicsandmathstutor.com/download/Maths/A-level/Pure/Differentiation-2/Solomon/13a.%20Parametric%20equations.pdf#page=1" TargetMode="External" Id="rId330" /><Relationship Type="http://schemas.openxmlformats.org/officeDocument/2006/relationships/hyperlink" Target="https://pmt.physicsandmathstutor.com/download/Maths/A-level/Pure/Differentiation-2/Solomon/13b.%20Parametric%20equations%20-%20Answers.pdf" TargetMode="External" Id="rId331" /><Relationship Type="http://schemas.openxmlformats.org/officeDocument/2006/relationships/hyperlink" Target="https://mathsgenie.co.uk/a-level/maths/ocr/mei/gradient-of-a-parametric-curve" TargetMode="External" Id="rId332" /><Relationship Type="http://schemas.openxmlformats.org/officeDocument/2006/relationships/hyperlink" Target="https://assets.mathsgenie.co.uk/content/worksheets/a_level_maths/year-2-differentiation-5cb3a7d8.pdf#page=32" TargetMode="External" Id="rId333" /><Relationship Type="http://schemas.openxmlformats.org/officeDocument/2006/relationships/hyperlink" Target="https://assets.mathsgenie.co.uk/content/worksheets/a_level_maths/year-2-differentiation-ans-fe9163b5.pdf" TargetMode="External" Id="rId334" /><Relationship Type="http://schemas.openxmlformats.org/officeDocument/2006/relationships/hyperlink" Target="https://pmt.physicsandmathstutor.com/download/Maths/A-level/Pure/Differentiation-2/Solomon/12a.%20Differentiating%20functions%20defined%20parametrically.pdf#page=1" TargetMode="External" Id="rId335" /><Relationship Type="http://schemas.openxmlformats.org/officeDocument/2006/relationships/hyperlink" Target="https://pmt.physicsandmathstutor.com/download/Maths/A-level/Pure/Differentiation-2/Solomon/12b.%20Differentiating%20functions%20defined%20parametrically%20-%20Answers.pdf" TargetMode="External" Id="rId336" /><Relationship Type="http://schemas.openxmlformats.org/officeDocument/2006/relationships/hyperlink" Target="https://pmt.physicsandmathstutor.com/download/Maths/A-level/Pure/Coordinate-Geometry-2/OCR-MEI-Set-A/Parametric%20Equations.pdf#page=1" TargetMode="External" Id="rId337" /><Relationship Type="http://schemas.openxmlformats.org/officeDocument/2006/relationships/hyperlink" Target="https://pmt.physicsandmathstutor.com/download/Maths/A-level/Pure/Coordinate-Geometry-2/OCR-MEI-Set-A/Parametric%20Equations.pdf#page=5" TargetMode="External" Id="rId338" /><Relationship Type="http://schemas.openxmlformats.org/officeDocument/2006/relationships/hyperlink" Target="https://mathsgenie.co.uk/a-level/maths/ocr/mei/parametric-equations-in-modelling" TargetMode="External" Id="rId339" /><Relationship Type="http://schemas.openxmlformats.org/officeDocument/2006/relationships/hyperlink" Target="https://assets.mathsgenie.co.uk/content/worksheets/a_level_maths/a-level-mechanics-3-projectiles-medium-4ca35baf.pdf#page=4" TargetMode="External" Id="rId340" /><Relationship Type="http://schemas.openxmlformats.org/officeDocument/2006/relationships/hyperlink" Target="https://assets.mathsgenie.co.uk/content/worksheets/a_level_maths/a-level-mechanics-3-projectiles-medium-ans-84f9de36.pdf" TargetMode="External" Id="rId341" /><Relationship Type="http://schemas.openxmlformats.org/officeDocument/2006/relationships/hyperlink" Target="https://pmt.physicsandmathstutor.com/download/Maths/A-level/Mechanics/Kinematics-2/Edexcel-Set-A/Kinematics%20-%20Projectiles%202.pdf#page=2" TargetMode="External" Id="rId342" /><Relationship Type="http://schemas.openxmlformats.org/officeDocument/2006/relationships/hyperlink" Target="https://pmt.physicsandmathstutor.com/download/Maths/A-level/Mechanics/Kinematics-2/OCR-MEI-Set-A/Motion%20in%202%20Dimensions.pdf#page=2" TargetMode="External" Id="rId343" /><Relationship Type="http://schemas.openxmlformats.org/officeDocument/2006/relationships/hyperlink" Target="https://pmt.physicsandmathstutor.com/download/Maths/A-level/Mechanics/Kinematics-2/OCR-MEI-Set-A/Motion%20in%202%20Dimensions.pdf#page=5" TargetMode="External" Id="rId344" /><Relationship Type="http://schemas.openxmlformats.org/officeDocument/2006/relationships/hyperlink" Target="https://mathsgenie.co.uk/a-level/maths/ocr/mei/binomial-expansion-for-positive-integer-n" TargetMode="External" Id="rId345" /><Relationship Type="http://schemas.openxmlformats.org/officeDocument/2006/relationships/hyperlink" Target="https://assets.mathsgenie.co.uk/content/worksheets/a_level_maths__ocr_mei/as-pure-mathematics-8-the-binomial-expansion-open-81bd12c7.pdf#page=1" TargetMode="External" Id="rId346" /><Relationship Type="http://schemas.openxmlformats.org/officeDocument/2006/relationships/hyperlink" Target="https://assets.mathsgenie.co.uk/content/worksheets/a_level_maths__ocr_mei/as-pure-mathematics-8-the-binomial-expansion-open-ans-dd499085.pdf" TargetMode="External" Id="rId347" /><Relationship Type="http://schemas.openxmlformats.org/officeDocument/2006/relationships/hyperlink" Target="https://pmt.physicsandmathstutor.com/download/Maths/A-level/Pure/Sequences-and-Series-1/Edexcel-Set-B/Binomial%20Expansion.pdf#page=1" TargetMode="External" Id="rId348" /><Relationship Type="http://schemas.openxmlformats.org/officeDocument/2006/relationships/hyperlink" Target="https://pmt.physicsandmathstutor.com/download/Maths/A-level/Pure/Sequences-and-Series-1/Edexcel-Set-B/MA/Binomial%20Expansion%20MA.pdf" TargetMode="External" Id="rId349" /><Relationship Type="http://schemas.openxmlformats.org/officeDocument/2006/relationships/hyperlink" Target="https://pmt.physicsandmathstutor.com/download/Maths/A-level/Pure/Sequences-and-Series-1/OCR-MEI-Set-A/Binomial%20Expansions%20%28Yr.%201%29.pdf#page=1" TargetMode="External" Id="rId350" /><Relationship Type="http://schemas.openxmlformats.org/officeDocument/2006/relationships/hyperlink" Target="https://pmt.physicsandmathstutor.com/download/Maths/A-level/Pure/Sequences-and-Series-1/OCR-MEI-Set-A/Binomial%20Expansions%20%28Yr.%201%29.pdf#page=2" TargetMode="External" Id="rId351" /><Relationship Type="http://schemas.openxmlformats.org/officeDocument/2006/relationships/hyperlink" Target="https://mathsgenie.co.uk/a-level/maths/ocr/mei/factorial-and-combinations-notation" TargetMode="External" Id="rId352" /><Relationship Type="http://schemas.openxmlformats.org/officeDocument/2006/relationships/hyperlink" Target="https://assets.mathsgenie.co.uk/content/worksheets/a_level_maths__ocr_mei/as-pure-mathematics-8-the-binomial-expansion-open-81bd12c7.pdf#page=1" TargetMode="External" Id="rId353" /><Relationship Type="http://schemas.openxmlformats.org/officeDocument/2006/relationships/hyperlink" Target="https://assets.mathsgenie.co.uk/content/worksheets/a_level_maths__ocr_mei/as-pure-mathematics-8-the-binomial-expansion-open-ans-dd499085.pdf" TargetMode="External" Id="rId354" /><Relationship Type="http://schemas.openxmlformats.org/officeDocument/2006/relationships/hyperlink" Target="https://mathsgenie.co.uk/a-level/maths/ocr/mei/binomial-expansion-for-rational-n" TargetMode="External" Id="rId355" /><Relationship Type="http://schemas.openxmlformats.org/officeDocument/2006/relationships/hyperlink" Target="https://assets.mathsgenie.co.uk/content/worksheets/a_level_maths/year-2-binomial-expansion-34e0909e.pdf#page=1" TargetMode="External" Id="rId356" /><Relationship Type="http://schemas.openxmlformats.org/officeDocument/2006/relationships/hyperlink" Target="https://assets.mathsgenie.co.uk/content/worksheets/a_level_maths/year-2-binomial-expansion-ans-28b7e3e0.pdf" TargetMode="External" Id="rId357" /><Relationship Type="http://schemas.openxmlformats.org/officeDocument/2006/relationships/hyperlink" Target="https://pmt.physicsandmathstutor.com/download/Maths/A-level/Pure/Sequences-and-Series-2/Edexcel-Set-A/Binomial%20Series.pdf#page=1" TargetMode="External" Id="rId358" /><Relationship Type="http://schemas.openxmlformats.org/officeDocument/2006/relationships/hyperlink" Target="https://pmt.physicsandmathstutor.com/download/Maths/A-level/Pure/Sequences-and-Series-2/OCR-MEI-Set-A/Binomial%20Expansions%20%28Yr.%202%29.pdf#page=1" TargetMode="External" Id="rId359" /><Relationship Type="http://schemas.openxmlformats.org/officeDocument/2006/relationships/hyperlink" Target="https://pmt.physicsandmathstutor.com/download/Maths/A-level/Pure/Sequences-and-Series-2/OCR-MEI-Set-A/Binomial%20Expansions%20%28Yr.%202%29.pdf#page=4" TargetMode="External" Id="rId360" /><Relationship Type="http://schemas.openxmlformats.org/officeDocument/2006/relationships/hyperlink" Target="https://mathsgenie.co.uk/a-level/maths/ocr/mei/binomial-expansion-of-a-bx-n-via-factoring" TargetMode="External" Id="rId361" /><Relationship Type="http://schemas.openxmlformats.org/officeDocument/2006/relationships/hyperlink" Target="https://assets.mathsgenie.co.uk/content/worksheets/a_level_maths/year-2-binomial-expansion-34e0909e.pdf#page=2" TargetMode="External" Id="rId362" /><Relationship Type="http://schemas.openxmlformats.org/officeDocument/2006/relationships/hyperlink" Target="https://assets.mathsgenie.co.uk/content/worksheets/a_level_maths/year-2-binomial-expansion-ans-28b7e3e0.pdf" TargetMode="External" Id="rId363" /><Relationship Type="http://schemas.openxmlformats.org/officeDocument/2006/relationships/hyperlink" Target="https://pmt.physicsandmathstutor.com/download/Maths/A-level/Pure/Sequences-and-Series-2/Edexcel-Set-A/Binomial%20Series.pdf#page=2" TargetMode="External" Id="rId364" /><Relationship Type="http://schemas.openxmlformats.org/officeDocument/2006/relationships/hyperlink" Target="https://pmt.physicsandmathstutor.com/download/Maths/A-level/Pure/Sequences-and-Series-2/OCR-MEI-Set-A/Binomial%20Expansions%20%28Yr.%202%29.pdf#page=1" TargetMode="External" Id="rId365" /><Relationship Type="http://schemas.openxmlformats.org/officeDocument/2006/relationships/hyperlink" Target="https://pmt.physicsandmathstutor.com/download/Maths/A-level/Pure/Sequences-and-Series-2/OCR-MEI-Set-A/Binomial%20Expansions%20%28Yr.%202%29.pdf#page=4" TargetMode="External" Id="rId366" /><Relationship Type="http://schemas.openxmlformats.org/officeDocument/2006/relationships/hyperlink" Target="https://mathsgenie.co.uk/a-level/maths/ocr/mei/binomial-approximating-polynomials" TargetMode="External" Id="rId367" /><Relationship Type="http://schemas.openxmlformats.org/officeDocument/2006/relationships/hyperlink" Target="https://assets.mathsgenie.co.uk/content/worksheets/a_level_maths/year-2-binomial-expansion-34e0909e.pdf#page=4" TargetMode="External" Id="rId368" /><Relationship Type="http://schemas.openxmlformats.org/officeDocument/2006/relationships/hyperlink" Target="https://assets.mathsgenie.co.uk/content/worksheets/a_level_maths/year-2-binomial-expansion-ans-28b7e3e0.pdf" TargetMode="External" Id="rId369" /><Relationship Type="http://schemas.openxmlformats.org/officeDocument/2006/relationships/hyperlink" Target="https://pmt.physicsandmathstutor.com/download/Maths/A-level/Pure/Sequences-and-Series-2/Edexcel-Set-A/Binomial%20Series.pdf#page=1" TargetMode="External" Id="rId370" /><Relationship Type="http://schemas.openxmlformats.org/officeDocument/2006/relationships/hyperlink" Target="https://pmt.physicsandmathstutor.com/download/Maths/A-level/Pure/Sequences-and-Series-2/OCR-MEI-Set-A/Binomial%20Expansions%20%28Yr.%202%29.pdf#page=2" TargetMode="External" Id="rId371" /><Relationship Type="http://schemas.openxmlformats.org/officeDocument/2006/relationships/hyperlink" Target="https://pmt.physicsandmathstutor.com/download/Maths/A-level/Pure/Sequences-and-Series-2/OCR-MEI-Set-A/Binomial%20Expansions%20%28Yr.%202%29.pdf#page=4" TargetMode="External" Id="rId372" /><Relationship Type="http://schemas.openxmlformats.org/officeDocument/2006/relationships/hyperlink" Target="https://mathsgenie.co.uk/a-level/maths/ocr/mei/what-a-sequence-is-finite-and-infinite" TargetMode="External" Id="rId373" /><Relationship Type="http://schemas.openxmlformats.org/officeDocument/2006/relationships/hyperlink" Target="https://mathsgenie.co.uk/a-level/maths/ocr/mei/generate-a-sequence-by-formula-or-recurrence" TargetMode="External" Id="rId374" /><Relationship Type="http://schemas.openxmlformats.org/officeDocument/2006/relationships/hyperlink" Target="https://assets.mathsgenie.co.uk/content/worksheets/a_level_maths/sequences-and-series-91a49f19.pdf#page=17" TargetMode="External" Id="rId375" /><Relationship Type="http://schemas.openxmlformats.org/officeDocument/2006/relationships/hyperlink" Target="https://assets.mathsgenie.co.uk/content/worksheets/a_level_maths/sequences-and-series-ans-1530136d.pdf" TargetMode="External" Id="rId376" /><Relationship Type="http://schemas.openxmlformats.org/officeDocument/2006/relationships/hyperlink" Target="https://pmt.physicsandmathstutor.com/download/Maths/A-level/Pure/Sequences-and-Series-2/Edexcel-Set-A/General%20Sequences%20and%20Series%201.pdf#page=1" TargetMode="External" Id="rId377" /><Relationship Type="http://schemas.openxmlformats.org/officeDocument/2006/relationships/hyperlink" Target="https://pmt.physicsandmathstutor.com/download/Maths/A-level/Pure/Sequences-and-Series-2/OCR-MEI-Set-A/Sequences.pdf#page=1" TargetMode="External" Id="rId378" /><Relationship Type="http://schemas.openxmlformats.org/officeDocument/2006/relationships/hyperlink" Target="https://pmt.physicsandmathstutor.com/download/Maths/A-level/Pure/Sequences-and-Series-2/OCR-MEI-Set-A/Sequences.pdf#page=3" TargetMode="External" Id="rId379" /><Relationship Type="http://schemas.openxmlformats.org/officeDocument/2006/relationships/hyperlink" Target="https://mathsgenie.co.uk/a-level/maths/ocr/mei/a-series-as-a-sum-of-terms" TargetMode="External" Id="rId380" /><Relationship Type="http://schemas.openxmlformats.org/officeDocument/2006/relationships/hyperlink" Target="https://assets.mathsgenie.co.uk/content/worksheets/a_level_maths/sequences-and-series-91a49f19.pdf#page=18" TargetMode="External" Id="rId381" /><Relationship Type="http://schemas.openxmlformats.org/officeDocument/2006/relationships/hyperlink" Target="https://assets.mathsgenie.co.uk/content/worksheets/a_level_maths/sequences-and-series-ans-1530136d.pdf" TargetMode="External" Id="rId382" /><Relationship Type="http://schemas.openxmlformats.org/officeDocument/2006/relationships/hyperlink" Target="https://pmt.physicsandmathstutor.com/download/Maths/A-level/Pure/Sequences-and-Series-2/Edexcel-Set-A/General%20Sequences%20and%20Series%201.pdf#page=1" TargetMode="External" Id="rId383" /><Relationship Type="http://schemas.openxmlformats.org/officeDocument/2006/relationships/hyperlink" Target="https://pmt.physicsandmathstutor.com/download/Maths/A-level/Pure/Sequences-and-Series-2/OCR-MEI-Set-A/Sequences.pdf#page=1" TargetMode="External" Id="rId384" /><Relationship Type="http://schemas.openxmlformats.org/officeDocument/2006/relationships/hyperlink" Target="https://pmt.physicsandmathstutor.com/download/Maths/A-level/Pure/Sequences-and-Series-2/OCR-MEI-Set-A/Sequences.pdf#page=3" TargetMode="External" Id="rId385" /><Relationship Type="http://schemas.openxmlformats.org/officeDocument/2006/relationships/hyperlink" Target="https://mathsgenie.co.uk/a-level/maths/ocr/mei/sigma-notation" TargetMode="External" Id="rId386" /><Relationship Type="http://schemas.openxmlformats.org/officeDocument/2006/relationships/hyperlink" Target="https://assets.mathsgenie.co.uk/content/worksheets/a_level_maths/sequences-and-series-91a49f19.pdf#page=18" TargetMode="External" Id="rId387" /><Relationship Type="http://schemas.openxmlformats.org/officeDocument/2006/relationships/hyperlink" Target="https://assets.mathsgenie.co.uk/content/worksheets/a_level_maths/sequences-and-series-ans-1530136d.pdf" TargetMode="External" Id="rId388" /><Relationship Type="http://schemas.openxmlformats.org/officeDocument/2006/relationships/hyperlink" Target="https://pmt.physicsandmathstutor.com/download/Maths/A-level/Pure/Sequences-and-Series-2/Edexcel-Set-B/Sequences%20and%20Series.pdf#page=1" TargetMode="External" Id="rId389" /><Relationship Type="http://schemas.openxmlformats.org/officeDocument/2006/relationships/hyperlink" Target="https://pmt.physicsandmathstutor.com/download/Maths/A-level/Pure/Sequences-and-Series-2/Edexcel-Set-B/MA/Sequences%20and%20Series%20MA.pdf" TargetMode="External" Id="rId390" /><Relationship Type="http://schemas.openxmlformats.org/officeDocument/2006/relationships/hyperlink" Target="https://pmt.physicsandmathstutor.com/download/Maths/A-level/Pure/Sequences-and-Series-2/OCR-MEI-Set-A/Sequences.pdf#page=1" TargetMode="External" Id="rId391" /><Relationship Type="http://schemas.openxmlformats.org/officeDocument/2006/relationships/hyperlink" Target="https://pmt.physicsandmathstutor.com/download/Maths/A-level/Pure/Sequences-and-Series-2/OCR-MEI-Set-A/Sequences.pdf#page=3" TargetMode="External" Id="rId392" /><Relationship Type="http://schemas.openxmlformats.org/officeDocument/2006/relationships/hyperlink" Target="https://mathsgenie.co.uk/a-level/maths/ocr/mei/increasing-decreasing-and-periodic-sequences" TargetMode="External" Id="rId393" /><Relationship Type="http://schemas.openxmlformats.org/officeDocument/2006/relationships/hyperlink" Target="https://assets.mathsgenie.co.uk/content/worksheets/a_level_maths/sequences-and-series-91a49f19.pdf#page=19" TargetMode="External" Id="rId394" /><Relationship Type="http://schemas.openxmlformats.org/officeDocument/2006/relationships/hyperlink" Target="https://assets.mathsgenie.co.uk/content/worksheets/a_level_maths/sequences-and-series-ans-1530136d.pdf" TargetMode="External" Id="rId395" /><Relationship Type="http://schemas.openxmlformats.org/officeDocument/2006/relationships/hyperlink" Target="https://pmt.physicsandmathstutor.com/download/Maths/A-level/Pure/Sequences-and-Series-2/Edexcel-Set-C/QP/Sequences%20and%20Series%20QP.pdf#page=4" TargetMode="External" Id="rId396" /><Relationship Type="http://schemas.openxmlformats.org/officeDocument/2006/relationships/hyperlink" Target="https://pmt.physicsandmathstutor.com/download/Maths/A-level/Pure/Sequences-and-Series-2/Edexcel-Set-C/MS/Sequences%20and%20Series%20MS.pdf" TargetMode="External" Id="rId397" /><Relationship Type="http://schemas.openxmlformats.org/officeDocument/2006/relationships/hyperlink" Target="https://pmt.physicsandmathstutor.com/download/Maths/A-level/Pure/Sequences-and-Series-2/Edexcel-Set-C/MA/Sequences%20and%20Series%20MA.pdf" TargetMode="External" Id="rId398" /><Relationship Type="http://schemas.openxmlformats.org/officeDocument/2006/relationships/hyperlink" Target="https://pmt.physicsandmathstutor.com/download/Maths/A-level/Pure/Sequences-and-Series-2/OCR-MEI-Set-A/Sequences.pdf#page=1" TargetMode="External" Id="rId399" /><Relationship Type="http://schemas.openxmlformats.org/officeDocument/2006/relationships/hyperlink" Target="https://pmt.physicsandmathstutor.com/download/Maths/A-level/Pure/Sequences-and-Series-2/OCR-MEI-Set-A/Sequences.pdf#page=3" TargetMode="External" Id="rId400" /><Relationship Type="http://schemas.openxmlformats.org/officeDocument/2006/relationships/hyperlink" Target="https://mathsgenie.co.uk/a-level/maths/ocr/mei/convergent-and-divergent-sequences" TargetMode="External" Id="rId401" /><Relationship Type="http://schemas.openxmlformats.org/officeDocument/2006/relationships/hyperlink" Target="https://pmt.physicsandmathstutor.com/download/Maths/A-level/Pure/Sequences-and-Series-2/OCR-MEI-Set-A/Sequences.pdf#page=1" TargetMode="External" Id="rId402" /><Relationship Type="http://schemas.openxmlformats.org/officeDocument/2006/relationships/hyperlink" Target="https://pmt.physicsandmathstutor.com/download/Maths/A-level/Pure/Sequences-and-Series-2/OCR-MEI-Set-A/Sequences.pdf#page=3" TargetMode="External" Id="rId403" /><Relationship Type="http://schemas.openxmlformats.org/officeDocument/2006/relationships/hyperlink" Target="https://mathsgenie.co.uk/a-level/maths/ocr/mei/arithmetic-sequences-and-series" TargetMode="External" Id="rId404" /><Relationship Type="http://schemas.openxmlformats.org/officeDocument/2006/relationships/hyperlink" Target="https://assets.mathsgenie.co.uk/content/worksheets/a_level_maths/sequences-and-series-91a49f19.pdf#page=2" TargetMode="External" Id="rId405" /><Relationship Type="http://schemas.openxmlformats.org/officeDocument/2006/relationships/hyperlink" Target="https://assets.mathsgenie.co.uk/content/worksheets/a_level_maths/sequences-and-series-ans-1530136d.pdf" TargetMode="External" Id="rId406" /><Relationship Type="http://schemas.openxmlformats.org/officeDocument/2006/relationships/hyperlink" Target="https://pmt.physicsandmathstutor.com/download/Maths/A-level/Pure/Sequences-and-Series-2/Edexcel-Set-A/Arithmetic%20Series.pdf#page=2" TargetMode="External" Id="rId407" /><Relationship Type="http://schemas.openxmlformats.org/officeDocument/2006/relationships/hyperlink" Target="https://pmt.physicsandmathstutor.com/download/Maths/A-level/Pure/Sequences-and-Series-2/OCR-MEI-Set-A/Arithmetic%20Series.pdf#page=1" TargetMode="External" Id="rId408" /><Relationship Type="http://schemas.openxmlformats.org/officeDocument/2006/relationships/hyperlink" Target="https://pmt.physicsandmathstutor.com/download/Maths/A-level/Pure/Sequences-and-Series-2/OCR-MEI-Set-A/Arithmetic%20Series.pdf#page=3" TargetMode="External" Id="rId409" /><Relationship Type="http://schemas.openxmlformats.org/officeDocument/2006/relationships/hyperlink" Target="https://mathsgenie.co.uk/a-level/maths/ocr/mei/standard-formulae-for-arithmetic-series" TargetMode="External" Id="rId410" /><Relationship Type="http://schemas.openxmlformats.org/officeDocument/2006/relationships/hyperlink" Target="https://assets.mathsgenie.co.uk/content/worksheets/a_level_maths/sequences-and-series-91a49f19.pdf#page=1" TargetMode="External" Id="rId411" /><Relationship Type="http://schemas.openxmlformats.org/officeDocument/2006/relationships/hyperlink" Target="https://assets.mathsgenie.co.uk/content/worksheets/a_level_maths/sequences-and-series-ans-1530136d.pdf" TargetMode="External" Id="rId412" /><Relationship Type="http://schemas.openxmlformats.org/officeDocument/2006/relationships/hyperlink" Target="https://pmt.physicsandmathstutor.com/download/Maths/A-level/Pure/Sequences-and-Series-2/Edexcel-Set-A/Arithmetic%20Series.pdf#page=2" TargetMode="External" Id="rId413" /><Relationship Type="http://schemas.openxmlformats.org/officeDocument/2006/relationships/hyperlink" Target="https://pmt.physicsandmathstutor.com/download/Maths/A-level/Pure/Sequences-and-Series-2/OCR-MEI-Set-A/Arithmetic%20Series.pdf#page=1" TargetMode="External" Id="rId414" /><Relationship Type="http://schemas.openxmlformats.org/officeDocument/2006/relationships/hyperlink" Target="https://pmt.physicsandmathstutor.com/download/Maths/A-level/Pure/Sequences-and-Series-2/OCR-MEI-Set-A/Arithmetic%20Series.pdf#page=3" TargetMode="External" Id="rId415" /><Relationship Type="http://schemas.openxmlformats.org/officeDocument/2006/relationships/hyperlink" Target="https://mathsgenie.co.uk/a-level/maths/ocr/mei/geometric-sequences-and-series" TargetMode="External" Id="rId416" /><Relationship Type="http://schemas.openxmlformats.org/officeDocument/2006/relationships/hyperlink" Target="https://assets.mathsgenie.co.uk/content/worksheets/a_level_maths/sequences-and-series-91a49f19.pdf#page=10" TargetMode="External" Id="rId417" /><Relationship Type="http://schemas.openxmlformats.org/officeDocument/2006/relationships/hyperlink" Target="https://assets.mathsgenie.co.uk/content/worksheets/a_level_maths/sequences-and-series-ans-1530136d.pdf" TargetMode="External" Id="rId418" /><Relationship Type="http://schemas.openxmlformats.org/officeDocument/2006/relationships/hyperlink" Target="https://pmt.physicsandmathstutor.com/download/Maths/A-level/Pure/Sequences-and-Series-2/Edexcel-Set-A/Geometric%20Series%201.pdf#page=2" TargetMode="External" Id="rId419" /><Relationship Type="http://schemas.openxmlformats.org/officeDocument/2006/relationships/hyperlink" Target="https://pmt.physicsandmathstutor.com/download/Maths/A-level/Pure/Sequences-and-Series-2/OCR-MEI-Set-A/Geometric%20Series.pdf#page=1" TargetMode="External" Id="rId420" /><Relationship Type="http://schemas.openxmlformats.org/officeDocument/2006/relationships/hyperlink" Target="https://pmt.physicsandmathstutor.com/download/Maths/A-level/Pure/Sequences-and-Series-2/OCR-MEI-Set-A/Geometric%20Series.pdf#page=4" TargetMode="External" Id="rId421" /><Relationship Type="http://schemas.openxmlformats.org/officeDocument/2006/relationships/hyperlink" Target="https://mathsgenie.co.uk/a-level/maths/ocr/mei/standard-formulae-for-geometric-series" TargetMode="External" Id="rId422" /><Relationship Type="http://schemas.openxmlformats.org/officeDocument/2006/relationships/hyperlink" Target="https://assets.mathsgenie.co.uk/content/worksheets/a_level_maths/sequences-and-series-91a49f19.pdf#page=9" TargetMode="External" Id="rId423" /><Relationship Type="http://schemas.openxmlformats.org/officeDocument/2006/relationships/hyperlink" Target="https://assets.mathsgenie.co.uk/content/worksheets/a_level_maths/sequences-and-series-ans-1530136d.pdf" TargetMode="External" Id="rId424" /><Relationship Type="http://schemas.openxmlformats.org/officeDocument/2006/relationships/hyperlink" Target="https://pmt.physicsandmathstutor.com/download/Maths/A-level/Pure/Sequences-and-Series-2/Edexcel-Set-A/Geometric%20Series%201.pdf#page=2" TargetMode="External" Id="rId425" /><Relationship Type="http://schemas.openxmlformats.org/officeDocument/2006/relationships/hyperlink" Target="https://pmt.physicsandmathstutor.com/download/Maths/A-level/Pure/Sequences-and-Series-2/OCR-MEI-Set-A/Geometric%20Series.pdf#page=1" TargetMode="External" Id="rId426" /><Relationship Type="http://schemas.openxmlformats.org/officeDocument/2006/relationships/hyperlink" Target="https://pmt.physicsandmathstutor.com/download/Maths/A-level/Pure/Sequences-and-Series-2/OCR-MEI-Set-A/Geometric%20Series.pdf#page=4" TargetMode="External" Id="rId427" /><Relationship Type="http://schemas.openxmlformats.org/officeDocument/2006/relationships/hyperlink" Target="https://mathsgenie.co.uk/a-level/maths/ocr/mei/sum-to-infinity-of-a-geometric-series" TargetMode="External" Id="rId428" /><Relationship Type="http://schemas.openxmlformats.org/officeDocument/2006/relationships/hyperlink" Target="https://assets.mathsgenie.co.uk/content/worksheets/a_level_maths/sequences-and-series-91a49f19.pdf#page=11" TargetMode="External" Id="rId429" /><Relationship Type="http://schemas.openxmlformats.org/officeDocument/2006/relationships/hyperlink" Target="https://assets.mathsgenie.co.uk/content/worksheets/a_level_maths/sequences-and-series-ans-1530136d.pdf" TargetMode="External" Id="rId430" /><Relationship Type="http://schemas.openxmlformats.org/officeDocument/2006/relationships/hyperlink" Target="https://pmt.physicsandmathstutor.com/download/Maths/A-level/Pure/Sequences-and-Series-2/Edexcel-Set-A/Geometric%20Series%201.pdf#page=5" TargetMode="External" Id="rId431" /><Relationship Type="http://schemas.openxmlformats.org/officeDocument/2006/relationships/hyperlink" Target="https://pmt.physicsandmathstutor.com/download/Maths/A-level/Pure/Sequences-and-Series-2/OCR-MEI-Set-A/Geometric%20Series.pdf#page=1" TargetMode="External" Id="rId432" /><Relationship Type="http://schemas.openxmlformats.org/officeDocument/2006/relationships/hyperlink" Target="https://pmt.physicsandmathstutor.com/download/Maths/A-level/Pure/Sequences-and-Series-2/OCR-MEI-Set-A/Geometric%20Series.pdf#page=4" TargetMode="External" Id="rId433" /><Relationship Type="http://schemas.openxmlformats.org/officeDocument/2006/relationships/hyperlink" Target="https://mathsgenie.co.uk/a-level/maths/ocr/mei/sequences-and-series-in-modelling" TargetMode="External" Id="rId434" /><Relationship Type="http://schemas.openxmlformats.org/officeDocument/2006/relationships/hyperlink" Target="https://assets.mathsgenie.co.uk/content/worksheets/a_level_maths/sequences-and-series-91a49f19.pdf#page=5" TargetMode="External" Id="rId435" /><Relationship Type="http://schemas.openxmlformats.org/officeDocument/2006/relationships/hyperlink" Target="https://assets.mathsgenie.co.uk/content/worksheets/a_level_maths/sequences-and-series-ans-1530136d.pdf" TargetMode="External" Id="rId436" /><Relationship Type="http://schemas.openxmlformats.org/officeDocument/2006/relationships/hyperlink" Target="https://pmt.physicsandmathstutor.com/download/Maths/A-level/Pure/Sequences-and-Series-2/Edexcel-Set-A/Geometric%20Series%201.pdf#page=1" TargetMode="External" Id="rId437" /><Relationship Type="http://schemas.openxmlformats.org/officeDocument/2006/relationships/hyperlink" Target="https://pmt.physicsandmathstutor.com/download/Maths/A-level/Pure/Sequences-and-Series-2/OCR-MEI-Set-A/Arithmetic%20Series.pdf#page=2" TargetMode="External" Id="rId438" /><Relationship Type="http://schemas.openxmlformats.org/officeDocument/2006/relationships/hyperlink" Target="https://pmt.physicsandmathstutor.com/download/Maths/A-level/Pure/Sequences-and-Series-2/OCR-MEI-Set-A/Arithmetic%20Series.pdf#page=3" TargetMode="External" Id="rId439" /><Relationship Type="http://schemas.openxmlformats.org/officeDocument/2006/relationships/hyperlink" Target="https://mathsgenie.co.uk/a-level/maths/ocr/mei/definitions-of-sin-cos-and-tan-for-any-angle" TargetMode="External" Id="rId440" /><Relationship Type="http://schemas.openxmlformats.org/officeDocument/2006/relationships/hyperlink" Target="https://assets.mathsgenie.co.uk/content/worksheets/as_level_maths/trigonometric-identities-and-equations-ffd64a6d.pdf#page=18" TargetMode="External" Id="rId441" /><Relationship Type="http://schemas.openxmlformats.org/officeDocument/2006/relationships/hyperlink" Target="https://assets.mathsgenie.co.uk/content/worksheets/as_level_maths/trigonometric-identities-and-equations-ans-1ae76cee.pdf" TargetMode="External" Id="rId442" /><Relationship Type="http://schemas.openxmlformats.org/officeDocument/2006/relationships/hyperlink" Target="https://pmt.physicsandmathstutor.com/download/Maths/A-level/Pure/Trigonometry-1/Solomon/2a.%20Trigonometric%20ratios%20and%20graphs.pdf#page=1" TargetMode="External" Id="rId443" /><Relationship Type="http://schemas.openxmlformats.org/officeDocument/2006/relationships/hyperlink" Target="https://pmt.physicsandmathstutor.com/download/Maths/A-level/Pure/Trigonometry-1/Solomon/2b.%20Trigonometric%20ratios%20and%20graphs%20-%20Answers.pdf" TargetMode="External" Id="rId444" /><Relationship Type="http://schemas.openxmlformats.org/officeDocument/2006/relationships/hyperlink" Target="https://mathsgenie.co.uk/a-level/maths/ocr/mei/graphs-of-sin-cos-and-tan" TargetMode="External" Id="rId445" /><Relationship Type="http://schemas.openxmlformats.org/officeDocument/2006/relationships/hyperlink" Target="https://assets.mathsgenie.co.uk/content/worksheets/as_level_maths/trigonometric-identities-and-equations-ffd64a6d.pdf#page=7" TargetMode="External" Id="rId446" /><Relationship Type="http://schemas.openxmlformats.org/officeDocument/2006/relationships/hyperlink" Target="https://assets.mathsgenie.co.uk/content/worksheets/as_level_maths/trigonometric-identities-and-equations-ans-1ae76cee.pdf" TargetMode="External" Id="rId447" /><Relationship Type="http://schemas.openxmlformats.org/officeDocument/2006/relationships/hyperlink" Target="https://pmt.physicsandmathstutor.com/download/Maths/A-level/Pure/Trigonometry-1/Solomon/2a.%20Trigonometric%20ratios%20and%20graphs.pdf#page=1" TargetMode="External" Id="rId448" /><Relationship Type="http://schemas.openxmlformats.org/officeDocument/2006/relationships/hyperlink" Target="https://pmt.physicsandmathstutor.com/download/Maths/A-level/Pure/Trigonometry-1/Solomon/2b.%20Trigonometric%20ratios%20and%20graphs%20-%20Answers.pdf" TargetMode="External" Id="rId449" /><Relationship Type="http://schemas.openxmlformats.org/officeDocument/2006/relationships/hyperlink" Target="https://pmt.physicsandmathstutor.com/download/Maths/A-level/Pure/Trigonometry-2/OCR-MEI-Set-A/Proofs%20and%20Problems.pdf#page=2" TargetMode="External" Id="rId450" /><Relationship Type="http://schemas.openxmlformats.org/officeDocument/2006/relationships/hyperlink" Target="https://pmt.physicsandmathstutor.com/download/Maths/A-level/Pure/Trigonometry-2/OCR-MEI-Set-A/Proofs%20and%20Problems.pdf#page=3" TargetMode="External" Id="rId451" /><Relationship Type="http://schemas.openxmlformats.org/officeDocument/2006/relationships/hyperlink" Target="https://mathsgenie.co.uk/a-level/maths/ocr/mei/area-of-a-triangle" TargetMode="External" Id="rId452" /><Relationship Type="http://schemas.openxmlformats.org/officeDocument/2006/relationships/hyperlink" Target="https://assets.mathsgenie.co.uk/content/worksheets/a_level_maths/trigonometric-ratios-eaa8fc86.pdf#page=1" TargetMode="External" Id="rId453" /><Relationship Type="http://schemas.openxmlformats.org/officeDocument/2006/relationships/hyperlink" Target="https://assets.mathsgenie.co.uk/content/worksheets/a_level_maths/trigonometric-ratios-ans-8276d4dd.pdf" TargetMode="External" Id="rId454" /><Relationship Type="http://schemas.openxmlformats.org/officeDocument/2006/relationships/hyperlink" Target="https://pmt.physicsandmathstutor.com/download/Maths/A-level/Pure/Trigonometry-1/Solomon/1a.%20The%20sine%20rule%20and%20the%20cosine%20rule.pdf#page=2" TargetMode="External" Id="rId455" /><Relationship Type="http://schemas.openxmlformats.org/officeDocument/2006/relationships/hyperlink" Target="https://pmt.physicsandmathstutor.com/download/Maths/A-level/Pure/Trigonometry-1/Solomon/1b.%20The%20sine%20rule%20and%20the%20cosine%20rule%20-%20Answers.pdf" TargetMode="External" Id="rId456" /><Relationship Type="http://schemas.openxmlformats.org/officeDocument/2006/relationships/hyperlink" Target="https://pmt.physicsandmathstutor.com/download/Maths/A-level/Pure/Trigonometry-1/OCR-MEI-Set-A/Area%20of%20Triangles%20-%20Sine%20and%20Cosine%20Rules.pdf#page=1" TargetMode="External" Id="rId457" /><Relationship Type="http://schemas.openxmlformats.org/officeDocument/2006/relationships/hyperlink" Target="https://pmt.physicsandmathstutor.com/download/Maths/A-level/Pure/Trigonometry-1/OCR-MEI-Set-A/Area%20of%20Triangles%20-%20Sine%20and%20Cosine%20Rules.pdf#page=4" TargetMode="External" Id="rId458" /><Relationship Type="http://schemas.openxmlformats.org/officeDocument/2006/relationships/hyperlink" Target="https://mathsgenie.co.uk/a-level/maths/ocr/mei/sine-and-cosine-rules" TargetMode="External" Id="rId459" /><Relationship Type="http://schemas.openxmlformats.org/officeDocument/2006/relationships/hyperlink" Target="https://assets.mathsgenie.co.uk/content/worksheets/a_level_maths/trigonometric-ratios-eaa8fc86.pdf#page=1" TargetMode="External" Id="rId460" /><Relationship Type="http://schemas.openxmlformats.org/officeDocument/2006/relationships/hyperlink" Target="https://assets.mathsgenie.co.uk/content/worksheets/a_level_maths/trigonometric-ratios-ans-8276d4dd.pdf" TargetMode="External" Id="rId461" /><Relationship Type="http://schemas.openxmlformats.org/officeDocument/2006/relationships/hyperlink" Target="https://pmt.physicsandmathstutor.com/download/Maths/A-level/Pure/Trigonometry-1/Solomon/1a.%20The%20sine%20rule%20and%20the%20cosine%20rule.pdf#page=1" TargetMode="External" Id="rId462" /><Relationship Type="http://schemas.openxmlformats.org/officeDocument/2006/relationships/hyperlink" Target="https://pmt.physicsandmathstutor.com/download/Maths/A-level/Pure/Trigonometry-1/Solomon/1b.%20The%20sine%20rule%20and%20the%20cosine%20rule%20-%20Answers.pdf" TargetMode="External" Id="rId463" /><Relationship Type="http://schemas.openxmlformats.org/officeDocument/2006/relationships/hyperlink" Target="https://pmt.physicsandmathstutor.com/download/Maths/A-level/Pure/Trigonometry-1/OCR-MEI-Set-A/Area%20of%20Triangles%20-%20Sine%20and%20Cosine%20Rules.pdf#page=1" TargetMode="External" Id="rId464" /><Relationship Type="http://schemas.openxmlformats.org/officeDocument/2006/relationships/hyperlink" Target="https://pmt.physicsandmathstutor.com/download/Maths/A-level/Pure/Trigonometry-1/OCR-MEI-Set-A/Area%20of%20Triangles%20-%20Sine%20and%20Cosine%20Rules.pdf#page=4" TargetMode="External" Id="rId465" /><Relationship Type="http://schemas.openxmlformats.org/officeDocument/2006/relationships/hyperlink" Target="https://mathsgenie.co.uk/a-level/maths/ocr/mei/identity-tan-sin-cos" TargetMode="External" Id="rId466" /><Relationship Type="http://schemas.openxmlformats.org/officeDocument/2006/relationships/hyperlink" Target="https://assets.mathsgenie.co.uk/content/worksheets/as_level_maths/trigonometric-identities-and-equations-ffd64a6d.pdf#page=8" TargetMode="External" Id="rId467" /><Relationship Type="http://schemas.openxmlformats.org/officeDocument/2006/relationships/hyperlink" Target="https://assets.mathsgenie.co.uk/content/worksheets/as_level_maths/trigonometric-identities-and-equations-ans-1ae76cee.pdf" TargetMode="External" Id="rId468" /><Relationship Type="http://schemas.openxmlformats.org/officeDocument/2006/relationships/hyperlink" Target="https://pmt.physicsandmathstutor.com/download/Maths/A-level/Pure/Trigonometry-1/Solomon/3a.%20Using%20trigonometric%20identities.pdf#page=1" TargetMode="External" Id="rId469" /><Relationship Type="http://schemas.openxmlformats.org/officeDocument/2006/relationships/hyperlink" Target="https://pmt.physicsandmathstutor.com/download/Maths/A-level/Pure/Trigonometry-1/Solomon/3b.%20Using%20trigonometric%20identities%20-%20Answers.pdf" TargetMode="External" Id="rId470" /><Relationship Type="http://schemas.openxmlformats.org/officeDocument/2006/relationships/hyperlink" Target="https://pmt.physicsandmathstutor.com/download/Maths/A-level/Pure/Trigonometry-1/OCR-MEI-Set-A/Identities.pdf#page=1" TargetMode="External" Id="rId471" /><Relationship Type="http://schemas.openxmlformats.org/officeDocument/2006/relationships/hyperlink" Target="https://pmt.physicsandmathstutor.com/download/Maths/A-level/Pure/Trigonometry-1/OCR-MEI-Set-A/Identities.pdf#page=2" TargetMode="External" Id="rId472" /><Relationship Type="http://schemas.openxmlformats.org/officeDocument/2006/relationships/hyperlink" Target="https://mathsgenie.co.uk/a-level/maths/ocr/mei/identity-sin-2-cos-2-1" TargetMode="External" Id="rId473" /><Relationship Type="http://schemas.openxmlformats.org/officeDocument/2006/relationships/hyperlink" Target="https://assets.mathsgenie.co.uk/content/worksheets/as_level_maths/trigonometric-identities-and-equations-ffd64a6d.pdf#page=4" TargetMode="External" Id="rId474" /><Relationship Type="http://schemas.openxmlformats.org/officeDocument/2006/relationships/hyperlink" Target="https://assets.mathsgenie.co.uk/content/worksheets/as_level_maths/trigonometric-identities-and-equations-ans-1ae76cee.pdf" TargetMode="External" Id="rId475" /><Relationship Type="http://schemas.openxmlformats.org/officeDocument/2006/relationships/hyperlink" Target="https://pmt.physicsandmathstutor.com/download/Maths/A-level/Pure/Trigonometry-1/Solomon/3a.%20Using%20trigonometric%20identities.pdf#page=1" TargetMode="External" Id="rId476" /><Relationship Type="http://schemas.openxmlformats.org/officeDocument/2006/relationships/hyperlink" Target="https://pmt.physicsandmathstutor.com/download/Maths/A-level/Pure/Trigonometry-1/Solomon/3b.%20Using%20trigonometric%20identities%20-%20Answers.pdf" TargetMode="External" Id="rId477" /><Relationship Type="http://schemas.openxmlformats.org/officeDocument/2006/relationships/hyperlink" Target="https://pmt.physicsandmathstutor.com/download/Maths/A-level/Pure/Trigonometry-1/OCR-MEI-Set-A/Identities.pdf#page=1" TargetMode="External" Id="rId478" /><Relationship Type="http://schemas.openxmlformats.org/officeDocument/2006/relationships/hyperlink" Target="https://pmt.physicsandmathstutor.com/download/Maths/A-level/Pure/Trigonometry-1/OCR-MEI-Set-A/Identities.pdf#page=2" TargetMode="External" Id="rId479" /><Relationship Type="http://schemas.openxmlformats.org/officeDocument/2006/relationships/hyperlink" Target="https://mathsgenie.co.uk/a-level/maths/ocr/mei/solve-simple-trigonometric-equations" TargetMode="External" Id="rId480" /><Relationship Type="http://schemas.openxmlformats.org/officeDocument/2006/relationships/hyperlink" Target="https://assets.mathsgenie.co.uk/content/worksheets/as_level_maths/trigonometric-identities-and-equations-ffd64a6d.pdf#page=1" TargetMode="External" Id="rId481" /><Relationship Type="http://schemas.openxmlformats.org/officeDocument/2006/relationships/hyperlink" Target="https://assets.mathsgenie.co.uk/content/worksheets/as_level_maths/trigonometric-identities-and-equations-ans-1ae76cee.pdf" TargetMode="External" Id="rId482" /><Relationship Type="http://schemas.openxmlformats.org/officeDocument/2006/relationships/hyperlink" Target="https://pmt.physicsandmathstutor.com/download/Maths/A-level/Pure/Trigonometry-1/Solomon/4a.%20Trigonometric%20Equations.pdf#page=1" TargetMode="External" Id="rId483" /><Relationship Type="http://schemas.openxmlformats.org/officeDocument/2006/relationships/hyperlink" Target="https://pmt.physicsandmathstutor.com/download/Maths/A-level/Pure/Trigonometry-1/Solomon/4b.%20Trigonometric%20Equations%20-%20Answers.pdf" TargetMode="External" Id="rId484" /><Relationship Type="http://schemas.openxmlformats.org/officeDocument/2006/relationships/hyperlink" Target="https://pmt.physicsandmathstutor.com/download/Maths/A-level/Pure/Trigonometry-1/OCR-MEI-Set-A/Equations.pdf#page=1" TargetMode="External" Id="rId485" /><Relationship Type="http://schemas.openxmlformats.org/officeDocument/2006/relationships/hyperlink" Target="https://pmt.physicsandmathstutor.com/download/Maths/A-level/Pure/Trigonometry-1/OCR-MEI-Set-A/Equations.pdf#page=2" TargetMode="External" Id="rId486" /><Relationship Type="http://schemas.openxmlformats.org/officeDocument/2006/relationships/hyperlink" Target="https://mathsgenie.co.uk/a-level/maths/ocr/mei/exact-values-of-trig-functions-radians" TargetMode="External" Id="rId487" /><Relationship Type="http://schemas.openxmlformats.org/officeDocument/2006/relationships/hyperlink" Target="https://pmt.physicsandmathstutor.com/download/Maths/A-level/Pure/Trigonometry-1/Solomon/2a.%20Trigonometric%20ratios%20and%20graphs.pdf#page=1" TargetMode="External" Id="rId488" /><Relationship Type="http://schemas.openxmlformats.org/officeDocument/2006/relationships/hyperlink" Target="https://pmt.physicsandmathstutor.com/download/Maths/A-level/Pure/Trigonometry-1/Solomon/2b.%20Trigonometric%20ratios%20and%20graphs%20-%20Answers.pdf" TargetMode="External" Id="rId489" /><Relationship Type="http://schemas.openxmlformats.org/officeDocument/2006/relationships/hyperlink" Target="https://pmt.physicsandmathstutor.com/download/Maths/A-level/Pure/Trigonometry-2/OCR-MEI-Set-A/Radians.pdf#page=1" TargetMode="External" Id="rId490" /><Relationship Type="http://schemas.openxmlformats.org/officeDocument/2006/relationships/hyperlink" Target="https://pmt.physicsandmathstutor.com/download/Maths/A-level/Pure/Trigonometry-2/OCR-MEI-Set-A/Radians.pdf#page=5" TargetMode="External" Id="rId491" /><Relationship Type="http://schemas.openxmlformats.org/officeDocument/2006/relationships/hyperlink" Target="https://mathsgenie.co.uk/a-level/maths/ocr/mei/inverse-trigonometric-functions" TargetMode="External" Id="rId492" /><Relationship Type="http://schemas.openxmlformats.org/officeDocument/2006/relationships/hyperlink" Target="https://assets.mathsgenie.co.uk/content/worksheets/a_level_maths/functions-and-graphs-e0302bb2.pdf#page=27" TargetMode="External" Id="rId493" /><Relationship Type="http://schemas.openxmlformats.org/officeDocument/2006/relationships/hyperlink" Target="https://assets.mathsgenie.co.uk/content/worksheets/a_level_maths/functions-and-graphs-ans-f4112813.pdf" TargetMode="External" Id="rId494" /><Relationship Type="http://schemas.openxmlformats.org/officeDocument/2006/relationships/hyperlink" Target="https://pmt.physicsandmathstutor.com/download/Maths/A-level/Pure/Trigonometry-2/Solomon/03a.%20Inverse%20trigonometric%20functions.pdf#page=1" TargetMode="External" Id="rId495" /><Relationship Type="http://schemas.openxmlformats.org/officeDocument/2006/relationships/hyperlink" Target="https://pmt.physicsandmathstutor.com/download/Maths/A-level/Pure/Trigonometry-2/Solomon/03b.%20Inverse%20trigonometric%20functions%20-%20Answers.pdf" TargetMode="External" Id="rId496" /><Relationship Type="http://schemas.openxmlformats.org/officeDocument/2006/relationships/hyperlink" Target="https://pmt.physicsandmathstutor.com/download/Maths/A-level/Pure/Trigonometry-1/OCR-MEI-Set-A/Equations.pdf#page=1" TargetMode="External" Id="rId497" /><Relationship Type="http://schemas.openxmlformats.org/officeDocument/2006/relationships/hyperlink" Target="https://pmt.physicsandmathstutor.com/download/Maths/A-level/Pure/Trigonometry-1/OCR-MEI-Set-A/Equations.pdf#page=2" TargetMode="External" Id="rId498" /><Relationship Type="http://schemas.openxmlformats.org/officeDocument/2006/relationships/hyperlink" Target="https://mathsgenie.co.uk/a-level/maths/ocr/mei/radians-and-degree-conversion" TargetMode="External" Id="rId499" /><Relationship Type="http://schemas.openxmlformats.org/officeDocument/2006/relationships/hyperlink" Target="https://assets.mathsgenie.co.uk/content/worksheets/a_level_maths/radians-2a6e7bab.pdf#page=13" TargetMode="External" Id="rId500" /><Relationship Type="http://schemas.openxmlformats.org/officeDocument/2006/relationships/hyperlink" Target="https://assets.mathsgenie.co.uk/content/worksheets/a_level_maths/radians-ans-c0f95f99.pdf" TargetMode="External" Id="rId501" /><Relationship Type="http://schemas.openxmlformats.org/officeDocument/2006/relationships/hyperlink" Target="https://pmt.physicsandmathstutor.com/download/Maths/A-level/Pure/Trigonometry-2/Solomon/01a.%20Radians%2C%20arcs%20and%20sectors.pdf#page=1" TargetMode="External" Id="rId502" /><Relationship Type="http://schemas.openxmlformats.org/officeDocument/2006/relationships/hyperlink" Target="https://pmt.physicsandmathstutor.com/download/Maths/A-level/Pure/Trigonometry-2/Solomon/01b.%20Radians%2C%20arcs%20and%20sectors%20-%20Answers.pdf" TargetMode="External" Id="rId503" /><Relationship Type="http://schemas.openxmlformats.org/officeDocument/2006/relationships/hyperlink" Target="https://mathsgenie.co.uk/a-level/maths/ocr/mei/arc-length-and-area-of-a-sector" TargetMode="External" Id="rId504" /><Relationship Type="http://schemas.openxmlformats.org/officeDocument/2006/relationships/hyperlink" Target="https://assets.mathsgenie.co.uk/content/worksheets/a_level_maths/radians-2a6e7bab.pdf#page=5" TargetMode="External" Id="rId505" /><Relationship Type="http://schemas.openxmlformats.org/officeDocument/2006/relationships/hyperlink" Target="https://assets.mathsgenie.co.uk/content/worksheets/a_level_maths/radians-ans-c0f95f99.pdf" TargetMode="External" Id="rId506" /><Relationship Type="http://schemas.openxmlformats.org/officeDocument/2006/relationships/hyperlink" Target="https://pmt.physicsandmathstutor.com/download/Maths/A-level/Pure/Trigonometry-2/Solomon/01a.%20Radians%2C%20arcs%20and%20sectors.pdf#page=1" TargetMode="External" Id="rId507" /><Relationship Type="http://schemas.openxmlformats.org/officeDocument/2006/relationships/hyperlink" Target="https://pmt.physicsandmathstutor.com/download/Maths/A-level/Pure/Trigonometry-2/Solomon/01b.%20Radians%2C%20arcs%20and%20sectors%20-%20Answers.pdf" TargetMode="External" Id="rId508" /><Relationship Type="http://schemas.openxmlformats.org/officeDocument/2006/relationships/hyperlink" Target="https://pmt.physicsandmathstutor.com/download/Maths/A-level/Pure/Trigonometry-2/OCR-MEI-Set-A/Radians.pdf#page=1" TargetMode="External" Id="rId509" /><Relationship Type="http://schemas.openxmlformats.org/officeDocument/2006/relationships/hyperlink" Target="https://pmt.physicsandmathstutor.com/download/Maths/A-level/Pure/Trigonometry-2/OCR-MEI-Set-A/Radians.pdf#page=5" TargetMode="External" Id="rId510" /><Relationship Type="http://schemas.openxmlformats.org/officeDocument/2006/relationships/hyperlink" Target="https://mathsgenie.co.uk/a-level/maths/ocr/mei/small-angle-approximations" TargetMode="External" Id="rId511" /><Relationship Type="http://schemas.openxmlformats.org/officeDocument/2006/relationships/hyperlink" Target="https://assets.mathsgenie.co.uk/content/worksheets/a_level_maths/radians-2a6e7bab.pdf#page=1" TargetMode="External" Id="rId512" /><Relationship Type="http://schemas.openxmlformats.org/officeDocument/2006/relationships/hyperlink" Target="https://assets.mathsgenie.co.uk/content/worksheets/a_level_maths/radians-ans-c0f95f99.pdf" TargetMode="External" Id="rId513" /><Relationship Type="http://schemas.openxmlformats.org/officeDocument/2006/relationships/hyperlink" Target="https://pmt.physicsandmathstutor.com/download/Maths/A-level/Pure/Trigonometry-2/Edexcel-Set-C/QP/Small%20Angle%20Approximation%20QP.pdf#page=1" TargetMode="External" Id="rId514" /><Relationship Type="http://schemas.openxmlformats.org/officeDocument/2006/relationships/hyperlink" Target="https://pmt.physicsandmathstutor.com/download/Maths/A-level/Pure/Trigonometry-2/Edexcel-Set-C/MS/Small%20Angle%20Approximation%20MS.pdf" TargetMode="External" Id="rId515" /><Relationship Type="http://schemas.openxmlformats.org/officeDocument/2006/relationships/hyperlink" Target="https://pmt.physicsandmathstutor.com/download/Maths/A-level/Pure/Trigonometry-2/Edexcel-Set-C/MA/Small%20Angle%20Approximation%20MA.pdf" TargetMode="External" Id="rId516" /><Relationship Type="http://schemas.openxmlformats.org/officeDocument/2006/relationships/hyperlink" Target="https://pmt.physicsandmathstutor.com/download/Maths/A-level/Pure/Trigonometry-2/OCR-MEI-Set-A/Radians.pdf#page=4" TargetMode="External" Id="rId517" /><Relationship Type="http://schemas.openxmlformats.org/officeDocument/2006/relationships/hyperlink" Target="https://pmt.physicsandmathstutor.com/download/Maths/A-level/Pure/Trigonometry-2/OCR-MEI-Set-A/Radians.pdf#page=5" TargetMode="External" Id="rId518" /><Relationship Type="http://schemas.openxmlformats.org/officeDocument/2006/relationships/hyperlink" Target="https://mathsgenie.co.uk/a-level/maths/ocr/mei/sec-cosec-and-cot-functions" TargetMode="External" Id="rId519" /><Relationship Type="http://schemas.openxmlformats.org/officeDocument/2006/relationships/hyperlink" Target="https://assets.mathsgenie.co.uk/content/worksheets/a_level_maths/trigonometric-functions-8d9efec9.pdf#page=3" TargetMode="External" Id="rId520" /><Relationship Type="http://schemas.openxmlformats.org/officeDocument/2006/relationships/hyperlink" Target="https://assets.mathsgenie.co.uk/content/worksheets/a_level_maths/trigonometric-functions-ans-36daa596.pdf" TargetMode="External" Id="rId521" /><Relationship Type="http://schemas.openxmlformats.org/officeDocument/2006/relationships/hyperlink" Target="https://pmt.physicsandmathstutor.com/download/Maths/A-level/Pure/Trigonometry-2/Solomon/04a.%20Secant%2C%20cosecant%20and%20cotangent.pdf#page=1" TargetMode="External" Id="rId522" /><Relationship Type="http://schemas.openxmlformats.org/officeDocument/2006/relationships/hyperlink" Target="https://pmt.physicsandmathstutor.com/download/Maths/A-level/Pure/Trigonometry-2/Solomon/04b.%20Secant%2C%20cosecant%20and%20cotangent%20-%20Answers.pdf" TargetMode="External" Id="rId523" /><Relationship Type="http://schemas.openxmlformats.org/officeDocument/2006/relationships/hyperlink" Target="https://pmt.physicsandmathstutor.com/download/Maths/A-level/Pure/Trigonometry-2/OCR-MEI-Set-A/Secant%2C%20Cosecant%2C%20Cotangenet.pdf#page=1" TargetMode="External" Id="rId524" /><Relationship Type="http://schemas.openxmlformats.org/officeDocument/2006/relationships/hyperlink" Target="https://pmt.physicsandmathstutor.com/download/Maths/A-level/Pure/Trigonometry-2/OCR-MEI-Set-A/Secant%2C%20Cosecant%2C%20Cotangenet.pdf#page=2" TargetMode="External" Id="rId525" /><Relationship Type="http://schemas.openxmlformats.org/officeDocument/2006/relationships/hyperlink" Target="https://mathsgenie.co.uk/a-level/maths/ocr/mei/graphs-of-reciprocal-trig-functions" TargetMode="External" Id="rId526" /><Relationship Type="http://schemas.openxmlformats.org/officeDocument/2006/relationships/hyperlink" Target="https://assets.mathsgenie.co.uk/content/worksheets/a_level_maths/trigonometric-functions-8d9efec9.pdf#page=2" TargetMode="External" Id="rId527" /><Relationship Type="http://schemas.openxmlformats.org/officeDocument/2006/relationships/hyperlink" Target="https://assets.mathsgenie.co.uk/content/worksheets/a_level_maths/trigonometric-functions-ans-36daa596.pdf" TargetMode="External" Id="rId528" /><Relationship Type="http://schemas.openxmlformats.org/officeDocument/2006/relationships/hyperlink" Target="https://pmt.physicsandmathstutor.com/download/Maths/A-level/Pure/Trigonometry-2/Solomon/04a.%20Secant%2C%20cosecant%20and%20cotangent.pdf#page=1" TargetMode="External" Id="rId529" /><Relationship Type="http://schemas.openxmlformats.org/officeDocument/2006/relationships/hyperlink" Target="https://pmt.physicsandmathstutor.com/download/Maths/A-level/Pure/Trigonometry-2/Solomon/04b.%20Secant%2C%20cosecant%20and%20cotangent%20-%20Answers.pdf" TargetMode="External" Id="rId530" /><Relationship Type="http://schemas.openxmlformats.org/officeDocument/2006/relationships/hyperlink" Target="https://mathsgenie.co.uk/a-level/maths/ocr/mei/pythagorean-identities-for-sec-and-cosec" TargetMode="External" Id="rId531" /><Relationship Type="http://schemas.openxmlformats.org/officeDocument/2006/relationships/hyperlink" Target="https://assets.mathsgenie.co.uk/content/worksheets/a_level_maths/trigonometric-functions-8d9efec9.pdf#page=8" TargetMode="External" Id="rId532" /><Relationship Type="http://schemas.openxmlformats.org/officeDocument/2006/relationships/hyperlink" Target="https://assets.mathsgenie.co.uk/content/worksheets/a_level_maths/trigonometric-functions-ans-36daa596.pdf" TargetMode="External" Id="rId533" /><Relationship Type="http://schemas.openxmlformats.org/officeDocument/2006/relationships/hyperlink" Target="https://pmt.physicsandmathstutor.com/download/Maths/A-level/Pure/Trigonometry-2/Solomon/05a.%20Pythagorean%20identities.pdf#page=1" TargetMode="External" Id="rId534" /><Relationship Type="http://schemas.openxmlformats.org/officeDocument/2006/relationships/hyperlink" Target="https://pmt.physicsandmathstutor.com/download/Maths/A-level/Pure/Trigonometry-2/Solomon/05b.%20Pythagorean%20identities%20-%20Answers.pdf" TargetMode="External" Id="rId535" /><Relationship Type="http://schemas.openxmlformats.org/officeDocument/2006/relationships/hyperlink" Target="https://pmt.physicsandmathstutor.com/download/Maths/A-level/Pure/Trigonometry-2/OCR-MEI-Set-A/Secant%2C%20Cosecant%2C%20Cotangenet.pdf#page=1" TargetMode="External" Id="rId536" /><Relationship Type="http://schemas.openxmlformats.org/officeDocument/2006/relationships/hyperlink" Target="https://pmt.physicsandmathstutor.com/download/Maths/A-level/Pure/Trigonometry-2/OCR-MEI-Set-A/Secant%2C%20Cosecant%2C%20Cotangenet.pdf#page=2" TargetMode="External" Id="rId537" /><Relationship Type="http://schemas.openxmlformats.org/officeDocument/2006/relationships/hyperlink" Target="https://mathsgenie.co.uk/a-level/maths/ocr/mei/compound-angle-formulae" TargetMode="External" Id="rId538" /><Relationship Type="http://schemas.openxmlformats.org/officeDocument/2006/relationships/hyperlink" Target="https://assets.mathsgenie.co.uk/content/worksheets/a_level_maths/trigonometry-and-modelling-b99133d9.pdf#page=4" TargetMode="External" Id="rId539" /><Relationship Type="http://schemas.openxmlformats.org/officeDocument/2006/relationships/hyperlink" Target="https://assets.mathsgenie.co.uk/content/worksheets/a_level_maths/trigonometry-and-modelling-ans-69c51c88.pdf" TargetMode="External" Id="rId540" /><Relationship Type="http://schemas.openxmlformats.org/officeDocument/2006/relationships/hyperlink" Target="https://pmt.physicsandmathstutor.com/download/Maths/A-level/Pure/Trigonometry-2/Solomon/06a.%20Addition%20and%20double%20angle%20formulae.pdf#page=1" TargetMode="External" Id="rId541" /><Relationship Type="http://schemas.openxmlformats.org/officeDocument/2006/relationships/hyperlink" Target="https://pmt.physicsandmathstutor.com/download/Maths/A-level/Pure/Trigonometry-2/Solomon/06b.%20Addition%20and%20double%20angle%20formulae%20-%20Answers.pdf" TargetMode="External" Id="rId542" /><Relationship Type="http://schemas.openxmlformats.org/officeDocument/2006/relationships/hyperlink" Target="https://pmt.physicsandmathstutor.com/download/Maths/A-level/Pure/Trigonometry-2/OCR-MEI-Set-A/Compound%20Angle%20Formulae.pdf#page=1" TargetMode="External" Id="rId543" /><Relationship Type="http://schemas.openxmlformats.org/officeDocument/2006/relationships/hyperlink" Target="https://pmt.physicsandmathstutor.com/download/Maths/A-level/Pure/Trigonometry-2/OCR-MEI-Set-A/Compound%20Angle%20Formulae.pdf#page=5" TargetMode="External" Id="rId544" /><Relationship Type="http://schemas.openxmlformats.org/officeDocument/2006/relationships/hyperlink" Target="https://mathsgenie.co.uk/a-level/maths/ocr/mei/double-angle-identities" TargetMode="External" Id="rId545" /><Relationship Type="http://schemas.openxmlformats.org/officeDocument/2006/relationships/hyperlink" Target="https://assets.mathsgenie.co.uk/content/worksheets/a_level_maths/trigonometry-and-modelling-b99133d9.pdf#page=2" TargetMode="External" Id="rId546" /><Relationship Type="http://schemas.openxmlformats.org/officeDocument/2006/relationships/hyperlink" Target="https://assets.mathsgenie.co.uk/content/worksheets/a_level_maths/trigonometry-and-modelling-ans-69c51c88.pdf" TargetMode="External" Id="rId547" /><Relationship Type="http://schemas.openxmlformats.org/officeDocument/2006/relationships/hyperlink" Target="https://pmt.physicsandmathstutor.com/download/Maths/A-level/Pure/Trigonometry-2/Solomon/06a.%20Addition%20and%20double%20angle%20formulae.pdf#page=2" TargetMode="External" Id="rId548" /><Relationship Type="http://schemas.openxmlformats.org/officeDocument/2006/relationships/hyperlink" Target="https://pmt.physicsandmathstutor.com/download/Maths/A-level/Pure/Trigonometry-2/Solomon/06b.%20Addition%20and%20double%20angle%20formulae%20-%20Answers.pdf" TargetMode="External" Id="rId549" /><Relationship Type="http://schemas.openxmlformats.org/officeDocument/2006/relationships/hyperlink" Target="https://pmt.physicsandmathstutor.com/download/Maths/A-level/Pure/Trigonometry-2/OCR-MEI-Set-A/Proofs%20and%20Problems.pdf#page=1" TargetMode="External" Id="rId550" /><Relationship Type="http://schemas.openxmlformats.org/officeDocument/2006/relationships/hyperlink" Target="https://pmt.physicsandmathstutor.com/download/Maths/A-level/Pure/Trigonometry-2/OCR-MEI-Set-A/Proofs%20and%20Problems.pdf#page=3" TargetMode="External" Id="rId551" /><Relationship Type="http://schemas.openxmlformats.org/officeDocument/2006/relationships/hyperlink" Target="https://mathsgenie.co.uk/a-level/maths/ocr/mei/expressions-for-a-cos-b-sin" TargetMode="External" Id="rId552" /><Relationship Type="http://schemas.openxmlformats.org/officeDocument/2006/relationships/hyperlink" Target="https://assets.mathsgenie.co.uk/content/worksheets/a_level_maths/trigonometry-and-modelling-b99133d9.pdf#page=8" TargetMode="External" Id="rId553" /><Relationship Type="http://schemas.openxmlformats.org/officeDocument/2006/relationships/hyperlink" Target="https://assets.mathsgenie.co.uk/content/worksheets/a_level_maths/trigonometry-and-modelling-ans-69c51c88.pdf" TargetMode="External" Id="rId554" /><Relationship Type="http://schemas.openxmlformats.org/officeDocument/2006/relationships/hyperlink" Target="https://pmt.physicsandmathstutor.com/download/Maths/A-level/Pure/Trigonometry-2/Solomon/07a.%20The%20expression%20a%20cos%20x%20%2B%20b%20sin%20x.pdf#page=1" TargetMode="External" Id="rId555" /><Relationship Type="http://schemas.openxmlformats.org/officeDocument/2006/relationships/hyperlink" Target="https://pmt.physicsandmathstutor.com/download/Maths/A-level/Pure/Trigonometry-2/Solomon/07b.%20The%20expression%20a%20cos%20x%20%2B%20b%20sin%20x%20-%20Answers.pdf" TargetMode="External" Id="rId556" /><Relationship Type="http://schemas.openxmlformats.org/officeDocument/2006/relationships/hyperlink" Target="https://pmt.physicsandmathstutor.com/download/Maths/A-level/Pure/Trigonometry-2/OCR-MEI-Set-A/Compound%20Angle%20Formulae.pdf#page=1" TargetMode="External" Id="rId557" /><Relationship Type="http://schemas.openxmlformats.org/officeDocument/2006/relationships/hyperlink" Target="https://pmt.physicsandmathstutor.com/download/Maths/A-level/Pure/Trigonometry-2/OCR-MEI-Set-A/Compound%20Angle%20Formulae.pdf#page=5" TargetMode="External" Id="rId558" /><Relationship Type="http://schemas.openxmlformats.org/officeDocument/2006/relationships/hyperlink" Target="https://mathsgenie.co.uk/a-level/maths/ocr/mei/use-identities-to-solve-equations" TargetMode="External" Id="rId559" /><Relationship Type="http://schemas.openxmlformats.org/officeDocument/2006/relationships/hyperlink" Target="https://assets.mathsgenie.co.uk/content/worksheets/a_level_maths/trigonometry-and-modelling-b99133d9.pdf#page=6" TargetMode="External" Id="rId560" /><Relationship Type="http://schemas.openxmlformats.org/officeDocument/2006/relationships/hyperlink" Target="https://assets.mathsgenie.co.uk/content/worksheets/a_level_maths/trigonometry-and-modelling-ans-69c51c88.pdf" TargetMode="External" Id="rId561" /><Relationship Type="http://schemas.openxmlformats.org/officeDocument/2006/relationships/hyperlink" Target="https://pmt.physicsandmathstutor.com/download/Maths/A-level/Pure/Trigonometry-2/Solomon/13a.%20Mixed%20exam-style%20questions%20on%20trigonometry.pdf#page=1" TargetMode="External" Id="rId562" /><Relationship Type="http://schemas.openxmlformats.org/officeDocument/2006/relationships/hyperlink" Target="https://pmt.physicsandmathstutor.com/download/Maths/A-level/Pure/Trigonometry-2/Solomon/13b.%20Mixed%20exam-style%20questions%20on%20trigonometry%20-%20Answers.pdf" TargetMode="External" Id="rId563" /><Relationship Type="http://schemas.openxmlformats.org/officeDocument/2006/relationships/hyperlink" Target="https://pmt.physicsandmathstutor.com/download/Maths/A-level/Pure/Trigonometry-2/OCR-MEI-Set-A/Secant%2C%20Cosecant%2C%20Cotangenet.pdf#page=1" TargetMode="External" Id="rId564" /><Relationship Type="http://schemas.openxmlformats.org/officeDocument/2006/relationships/hyperlink" Target="https://pmt.physicsandmathstutor.com/download/Maths/A-level/Pure/Trigonometry-2/OCR-MEI-Set-A/Secant%2C%20Cosecant%2C%20Cotangenet.pdf#page=2" TargetMode="External" Id="rId565" /><Relationship Type="http://schemas.openxmlformats.org/officeDocument/2006/relationships/hyperlink" Target="https://mathsgenie.co.uk/a-level/maths/ocr/mei/proofs-involving-trigonometric-functions" TargetMode="External" Id="rId566" /><Relationship Type="http://schemas.openxmlformats.org/officeDocument/2006/relationships/hyperlink" Target="https://assets.mathsgenie.co.uk/content/worksheets/a_level_maths/trigonometry-and-modelling-b99133d9.pdf#page=4" TargetMode="External" Id="rId567" /><Relationship Type="http://schemas.openxmlformats.org/officeDocument/2006/relationships/hyperlink" Target="https://assets.mathsgenie.co.uk/content/worksheets/a_level_maths/trigonometry-and-modelling-ans-69c51c88.pdf" TargetMode="External" Id="rId568" /><Relationship Type="http://schemas.openxmlformats.org/officeDocument/2006/relationships/hyperlink" Target="https://pmt.physicsandmathstutor.com/download/Maths/A-level/Pure/Trigonometry-2/Solomon/12a.%20Mixed%20exam-style%20questions%20on%20trigonometry.pdf#page=1" TargetMode="External" Id="rId569" /><Relationship Type="http://schemas.openxmlformats.org/officeDocument/2006/relationships/hyperlink" Target="https://pmt.physicsandmathstutor.com/download/Maths/A-level/Pure/Trigonometry-2/Solomon/12b.%20Mixed%20exam-style%20questions%20on%20trigonometry%20-%20Answers.pdf" TargetMode="External" Id="rId570" /><Relationship Type="http://schemas.openxmlformats.org/officeDocument/2006/relationships/hyperlink" Target="https://pmt.physicsandmathstutor.com/download/Maths/A-level/Pure/Trigonometry-2/OCR-MEI-Set-A/Proofs%20and%20Problems.pdf#page=1" TargetMode="External" Id="rId571" /><Relationship Type="http://schemas.openxmlformats.org/officeDocument/2006/relationships/hyperlink" Target="https://pmt.physicsandmathstutor.com/download/Maths/A-level/Pure/Trigonometry-2/OCR-MEI-Set-A/Proofs%20and%20Problems.pdf#page=3" TargetMode="External" Id="rId572" /><Relationship Type="http://schemas.openxmlformats.org/officeDocument/2006/relationships/hyperlink" Target="https://mathsgenie.co.uk/a-level/maths/ocr/mei/trig-to-solve-problems-in-context" TargetMode="External" Id="rId573" /><Relationship Type="http://schemas.openxmlformats.org/officeDocument/2006/relationships/hyperlink" Target="https://assets.mathsgenie.co.uk/content/worksheets/a_level_maths/trigonometry-and-modelling-b99133d9.pdf#page=15" TargetMode="External" Id="rId574" /><Relationship Type="http://schemas.openxmlformats.org/officeDocument/2006/relationships/hyperlink" Target="https://assets.mathsgenie.co.uk/content/worksheets/a_level_maths/trigonometry-and-modelling-ans-69c51c88.pdf" TargetMode="External" Id="rId575" /><Relationship Type="http://schemas.openxmlformats.org/officeDocument/2006/relationships/hyperlink" Target="https://pmt.physicsandmathstutor.com/download/Maths/A-level/Pure/Trigonometry-2/Edexcel-Set-B/Modelling%20with%20Trigonometric%20Functions.pdf#page=1" TargetMode="External" Id="rId576" /><Relationship Type="http://schemas.openxmlformats.org/officeDocument/2006/relationships/hyperlink" Target="https://pmt.physicsandmathstutor.com/download/Maths/A-level/Pure/Trigonometry-2/Edexcel-Set-B/MA/Modelling%20with%20Trigonometric%20Functions%20MA.pdf" TargetMode="External" Id="rId577" /><Relationship Type="http://schemas.openxmlformats.org/officeDocument/2006/relationships/hyperlink" Target="https://pmt.physicsandmathstutor.com/download/Maths/A-level/Pure/Trigonometry-2/OCR-MEI-Set-A/Proofs%20and%20Problems.pdf#page=2" TargetMode="External" Id="rId578" /><Relationship Type="http://schemas.openxmlformats.org/officeDocument/2006/relationships/hyperlink" Target="https://pmt.physicsandmathstutor.com/download/Maths/A-level/Pure/Trigonometry-2/OCR-MEI-Set-A/Proofs%20and%20Problems.pdf#page=3" TargetMode="External" Id="rId579" /><Relationship Type="http://schemas.openxmlformats.org/officeDocument/2006/relationships/hyperlink" Target="https://mathsgenie.co.uk/a-level/maths/ocr/mei/the-function-y-a-x" TargetMode="External" Id="rId580" /><Relationship Type="http://schemas.openxmlformats.org/officeDocument/2006/relationships/hyperlink" Target="https://pmt.physicsandmathstutor.com/download/Maths/A-level/Pure/Exponentials-and-Logarithms-1/Solomon/1a.%20Exponential%20graphs%20and%20using%20logarithms%20to%20solve%20equations.pdf#page=1" TargetMode="External" Id="rId581" /><Relationship Type="http://schemas.openxmlformats.org/officeDocument/2006/relationships/hyperlink" Target="https://pmt.physicsandmathstutor.com/download/Maths/A-level/Pure/Exponentials-and-Logarithms-1/Solomon/1b.%20Exponential%20graphs%20and%20using%20logarithms%20to%20solve%20equations%20-%20Answers.pdf" TargetMode="External" Id="rId582" /><Relationship Type="http://schemas.openxmlformats.org/officeDocument/2006/relationships/hyperlink" Target="https://pmt.physicsandmathstutor.com/download/Maths/A-level/Pure/Exponentials-and-Logarithms-1/OCR-MEI-Set-A/Exponentials%20and%20Logarithms%2C%20Exponential%20Growth%20and%20Decay.pdf#page=1" TargetMode="External" Id="rId583"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584" /><Relationship Type="http://schemas.openxmlformats.org/officeDocument/2006/relationships/hyperlink" Target="https://mathsgenie.co.uk/a-level/maths/ocr/mei/convert-between-index-and-logarithmic-form" TargetMode="External" Id="rId585" /><Relationship Type="http://schemas.openxmlformats.org/officeDocument/2006/relationships/hyperlink" Target="https://assets.mathsgenie.co.uk/content/worksheets/a_level_maths/as-pure-mathematics-14-exponentials-and-logarithms-medium-81b51b87.pdf#page=1" TargetMode="External" Id="rId586" /><Relationship Type="http://schemas.openxmlformats.org/officeDocument/2006/relationships/hyperlink" Target="https://assets.mathsgenie.co.uk/content/worksheets/a_level_maths/as-pure-mathematics-14-exponentials-and-logarithms-medium-ans-0498817b.pdf" TargetMode="External" Id="rId587" /><Relationship Type="http://schemas.openxmlformats.org/officeDocument/2006/relationships/hyperlink" Target="https://pmt.physicsandmathstutor.com/download/Maths/A-level/Pure/Exponentials-and-Logarithms-1/Solomon/3a.%20Laws%20of%20logarithms.pdf#page=1" TargetMode="External" Id="rId588" /><Relationship Type="http://schemas.openxmlformats.org/officeDocument/2006/relationships/hyperlink" Target="https://pmt.physicsandmathstutor.com/download/Maths/A-level/Pure/Exponentials-and-Logarithms-1/Solomon/3b.%20Laws%20of%20logarithms%20-%20Answers.pdf" TargetMode="External" Id="rId589" /><Relationship Type="http://schemas.openxmlformats.org/officeDocument/2006/relationships/hyperlink" Target="https://pmt.physicsandmathstutor.com/download/Maths/A-level/Pure/Exponentials-and-Logarithms-1/OCR-MEI-Set-A/Exponentials%20and%20Logarithms%2C%20Exponential%20Growth%20and%20Decay.pdf#page=6" TargetMode="External" Id="rId590"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591" /><Relationship Type="http://schemas.openxmlformats.org/officeDocument/2006/relationships/hyperlink" Target="https://mathsgenie.co.uk/a-level/maths/ocr/mei/logarithm-as-inverse-of-exponential" TargetMode="External" Id="rId592" /><Relationship Type="http://schemas.openxmlformats.org/officeDocument/2006/relationships/hyperlink" Target="https://assets.mathsgenie.co.uk/content/worksheets/a_level_maths/functions-and-graphs-e0302bb2.pdf#page=4" TargetMode="External" Id="rId593" /><Relationship Type="http://schemas.openxmlformats.org/officeDocument/2006/relationships/hyperlink" Target="https://assets.mathsgenie.co.uk/content/worksheets/a_level_maths/functions-and-graphs-ans-f4112813.pdf" TargetMode="External" Id="rId594" /><Relationship Type="http://schemas.openxmlformats.org/officeDocument/2006/relationships/hyperlink" Target="https://pmt.physicsandmathstutor.com/download/Maths/A-level/Pure/Exponentials-and-Logarithms-1/Edexcel-Set-A/Graphs%20of%20Exponentials%20and%20Logs.pdf#page=2" TargetMode="External" Id="rId595" /><Relationship Type="http://schemas.openxmlformats.org/officeDocument/2006/relationships/hyperlink" Target="https://pmt.physicsandmathstutor.com/download/Maths/A-level/Pure/Exponentials-and-Logarithms-1/OCR-MEI-Set-A/Exponentials%20and%20Natural%20Logarithms.pdf#page=2" TargetMode="External" Id="rId596" /><Relationship Type="http://schemas.openxmlformats.org/officeDocument/2006/relationships/hyperlink" Target="https://pmt.physicsandmathstutor.com/download/Maths/A-level/Pure/Exponentials-and-Logarithms-1/OCR-MEI-Set-A/Exponentials%20and%20Natural%20Logarithms.pdf#page=4" TargetMode="External" Id="rId597" /><Relationship Type="http://schemas.openxmlformats.org/officeDocument/2006/relationships/hyperlink" Target="https://mathsgenie.co.uk/a-level/maths/ocr/mei/laws-of-logarithms" TargetMode="External" Id="rId598" /><Relationship Type="http://schemas.openxmlformats.org/officeDocument/2006/relationships/hyperlink" Target="https://assets.mathsgenie.co.uk/content/worksheets/a_level_maths/as-pure-mathematics-14-exponentials-and-logarithms-medium-81b51b87.pdf#page=1" TargetMode="External" Id="rId599" /><Relationship Type="http://schemas.openxmlformats.org/officeDocument/2006/relationships/hyperlink" Target="https://assets.mathsgenie.co.uk/content/worksheets/a_level_maths/as-pure-mathematics-14-exponentials-and-logarithms-medium-ans-0498817b.pdf" TargetMode="External" Id="rId600" /><Relationship Type="http://schemas.openxmlformats.org/officeDocument/2006/relationships/hyperlink" Target="https://pmt.physicsandmathstutor.com/download/Maths/A-level/Pure/Exponentials-and-Logarithms-1/Solomon/4a.%20Laws%20of%20logarithms%20%E2%88%92%20further%20questions.pdf#page=1" TargetMode="External" Id="rId601" /><Relationship Type="http://schemas.openxmlformats.org/officeDocument/2006/relationships/hyperlink" Target="https://pmt.physicsandmathstutor.com/download/Maths/A-level/Pure/Exponentials-and-Logarithms-1/Solomon/4b.%20Laws%20of%20logarithms%20%E2%88%92%20further%20questions%20-%20Answers.pdf" TargetMode="External" Id="rId602" /><Relationship Type="http://schemas.openxmlformats.org/officeDocument/2006/relationships/hyperlink" Target="https://pmt.physicsandmathstutor.com/download/Maths/A-level/Pure/Exponentials-and-Logarithms-1/OCR-MEI-Set-A/Exponentials%20and%20Logarithms%2C%20Exponential%20Growth%20and%20Decay.pdf#page=3" TargetMode="External" Id="rId603"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604" /><Relationship Type="http://schemas.openxmlformats.org/officeDocument/2006/relationships/hyperlink" Target="https://mathsgenie.co.uk/a-level/maths/ocr/mei/values-of-log-a-a-and-log-a-1" TargetMode="External" Id="rId605" /><Relationship Type="http://schemas.openxmlformats.org/officeDocument/2006/relationships/hyperlink" Target="https://assets.mathsgenie.co.uk/content/worksheets/a_level_maths/as-pure-mathematics-14-exponentials-and-logarithms-medium-81b51b87.pdf#page=1" TargetMode="External" Id="rId606" /><Relationship Type="http://schemas.openxmlformats.org/officeDocument/2006/relationships/hyperlink" Target="https://assets.mathsgenie.co.uk/content/worksheets/a_level_maths/as-pure-mathematics-14-exponentials-and-logarithms-medium-ans-0498817b.pdf" TargetMode="External" Id="rId607" /><Relationship Type="http://schemas.openxmlformats.org/officeDocument/2006/relationships/hyperlink" Target="https://pmt.physicsandmathstutor.com/download/Maths/A-level/Pure/Exponentials-and-Logarithms-1/Solomon/3a.%20Laws%20of%20logarithms.pdf#page=1" TargetMode="External" Id="rId608" /><Relationship Type="http://schemas.openxmlformats.org/officeDocument/2006/relationships/hyperlink" Target="https://pmt.physicsandmathstutor.com/download/Maths/A-level/Pure/Exponentials-and-Logarithms-1/Solomon/3b.%20Laws%20of%20logarithms%20-%20Answers.pdf" TargetMode="External" Id="rId609" /><Relationship Type="http://schemas.openxmlformats.org/officeDocument/2006/relationships/hyperlink" Target="https://pmt.physicsandmathstutor.com/download/Maths/A-level/Pure/Exponentials-and-Logarithms-1/OCR-MEI-Set-A/Exponentials%20and%20Logarithms%2C%20Exponential%20Growth%20and%20Decay.pdf#page=5" TargetMode="External" Id="rId610"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611" /><Relationship Type="http://schemas.openxmlformats.org/officeDocument/2006/relationships/hyperlink" Target="https://mathsgenie.co.uk/a-level/maths/ocr/mei/solve-equations-of-the-form-a-x-b" TargetMode="External" Id="rId612" /><Relationship Type="http://schemas.openxmlformats.org/officeDocument/2006/relationships/hyperlink" Target="https://assets.mathsgenie.co.uk/content/worksheets/as_level_maths/as-pure-exponentials-and-logs-16179138.pdf#page=1" TargetMode="External" Id="rId613" /><Relationship Type="http://schemas.openxmlformats.org/officeDocument/2006/relationships/hyperlink" Target="https://assets.mathsgenie.co.uk/content/worksheets/as_level_maths/exponentials-and-logs-ans-d72f1b47.pdf" TargetMode="External" Id="rId614" /><Relationship Type="http://schemas.openxmlformats.org/officeDocument/2006/relationships/hyperlink" Target="https://pmt.physicsandmathstutor.com/download/Maths/A-level/Pure/Exponentials-and-Logarithms-1/Solomon/1a.%20Exponential%20graphs%20and%20using%20logarithms%20to%20solve%20equations.pdf#page=1" TargetMode="External" Id="rId615" /><Relationship Type="http://schemas.openxmlformats.org/officeDocument/2006/relationships/hyperlink" Target="https://pmt.physicsandmathstutor.com/download/Maths/A-level/Pure/Exponentials-and-Logarithms-1/Solomon/1b.%20Exponential%20graphs%20and%20using%20logarithms%20to%20solve%20equations%20-%20Answers.pdf" TargetMode="External" Id="rId616" /><Relationship Type="http://schemas.openxmlformats.org/officeDocument/2006/relationships/hyperlink" Target="https://pmt.physicsandmathstutor.com/download/Maths/A-level/Pure/Exponentials-and-Logarithms-1/OCR-MEI-Set-A/Exponentials%20and%20Logarithms%2C%20Exponential%20Growth%20and%20Decay.pdf#page=1" TargetMode="External" Id="rId617"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618" /><Relationship Type="http://schemas.openxmlformats.org/officeDocument/2006/relationships/hyperlink" Target="https://mathsgenie.co.uk/a-level/maths/ocr/mei/reduce-y-ax-n-and-y-ab-x-to-linear-form" TargetMode="External" Id="rId619" /><Relationship Type="http://schemas.openxmlformats.org/officeDocument/2006/relationships/hyperlink" Target="https://assets.mathsgenie.co.uk/content/worksheets/a_level_maths/regression-correlation-and-hypothesis-testing-955d4f0c.pdf#page=10" TargetMode="External" Id="rId620" /><Relationship Type="http://schemas.openxmlformats.org/officeDocument/2006/relationships/hyperlink" Target="https://assets.mathsgenie.co.uk/content/worksheets/a_level_maths/regression-correlation-and-hypothesis-testing-ans-c55c04e4.pdf" TargetMode="External" Id="rId621" /><Relationship Type="http://schemas.openxmlformats.org/officeDocument/2006/relationships/hyperlink" Target="https://pmt.physicsandmathstutor.com/download/Maths/A-level/Pure/Exponentials-and-Logarithms-1/Edexcel-Set-C/QP/Laws%20of%20Logarithms%20QP.pdf#page=1" TargetMode="External" Id="rId622" /><Relationship Type="http://schemas.openxmlformats.org/officeDocument/2006/relationships/hyperlink" Target="https://pmt.physicsandmathstutor.com/download/Maths/A-level/Pure/Exponentials-and-Logarithms-1/Edexcel-Set-C/MS/Laws%20of%20Logarithms%20MS.pdf" TargetMode="External" Id="rId623" /><Relationship Type="http://schemas.openxmlformats.org/officeDocument/2006/relationships/hyperlink" Target="https://pmt.physicsandmathstutor.com/download/Maths/A-level/Pure/Exponentials-and-Logarithms-1/Edexcel-Set-C/MA/Laws%20of%20Logarithms%20MA.pdf" TargetMode="External" Id="rId624" /><Relationship Type="http://schemas.openxmlformats.org/officeDocument/2006/relationships/hyperlink" Target="https://pmt.physicsandmathstutor.com/download/Maths/A-level/Pure/Exponentials-and-Logarithms-1/OCR-MEI-Set-A/Exponentials%20and%20Logarithms%2C%20Exponential%20Growth%20and%20Decay.pdf#page=1" TargetMode="External" Id="rId625"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626" /><Relationship Type="http://schemas.openxmlformats.org/officeDocument/2006/relationships/hyperlink" Target="https://mathsgenie.co.uk/a-level/maths/ocr/mei/the-function-y-e-x" TargetMode="External" Id="rId627" /><Relationship Type="http://schemas.openxmlformats.org/officeDocument/2006/relationships/hyperlink" Target="https://assets.mathsgenie.co.uk/content/worksheets/as_level_maths/as-pure-exponentials-and-logs-16179138.pdf#page=12" TargetMode="External" Id="rId628" /><Relationship Type="http://schemas.openxmlformats.org/officeDocument/2006/relationships/hyperlink" Target="https://assets.mathsgenie.co.uk/content/worksheets/as_level_maths/exponentials-and-logs-ans-d72f1b47.pdf" TargetMode="External" Id="rId629" /><Relationship Type="http://schemas.openxmlformats.org/officeDocument/2006/relationships/hyperlink" Target="https://pmt.physicsandmathstutor.com/download/Maths/A-level/Pure/Exponentials-and-Logarithms-1/Solomon/2a.%20e%20and%20ln%20x.pdf#page=1" TargetMode="External" Id="rId630" /><Relationship Type="http://schemas.openxmlformats.org/officeDocument/2006/relationships/hyperlink" Target="https://pmt.physicsandmathstutor.com/download/Maths/A-level/Pure/Exponentials-and-Logarithms-1/Solomon/2b.%20e%20and%20ln%20x%20-%20Answers.pdf" TargetMode="External" Id="rId631" /><Relationship Type="http://schemas.openxmlformats.org/officeDocument/2006/relationships/hyperlink" Target="https://pmt.physicsandmathstutor.com/download/Maths/A-level/Pure/Exponentials-and-Logarithms-1/OCR-MEI-Set-A/Exponentials%20and%20Natural%20Logarithms.pdf#page=3" TargetMode="External" Id="rId632" /><Relationship Type="http://schemas.openxmlformats.org/officeDocument/2006/relationships/hyperlink" Target="https://pmt.physicsandmathstutor.com/download/Maths/A-level/Pure/Exponentials-and-Logarithms-1/OCR-MEI-Set-A/Exponentials%20and%20Natural%20Logarithms.pdf#page=4" TargetMode="External" Id="rId633" /><Relationship Type="http://schemas.openxmlformats.org/officeDocument/2006/relationships/hyperlink" Target="https://mathsgenie.co.uk/a-level/maths/ocr/mei/gradient-of-e-kx" TargetMode="External" Id="rId634" /><Relationship Type="http://schemas.openxmlformats.org/officeDocument/2006/relationships/hyperlink" Target="https://assets.mathsgenie.co.uk/content/worksheets/as_level_maths/as-pure-exponentials-and-logs-16179138.pdf#page=8" TargetMode="External" Id="rId635" /><Relationship Type="http://schemas.openxmlformats.org/officeDocument/2006/relationships/hyperlink" Target="https://assets.mathsgenie.co.uk/content/worksheets/as_level_maths/exponentials-and-logs-ans-d72f1b47.pdf" TargetMode="External" Id="rId636" /><Relationship Type="http://schemas.openxmlformats.org/officeDocument/2006/relationships/hyperlink" Target="https://pmt.physicsandmathstutor.com/download/Maths/A-level/Pure/Exponentials-and-Logarithms-1/Edexcel-Set-C/QP/Exponential%20Equations%20QP.pdf#page=3" TargetMode="External" Id="rId637" /><Relationship Type="http://schemas.openxmlformats.org/officeDocument/2006/relationships/hyperlink" Target="https://pmt.physicsandmathstutor.com/download/Maths/A-level/Pure/Exponentials-and-Logarithms-1/Edexcel-Set-C/MS/Exponential%20Equations%20MS.pdf" TargetMode="External" Id="rId638" /><Relationship Type="http://schemas.openxmlformats.org/officeDocument/2006/relationships/hyperlink" Target="https://pmt.physicsandmathstutor.com/download/Maths/A-level/Pure/Exponentials-and-Logarithms-1/Edexcel-Set-C/MA/Exponential%20Equations%20MA.pdf" TargetMode="External" Id="rId639" /><Relationship Type="http://schemas.openxmlformats.org/officeDocument/2006/relationships/hyperlink" Target="https://pmt.physicsandmathstutor.com/download/Maths/A-level/Pure/Exponentials-and-Logarithms-1/OCR-MEI-Set-A/Exponentials%20and%20Natural%20Logarithms.pdf#page=1" TargetMode="External" Id="rId640" /><Relationship Type="http://schemas.openxmlformats.org/officeDocument/2006/relationships/hyperlink" Target="https://pmt.physicsandmathstutor.com/download/Maths/A-level/Pure/Exponentials-and-Logarithms-1/OCR-MEI-Set-A/Exponentials%20and%20Natural%20Logarithms.pdf#page=4" TargetMode="External" Id="rId641" /><Relationship Type="http://schemas.openxmlformats.org/officeDocument/2006/relationships/hyperlink" Target="https://mathsgenie.co.uk/a-level/maths/ocr/mei/the-function-y-ln-x" TargetMode="External" Id="rId642" /><Relationship Type="http://schemas.openxmlformats.org/officeDocument/2006/relationships/hyperlink" Target="https://assets.mathsgenie.co.uk/content/worksheets/as_level_maths/as-pure-exponentials-and-logs-16179138.pdf#page=4" TargetMode="External" Id="rId643" /><Relationship Type="http://schemas.openxmlformats.org/officeDocument/2006/relationships/hyperlink" Target="https://assets.mathsgenie.co.uk/content/worksheets/as_level_maths/exponentials-and-logs-ans-d72f1b47.pdf" TargetMode="External" Id="rId644" /><Relationship Type="http://schemas.openxmlformats.org/officeDocument/2006/relationships/hyperlink" Target="https://pmt.physicsandmathstutor.com/download/Maths/A-level/Pure/Exponentials-and-Logarithms-1/Solomon/2a.%20e%20and%20ln%20x.pdf#page=1" TargetMode="External" Id="rId645" /><Relationship Type="http://schemas.openxmlformats.org/officeDocument/2006/relationships/hyperlink" Target="https://pmt.physicsandmathstutor.com/download/Maths/A-level/Pure/Exponentials-and-Logarithms-1/Solomon/2b.%20e%20and%20ln%20x%20-%20Answers.pdf" TargetMode="External" Id="rId646" /><Relationship Type="http://schemas.openxmlformats.org/officeDocument/2006/relationships/hyperlink" Target="https://pmt.physicsandmathstutor.com/download/Maths/A-level/Pure/Exponentials-and-Logarithms-1/OCR-MEI-Set-A/Exponentials%20and%20Natural%20Logarithms.pdf#page=1" TargetMode="External" Id="rId647" /><Relationship Type="http://schemas.openxmlformats.org/officeDocument/2006/relationships/hyperlink" Target="https://pmt.physicsandmathstutor.com/download/Maths/A-level/Pure/Exponentials-and-Logarithms-1/OCR-MEI-Set-A/Exponentials%20and%20Natural%20Logarithms.pdf#page=4" TargetMode="External" Id="rId648" /><Relationship Type="http://schemas.openxmlformats.org/officeDocument/2006/relationships/hyperlink" Target="https://mathsgenie.co.uk/a-level/maths/ocr/mei/exponential-growth-and-decay" TargetMode="External" Id="rId649" /><Relationship Type="http://schemas.openxmlformats.org/officeDocument/2006/relationships/hyperlink" Target="https://assets.mathsgenie.co.uk/content/worksheets/as_level_maths/as-pure-exponentials-and-logs-16179138.pdf#page=8" TargetMode="External" Id="rId650" /><Relationship Type="http://schemas.openxmlformats.org/officeDocument/2006/relationships/hyperlink" Target="https://assets.mathsgenie.co.uk/content/worksheets/as_level_maths/exponentials-and-logs-ans-d72f1b47.pdf" TargetMode="External" Id="rId651" /><Relationship Type="http://schemas.openxmlformats.org/officeDocument/2006/relationships/hyperlink" Target="https://pmt.physicsandmathstutor.com/download/Maths/A-level/Pure/Exponentials-and-Logarithms-1/Edexcel-Set-B/Exponential%20Equations.pdf#page=4" TargetMode="External" Id="rId652" /><Relationship Type="http://schemas.openxmlformats.org/officeDocument/2006/relationships/hyperlink" Target="https://pmt.physicsandmathstutor.com/download/Maths/A-level/Pure/Exponentials-and-Logarithms-1/Edexcel-Set-B/MA/Exponential%20Equations%20MA.pdf" TargetMode="External" Id="rId653" /><Relationship Type="http://schemas.openxmlformats.org/officeDocument/2006/relationships/hyperlink" Target="https://pmt.physicsandmathstutor.com/download/Maths/A-level/Pure/Exponentials-and-Logarithms-1/OCR-MEI-Set-A/Exponentials%20and%20Logarithms%2C%20Exponential%20Growth%20and%20Decay.pdf#page=2" TargetMode="External" Id="rId654"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655" /><Relationship Type="http://schemas.openxmlformats.org/officeDocument/2006/relationships/hyperlink" Target="https://mathsgenie.co.uk/a-level/maths/ocr/mei/gradient-of-a-curve-at-a-point" TargetMode="External" Id="rId656" /><Relationship Type="http://schemas.openxmlformats.org/officeDocument/2006/relationships/hyperlink" Target="https://assets.mathsgenie.co.uk/content/worksheets/as_level_maths/as-pure-differentiation-a2014652.pdf#page=9" TargetMode="External" Id="rId657" /><Relationship Type="http://schemas.openxmlformats.org/officeDocument/2006/relationships/hyperlink" Target="https://assets.mathsgenie.co.uk/content/worksheets/as_level_maths/as-pure-differentiation-ans-ed22b85d.pdf" TargetMode="External" Id="rId658" /><Relationship Type="http://schemas.openxmlformats.org/officeDocument/2006/relationships/hyperlink" Target="https://pmt.physicsandmathstutor.com/download/Maths/A-level/Pure/Differentiation-1/Solomon/2a.%20Gradients%2C%20tangents%2C%20normals%20and%20rates%20of%20change.pdf#page=1" TargetMode="External" Id="rId659" /><Relationship Type="http://schemas.openxmlformats.org/officeDocument/2006/relationships/hyperlink" Target="https://pmt.physicsandmathstutor.com/download/Maths/A-level/Pure/Differentiation-1/Solomon/2b.%20Gradients%2C%20tangents%2C%20normals%20and%20rates%20of%20change%20-%20Answers.pdf" TargetMode="External" Id="rId660" /><Relationship Type="http://schemas.openxmlformats.org/officeDocument/2006/relationships/hyperlink" Target="https://pmt.physicsandmathstutor.com/download/Maths/A-level/Pure/Differentiation-1/OCR-MEI-Set-A/Basic%20Differentiation.pdf#page=1" TargetMode="External" Id="rId661" /><Relationship Type="http://schemas.openxmlformats.org/officeDocument/2006/relationships/hyperlink" Target="https://pmt.physicsandmathstutor.com/download/Maths/A-level/Pure/Differentiation-1/OCR-MEI-Set-A/Basic%20Differentiation.pdf#page=3" TargetMode="External" Id="rId662" /><Relationship Type="http://schemas.openxmlformats.org/officeDocument/2006/relationships/hyperlink" Target="https://mathsgenie.co.uk/a-level/maths/ocr/mei/gradient-as-limit-of-chord-gradient" TargetMode="External" Id="rId663" /><Relationship Type="http://schemas.openxmlformats.org/officeDocument/2006/relationships/hyperlink" Target="https://assets.mathsgenie.co.uk/content/worksheets/a_level_maths__ocr_mei/as-pure-mathematics-12-differentiation-12-2-differentiation-from-first-principles-c017aab2.pdf#page=1" TargetMode="External" Id="rId664" /><Relationship Type="http://schemas.openxmlformats.org/officeDocument/2006/relationships/hyperlink" Target="https://assets.mathsgenie.co.uk/content/worksheets/a_level_maths__ocr_mei/as-pure-mathematics-12-differentiation-12-2-differentiation-from-first-principles-ans-119b26f0.pdf" TargetMode="External" Id="rId665" /><Relationship Type="http://schemas.openxmlformats.org/officeDocument/2006/relationships/hyperlink" Target="https://pmt.physicsandmathstutor.com/download/Maths/A-level/Pure/Differentiation-1/Solomon/1a.%20Gradient%20of%20a%20curve.pdf#page=1" TargetMode="External" Id="rId666" /><Relationship Type="http://schemas.openxmlformats.org/officeDocument/2006/relationships/hyperlink" Target="https://pmt.physicsandmathstutor.com/download/Maths/A-level/Pure/Differentiation-1/Solomon/1b.%20Gradient%20of%20a%20curve%20-%20Answers.pdf" TargetMode="External" Id="rId667" /><Relationship Type="http://schemas.openxmlformats.org/officeDocument/2006/relationships/hyperlink" Target="https://pmt.physicsandmathstutor.com/download/Maths/A-level/Pure/Differentiation-1/OCR-MEI-Set-A/Applications%20of%20Differentiation%20to%20Functions%20and%20Graphs%20%28Yr.%201%29.pdf#page=2" TargetMode="External" Id="rId668" /><Relationship Type="http://schemas.openxmlformats.org/officeDocument/2006/relationships/hyperlink" Target="https://pmt.physicsandmathstutor.com/download/Maths/A-level/Pure/Differentiation-1/OCR-MEI-Set-A/Applications%20of%20Differentiation%20to%20Functions%20and%20Graphs%20%28Yr.%201%29.pdf#page=3" TargetMode="External" Id="rId669" /><Relationship Type="http://schemas.openxmlformats.org/officeDocument/2006/relationships/hyperlink" Target="https://mathsgenie.co.uk/a-level/maths/ocr/mei/derivative-as-gradient-of-tangent" TargetMode="External" Id="rId670" /><Relationship Type="http://schemas.openxmlformats.org/officeDocument/2006/relationships/hyperlink" Target="https://assets.mathsgenie.co.uk/content/worksheets/as_level_maths/as-pure-exponentials-and-logs-16179138.pdf#page=8" TargetMode="External" Id="rId671" /><Relationship Type="http://schemas.openxmlformats.org/officeDocument/2006/relationships/hyperlink" Target="https://assets.mathsgenie.co.uk/content/worksheets/as_level_maths/exponentials-and-logs-ans-d72f1b47.pdf" TargetMode="External" Id="rId672" /><Relationship Type="http://schemas.openxmlformats.org/officeDocument/2006/relationships/hyperlink" Target="https://pmt.physicsandmathstutor.com/download/Maths/A-level/Pure/Differentiation-1/Solomon/2a.%20Gradients%2C%20tangents%2C%20normals%20and%20rates%20of%20change.pdf#page=2" TargetMode="External" Id="rId673" /><Relationship Type="http://schemas.openxmlformats.org/officeDocument/2006/relationships/hyperlink" Target="https://pmt.physicsandmathstutor.com/download/Maths/A-level/Pure/Differentiation-1/Solomon/2b.%20Gradients%2C%20tangents%2C%20normals%20and%20rates%20of%20change%20-%20Answers.pdf" TargetMode="External" Id="rId674" /><Relationship Type="http://schemas.openxmlformats.org/officeDocument/2006/relationships/hyperlink" Target="https://pmt.physicsandmathstutor.com/download/Maths/A-level/Pure/Exponentials-and-Logarithms-1/OCR-MEI-Set-A/Exponentials%20and%20Natural%20Logarithms.pdf#page=2" TargetMode="External" Id="rId675" /><Relationship Type="http://schemas.openxmlformats.org/officeDocument/2006/relationships/hyperlink" Target="https://pmt.physicsandmathstutor.com/download/Maths/A-level/Pure/Exponentials-and-Logarithms-1/OCR-MEI-Set-A/Exponentials%20and%20Natural%20Logarithms.pdf#page=4" TargetMode="External" Id="rId676" /><Relationship Type="http://schemas.openxmlformats.org/officeDocument/2006/relationships/hyperlink" Target="https://mathsgenie.co.uk/a-level/maths/ocr/mei/sketch-the-gradient-function" TargetMode="External" Id="rId677" /><Relationship Type="http://schemas.openxmlformats.org/officeDocument/2006/relationships/hyperlink" Target="https://mathsgenie.co.uk/a-level/maths/ocr/mei/differentiate-y-kx-n" TargetMode="External" Id="rId678" /><Relationship Type="http://schemas.openxmlformats.org/officeDocument/2006/relationships/hyperlink" Target="https://assets.mathsgenie.co.uk/content/worksheets/as_level_maths/as-pure-differentiation-a2014652.pdf#page=1" TargetMode="External" Id="rId679" /><Relationship Type="http://schemas.openxmlformats.org/officeDocument/2006/relationships/hyperlink" Target="https://assets.mathsgenie.co.uk/content/worksheets/as_level_maths/as-pure-differentiation-ans-ed22b85d.pdf" TargetMode="External" Id="rId680" /><Relationship Type="http://schemas.openxmlformats.org/officeDocument/2006/relationships/hyperlink" Target="https://pmt.physicsandmathstutor.com/download/Maths/A-level/Pure/Differentiation-1/Solomon/5a.%20Differentiation.pdf#page=1" TargetMode="External" Id="rId681" /><Relationship Type="http://schemas.openxmlformats.org/officeDocument/2006/relationships/hyperlink" Target="https://pmt.physicsandmathstutor.com/download/Maths/A-level/Pure/Differentiation-1/Solomon/5b.%20Differentiation%20-%20Answers.pdf" TargetMode="External" Id="rId682" /><Relationship Type="http://schemas.openxmlformats.org/officeDocument/2006/relationships/hyperlink" Target="https://pmt.physicsandmathstutor.com/download/Maths/A-level/Pure/Differentiation-1/OCR-MEI-Set-A/Basic%20Differentiation.pdf#page=1" TargetMode="External" Id="rId683" /><Relationship Type="http://schemas.openxmlformats.org/officeDocument/2006/relationships/hyperlink" Target="https://pmt.physicsandmathstutor.com/download/Maths/A-level/Pure/Differentiation-1/OCR-MEI-Set-A/Basic%20Differentiation.pdf#page=3" TargetMode="External" Id="rId684" /><Relationship Type="http://schemas.openxmlformats.org/officeDocument/2006/relationships/hyperlink" Target="https://mathsgenie.co.uk/a-level/maths/ocr/mei/second-derivative-as-rate-of-change-of-gradient" TargetMode="External" Id="rId685" /><Relationship Type="http://schemas.openxmlformats.org/officeDocument/2006/relationships/hyperlink" Target="https://assets.mathsgenie.co.uk/content/worksheets/as_level_maths/as-pure-differentiation-a2014652.pdf#page=4" TargetMode="External" Id="rId686" /><Relationship Type="http://schemas.openxmlformats.org/officeDocument/2006/relationships/hyperlink" Target="https://assets.mathsgenie.co.uk/content/worksheets/as_level_maths/as-pure-differentiation-ans-ed22b85d.pdf" TargetMode="External" Id="rId687" /><Relationship Type="http://schemas.openxmlformats.org/officeDocument/2006/relationships/hyperlink" Target="https://pmt.physicsandmathstutor.com/download/Maths/A-level/Pure/Differentiation-1/Solomon/4a.%20Increasing%20and%20decreasing%20functions%20and%20stationary%20points.pdf#page=1" TargetMode="External" Id="rId688" /><Relationship Type="http://schemas.openxmlformats.org/officeDocument/2006/relationships/hyperlink" Target="https://pmt.physicsandmathstutor.com/download/Maths/A-level/Pure/Differentiation-1/Solomon/4b.%20Increasing%20and%20decreasing%20functions%20and%20stationary%20points%20-%20Answers.pdf" TargetMode="External" Id="rId689" /><Relationship Type="http://schemas.openxmlformats.org/officeDocument/2006/relationships/hyperlink" Target="https://pmt.physicsandmathstutor.com/download/Maths/A-level/Pure/Differentiation-1/OCR-MEI-Set-A/Applications%20of%20Differentiation%20to%20Functions%20and%20Graphs%20%28Yr.%201%29.pdf#page=1" TargetMode="External" Id="rId690" /><Relationship Type="http://schemas.openxmlformats.org/officeDocument/2006/relationships/hyperlink" Target="https://pmt.physicsandmathstutor.com/download/Maths/A-level/Pure/Differentiation-1/OCR-MEI-Set-A/Applications%20of%20Differentiation%20to%20Functions%20and%20Graphs%20%28Yr.%201%29.pdf#page=3" TargetMode="External" Id="rId691" /><Relationship Type="http://schemas.openxmlformats.org/officeDocument/2006/relationships/hyperlink" Target="https://mathsgenie.co.uk/a-level/maths/ocr/mei/stationary-points-maxima-and-minima" TargetMode="External" Id="rId692" /><Relationship Type="http://schemas.openxmlformats.org/officeDocument/2006/relationships/hyperlink" Target="https://assets.mathsgenie.co.uk/content/worksheets/as_level_maths/as-pure-differentiation-a2014652.pdf#page=2" TargetMode="External" Id="rId693" /><Relationship Type="http://schemas.openxmlformats.org/officeDocument/2006/relationships/hyperlink" Target="https://assets.mathsgenie.co.uk/content/worksheets/as_level_maths/as-pure-differentiation-ans-ed22b85d.pdf" TargetMode="External" Id="rId694" /><Relationship Type="http://schemas.openxmlformats.org/officeDocument/2006/relationships/hyperlink" Target="https://pmt.physicsandmathstutor.com/download/Maths/A-level/Pure/Differentiation-1/Solomon/8a.%20Mixed%20exam-style%20questions%20on%20differentiation.pdf#page=1" TargetMode="External" Id="rId695" /><Relationship Type="http://schemas.openxmlformats.org/officeDocument/2006/relationships/hyperlink" Target="https://pmt.physicsandmathstutor.com/download/Maths/A-level/Pure/Differentiation-1/Solomon/8b.%20Mixed%20exam-style%20questions%20on%20differentiation%20-%20Answers.pdf" TargetMode="External" Id="rId696" /><Relationship Type="http://schemas.openxmlformats.org/officeDocument/2006/relationships/hyperlink" Target="https://pmt.physicsandmathstutor.com/download/Maths/A-level/Pure/Differentiation-1/OCR-MEI-Set-A/Applications%20of%20Differentiation%20to%20Functions%20and%20Graphs%20%28Yr.%201%29.pdf#page=1" TargetMode="External" Id="rId697" /><Relationship Type="http://schemas.openxmlformats.org/officeDocument/2006/relationships/hyperlink" Target="https://pmt.physicsandmathstutor.com/download/Maths/A-level/Pure/Differentiation-1/OCR-MEI-Set-A/Applications%20of%20Differentiation%20to%20Functions%20and%20Graphs%20%28Yr.%201%29.pdf#page=3" TargetMode="External" Id="rId698" /><Relationship Type="http://schemas.openxmlformats.org/officeDocument/2006/relationships/hyperlink" Target="https://mathsgenie.co.uk/a-level/maths/ocr/mei/increasing-and-decreasing-functions" TargetMode="External" Id="rId699" /><Relationship Type="http://schemas.openxmlformats.org/officeDocument/2006/relationships/hyperlink" Target="https://assets.mathsgenie.co.uk/content/worksheets/as_level_maths/as-pure-differentiation-a2014652.pdf#page=6" TargetMode="External" Id="rId700" /><Relationship Type="http://schemas.openxmlformats.org/officeDocument/2006/relationships/hyperlink" Target="https://assets.mathsgenie.co.uk/content/worksheets/as_level_maths/as-pure-differentiation-ans-ed22b85d.pdf" TargetMode="External" Id="rId701" /><Relationship Type="http://schemas.openxmlformats.org/officeDocument/2006/relationships/hyperlink" Target="https://pmt.physicsandmathstutor.com/download/Maths/A-level/Pure/Differentiation-1/Solomon/4a.%20Increasing%20and%20decreasing%20functions%20and%20stationary%20points.pdf#page=1" TargetMode="External" Id="rId702" /><Relationship Type="http://schemas.openxmlformats.org/officeDocument/2006/relationships/hyperlink" Target="https://pmt.physicsandmathstutor.com/download/Maths/A-level/Pure/Differentiation-1/Solomon/4b.%20Increasing%20and%20decreasing%20functions%20and%20stationary%20points%20-%20Answers.pdf" TargetMode="External" Id="rId703" /><Relationship Type="http://schemas.openxmlformats.org/officeDocument/2006/relationships/hyperlink" Target="https://pmt.physicsandmathstutor.com/download/Maths/A-level/Pure/Differentiation-1/OCR-MEI-Set-A/Applications%20of%20Differentiation%20to%20Functions%20and%20Graphs%20%28Yr.%201%29.pdf#page=1" TargetMode="External" Id="rId704" /><Relationship Type="http://schemas.openxmlformats.org/officeDocument/2006/relationships/hyperlink" Target="https://pmt.physicsandmathstutor.com/download/Maths/A-level/Pure/Differentiation-1/OCR-MEI-Set-A/Applications%20of%20Differentiation%20to%20Functions%20and%20Graphs%20%28Yr.%201%29.pdf#page=3" TargetMode="External" Id="rId705" /><Relationship Type="http://schemas.openxmlformats.org/officeDocument/2006/relationships/hyperlink" Target="https://mathsgenie.co.uk/a-level/maths/ocr/mei/tangent-and-normal-at-a-point" TargetMode="External" Id="rId706" /><Relationship Type="http://schemas.openxmlformats.org/officeDocument/2006/relationships/hyperlink" Target="https://assets.mathsgenie.co.uk/content/worksheets/as_level_maths/as-pure-differentiation-a2014652.pdf#page=8" TargetMode="External" Id="rId707" /><Relationship Type="http://schemas.openxmlformats.org/officeDocument/2006/relationships/hyperlink" Target="https://assets.mathsgenie.co.uk/content/worksheets/as_level_maths/as-pure-differentiation-ans-ed22b85d.pdf" TargetMode="External" Id="rId708" /><Relationship Type="http://schemas.openxmlformats.org/officeDocument/2006/relationships/hyperlink" Target="https://pmt.physicsandmathstutor.com/download/Maths/A-level/Pure/Differentiation-1/Solomon/2a.%20Gradients%2C%20tangents%2C%20normals%20and%20rates%20of%20change.pdf#page=1" TargetMode="External" Id="rId709" /><Relationship Type="http://schemas.openxmlformats.org/officeDocument/2006/relationships/hyperlink" Target="https://pmt.physicsandmathstutor.com/download/Maths/A-level/Pure/Differentiation-1/Solomon/2b.%20Gradients%2C%20tangents%2C%20normals%20and%20rates%20of%20change%20-%20Answers.pdf" TargetMode="External" Id="rId710" /><Relationship Type="http://schemas.openxmlformats.org/officeDocument/2006/relationships/hyperlink" Target="https://pmt.physicsandmathstutor.com/download/Maths/A-level/Pure/Differentiation-1/OCR-MEI-Set-A/Applications%20of%20Differentiation%20to%20Functions%20and%20Graphs%20%28Yr.%201%29.pdf#page=1" TargetMode="External" Id="rId711" /><Relationship Type="http://schemas.openxmlformats.org/officeDocument/2006/relationships/hyperlink" Target="https://pmt.physicsandmathstutor.com/download/Maths/A-level/Pure/Differentiation-1/OCR-MEI-Set-A/Applications%20of%20Differentiation%20to%20Functions%20and%20Graphs%20%28Yr.%201%29.pdf#page=3" TargetMode="External" Id="rId712" /><Relationship Type="http://schemas.openxmlformats.org/officeDocument/2006/relationships/hyperlink" Target="https://mathsgenie.co.uk/a-level/maths/ocr/mei/differentiate-e-kx-a-kx-and-ln-x" TargetMode="External" Id="rId713" /><Relationship Type="http://schemas.openxmlformats.org/officeDocument/2006/relationships/hyperlink" Target="https://assets.mathsgenie.co.uk/content/worksheets/a_level_maths/year-2-differentiation-5cb3a7d8.pdf#page=1" TargetMode="External" Id="rId714" /><Relationship Type="http://schemas.openxmlformats.org/officeDocument/2006/relationships/hyperlink" Target="https://assets.mathsgenie.co.uk/content/worksheets/a_level_maths/year-2-differentiation-ans-fe9163b5.pdf" TargetMode="External" Id="rId715" /><Relationship Type="http://schemas.openxmlformats.org/officeDocument/2006/relationships/hyperlink" Target="https://pmt.physicsandmathstutor.com/download/Maths/A-level/Pure/Differentiation-2/Solomon/02a.%20Differentiating%20exponentials%20and%20logarithms.pdf#page=1" TargetMode="External" Id="rId716" /><Relationship Type="http://schemas.openxmlformats.org/officeDocument/2006/relationships/hyperlink" Target="https://pmt.physicsandmathstutor.com/download/Maths/A-level/Pure/Differentiation-2/Solomon/02b.%20Differentiating%20exponentials%20and%20logarithms%20-%20Answers.pdf" TargetMode="External" Id="rId717" /><Relationship Type="http://schemas.openxmlformats.org/officeDocument/2006/relationships/hyperlink" Target="https://pmt.physicsandmathstutor.com/download/Maths/A-level/Pure/Exponentials-and-Logarithms-1/OCR-MEI-Set-A/Exponentials%20and%20Natural%20Logarithms.pdf#page=2" TargetMode="External" Id="rId718" /><Relationship Type="http://schemas.openxmlformats.org/officeDocument/2006/relationships/hyperlink" Target="https://pmt.physicsandmathstutor.com/download/Maths/A-level/Pure/Exponentials-and-Logarithms-1/OCR-MEI-Set-A/Exponentials%20and%20Natural%20Logarithms.pdf#page=4" TargetMode="External" Id="rId719" /><Relationship Type="http://schemas.openxmlformats.org/officeDocument/2006/relationships/hyperlink" Target="https://mathsgenie.co.uk/a-level/maths/ocr/mei/differentiate-trigonometric-functions" TargetMode="External" Id="rId720" /><Relationship Type="http://schemas.openxmlformats.org/officeDocument/2006/relationships/hyperlink" Target="https://assets.mathsgenie.co.uk/content/worksheets/a_level_maths/year-2-differentiation-5cb3a7d8.pdf#page=24" TargetMode="External" Id="rId721" /><Relationship Type="http://schemas.openxmlformats.org/officeDocument/2006/relationships/hyperlink" Target="https://assets.mathsgenie.co.uk/content/worksheets/a_level_maths/year-2-differentiation-ans-fe9163b5.pdf" TargetMode="External" Id="rId722" /><Relationship Type="http://schemas.openxmlformats.org/officeDocument/2006/relationships/hyperlink" Target="https://pmt.physicsandmathstutor.com/download/Maths/A-level/Pure/Differentiation-2/Solomon/04a.%20Differentiating%20trigonometric%20functions.pdf#page=1" TargetMode="External" Id="rId723" /><Relationship Type="http://schemas.openxmlformats.org/officeDocument/2006/relationships/hyperlink" Target="https://pmt.physicsandmathstutor.com/download/Maths/A-level/Pure/Differentiation-2/Solomon/04b.%20Differentiating%20trigonometric%20functions%20-%20Answers.pdf" TargetMode="External" Id="rId724" /><Relationship Type="http://schemas.openxmlformats.org/officeDocument/2006/relationships/hyperlink" Target="https://mathsgenie.co.uk/a-level/maths/ocr/mei/product-rule" TargetMode="External" Id="rId725" /><Relationship Type="http://schemas.openxmlformats.org/officeDocument/2006/relationships/hyperlink" Target="https://assets.mathsgenie.co.uk/content/worksheets/a_level_maths/year-2-differentiation-5cb3a7d8.pdf#page=7" TargetMode="External" Id="rId726" /><Relationship Type="http://schemas.openxmlformats.org/officeDocument/2006/relationships/hyperlink" Target="https://assets.mathsgenie.co.uk/content/worksheets/a_level_maths/year-2-differentiation-ans-fe9163b5.pdf" TargetMode="External" Id="rId727" /><Relationship Type="http://schemas.openxmlformats.org/officeDocument/2006/relationships/hyperlink" Target="https://pmt.physicsandmathstutor.com/download/Maths/A-level/Pure/Differentiation-2/Solomon/05a.%20The%20product%20rule.pdf#page=1" TargetMode="External" Id="rId728" /><Relationship Type="http://schemas.openxmlformats.org/officeDocument/2006/relationships/hyperlink" Target="https://pmt.physicsandmathstutor.com/download/Maths/A-level/Pure/Differentiation-2/Solomon/05b.%20The%20product%20rule%20-%20Answers.pdf" TargetMode="External" Id="rId729" /><Relationship Type="http://schemas.openxmlformats.org/officeDocument/2006/relationships/hyperlink" Target="https://pmt.physicsandmathstutor.com/download/Maths/A-level/Pure/Differentiation-2/OCR-MEI-Set-A/Product%2C%20Quotient%20and%20Chain%20Rules.pdf#page=1" TargetMode="External" Id="rId730" /><Relationship Type="http://schemas.openxmlformats.org/officeDocument/2006/relationships/hyperlink" Target="https://pmt.physicsandmathstutor.com/download/Maths/A-level/Pure/Differentiation-2/OCR-MEI-Set-A/Product%2C%20Quotient%20and%20Chain%20Rules.pdf#page=7" TargetMode="External" Id="rId731" /><Relationship Type="http://schemas.openxmlformats.org/officeDocument/2006/relationships/hyperlink" Target="https://mathsgenie.co.uk/a-level/maths/ocr/mei/quotient-rule" TargetMode="External" Id="rId732" /><Relationship Type="http://schemas.openxmlformats.org/officeDocument/2006/relationships/hyperlink" Target="https://assets.mathsgenie.co.uk/content/worksheets/a_level_maths/year-2-differentiation-5cb3a7d8.pdf#page=14" TargetMode="External" Id="rId733" /><Relationship Type="http://schemas.openxmlformats.org/officeDocument/2006/relationships/hyperlink" Target="https://assets.mathsgenie.co.uk/content/worksheets/a_level_maths/year-2-differentiation-ans-fe9163b5.pdf" TargetMode="External" Id="rId734" /><Relationship Type="http://schemas.openxmlformats.org/officeDocument/2006/relationships/hyperlink" Target="https://pmt.physicsandmathstutor.com/download/Maths/A-level/Pure/Differentiation-2/Solomon/06a.%20The%20quotient%20rule.pdf#page=1" TargetMode="External" Id="rId735" /><Relationship Type="http://schemas.openxmlformats.org/officeDocument/2006/relationships/hyperlink" Target="https://pmt.physicsandmathstutor.com/download/Maths/A-level/Pure/Differentiation-2/Solomon/06b.%20The%20quotient%20rule%20-%20Answers.pdf" TargetMode="External" Id="rId736" /><Relationship Type="http://schemas.openxmlformats.org/officeDocument/2006/relationships/hyperlink" Target="https://pmt.physicsandmathstutor.com/download/Maths/A-level/Pure/Differentiation-2/OCR-MEI-Set-A/Product%2C%20Quotient%20and%20Chain%20Rules.pdf#page=3" TargetMode="External" Id="rId737" /><Relationship Type="http://schemas.openxmlformats.org/officeDocument/2006/relationships/hyperlink" Target="https://pmt.physicsandmathstutor.com/download/Maths/A-level/Pure/Differentiation-2/OCR-MEI-Set-A/Product%2C%20Quotient%20and%20Chain%20Rules.pdf#page=7" TargetMode="External" Id="rId738" /><Relationship Type="http://schemas.openxmlformats.org/officeDocument/2006/relationships/hyperlink" Target="https://mathsgenie.co.uk/a-level/maths/ocr/mei/chain-rule" TargetMode="External" Id="rId739" /><Relationship Type="http://schemas.openxmlformats.org/officeDocument/2006/relationships/hyperlink" Target="https://assets.mathsgenie.co.uk/content/worksheets/a_level_maths/year-2-differentiation-5cb3a7d8.pdf#page=2" TargetMode="External" Id="rId740" /><Relationship Type="http://schemas.openxmlformats.org/officeDocument/2006/relationships/hyperlink" Target="https://assets.mathsgenie.co.uk/content/worksheets/a_level_maths/year-2-differentiation-ans-fe9163b5.pdf" TargetMode="External" Id="rId741" /><Relationship Type="http://schemas.openxmlformats.org/officeDocument/2006/relationships/hyperlink" Target="https://pmt.physicsandmathstutor.com/download/Maths/A-level/Pure/Differentiation-2/Solomon/08a.%20The%20chain%20rule.pdf#page=1" TargetMode="External" Id="rId742" /><Relationship Type="http://schemas.openxmlformats.org/officeDocument/2006/relationships/hyperlink" Target="https://pmt.physicsandmathstutor.com/download/Maths/A-level/Pure/Differentiation-2/Solomon/08b.%20The%20chain%20rule%20-%20Answers.pdf" TargetMode="External" Id="rId743" /><Relationship Type="http://schemas.openxmlformats.org/officeDocument/2006/relationships/hyperlink" Target="https://pmt.physicsandmathstutor.com/download/Maths/A-level/Pure/Differentiation-2/OCR-MEI-Set-A/Product%2C%20Quotient%20and%20Chain%20Rules.pdf#page=1" TargetMode="External" Id="rId744" /><Relationship Type="http://schemas.openxmlformats.org/officeDocument/2006/relationships/hyperlink" Target="https://pmt.physicsandmathstutor.com/download/Maths/A-level/Pure/Differentiation-2/OCR-MEI-Set-A/Product%2C%20Quotient%20and%20Chain%20Rules.pdf#page=7" TargetMode="External" Id="rId745" /><Relationship Type="http://schemas.openxmlformats.org/officeDocument/2006/relationships/hyperlink" Target="https://mathsgenie.co.uk/a-level/maths/ocr/mei/rates-of-change-with-the-chain-rule" TargetMode="External" Id="rId746" /><Relationship Type="http://schemas.openxmlformats.org/officeDocument/2006/relationships/hyperlink" Target="https://assets.mathsgenie.co.uk/content/worksheets/a_level_maths/year-2-differentiation-5cb3a7d8.pdf#page=28" TargetMode="External" Id="rId747" /><Relationship Type="http://schemas.openxmlformats.org/officeDocument/2006/relationships/hyperlink" Target="https://assets.mathsgenie.co.uk/content/worksheets/a_level_maths/year-2-differentiation-ans-fe9163b5.pdf" TargetMode="External" Id="rId748" /><Relationship Type="http://schemas.openxmlformats.org/officeDocument/2006/relationships/hyperlink" Target="https://pmt.physicsandmathstutor.com/download/Maths/A-level/Pure/Differentiation-2/Solomon/01a.%20Connected%20rates%20of%20change.pdf#page=1" TargetMode="External" Id="rId749" /><Relationship Type="http://schemas.openxmlformats.org/officeDocument/2006/relationships/hyperlink" Target="https://pmt.physicsandmathstutor.com/download/Maths/A-level/Pure/Differentiation-2/Solomon/01b.%20Connected%20rates%20of%20change%20-%20Answers.pdf" TargetMode="External" Id="rId750" /><Relationship Type="http://schemas.openxmlformats.org/officeDocument/2006/relationships/hyperlink" Target="https://pmt.physicsandmathstutor.com/download/Maths/A-level/Pure/Differentiation-2/OCR-MEI-Set-A/Product%2C%20Quotient%20and%20Chain%20Rules.pdf#page=1" TargetMode="External" Id="rId751" /><Relationship Type="http://schemas.openxmlformats.org/officeDocument/2006/relationships/hyperlink" Target="https://pmt.physicsandmathstutor.com/download/Maths/A-level/Pure/Differentiation-2/OCR-MEI-Set-A/Product%2C%20Quotient%20and%20Chain%20Rules.pdf#page=7" TargetMode="External" Id="rId752" /><Relationship Type="http://schemas.openxmlformats.org/officeDocument/2006/relationships/hyperlink" Target="https://mathsgenie.co.uk/a-level/maths/ocr/mei/implicit-differentiation" TargetMode="External" Id="rId753" /><Relationship Type="http://schemas.openxmlformats.org/officeDocument/2006/relationships/hyperlink" Target="https://assets.mathsgenie.co.uk/content/worksheets/a_level_maths/year-2-differentiation-5cb3a7d8.pdf#page=19" TargetMode="External" Id="rId754" /><Relationship Type="http://schemas.openxmlformats.org/officeDocument/2006/relationships/hyperlink" Target="https://assets.mathsgenie.co.uk/content/worksheets/a_level_maths/year-2-differentiation-ans-fe9163b5.pdf" TargetMode="External" Id="rId755" /><Relationship Type="http://schemas.openxmlformats.org/officeDocument/2006/relationships/hyperlink" Target="https://pmt.physicsandmathstutor.com/download/Maths/A-level/Pure/Differentiation-2/Solomon/11a.%20Differentiating%20functions%20defined%20implicitly.pdf#page=1" TargetMode="External" Id="rId756" /><Relationship Type="http://schemas.openxmlformats.org/officeDocument/2006/relationships/hyperlink" Target="https://pmt.physicsandmathstutor.com/download/Maths/A-level/Pure/Differentiation-2/Solomon/11b.%20Differentiating%20functions%20defined%20implicitly%20-%20Answers.pdf" TargetMode="External" Id="rId757" /><Relationship Type="http://schemas.openxmlformats.org/officeDocument/2006/relationships/hyperlink" Target="https://pmt.physicsandmathstutor.com/download/Maths/A-level/Pure/Differentiation-2/OCR-MEI-Set-A/Implicit%20Differentiation.pdf#page=1" TargetMode="External" Id="rId758" /><Relationship Type="http://schemas.openxmlformats.org/officeDocument/2006/relationships/hyperlink" Target="https://pmt.physicsandmathstutor.com/download/Maths/A-level/Pure/Differentiation-2/OCR-MEI-Set-A/Implicit%20Differentiation.pdf#page=3" TargetMode="External" Id="rId759" /><Relationship Type="http://schemas.openxmlformats.org/officeDocument/2006/relationships/hyperlink" Target="https://mathsgenie.co.uk/a-level/maths/ocr/mei/concavity-and-the-second-derivative" TargetMode="External" Id="rId760" /><Relationship Type="http://schemas.openxmlformats.org/officeDocument/2006/relationships/hyperlink" Target="https://assets.mathsgenie.co.uk/content/worksheets/a_level_maths/year-2-differentiation-5cb3a7d8.pdf#page=71" TargetMode="External" Id="rId761" /><Relationship Type="http://schemas.openxmlformats.org/officeDocument/2006/relationships/hyperlink" Target="https://assets.mathsgenie.co.uk/content/worksheets/a_level_maths/year-2-differentiation-ans-fe9163b5.pdf" TargetMode="External" Id="rId762" /><Relationship Type="http://schemas.openxmlformats.org/officeDocument/2006/relationships/hyperlink" Target="https://pmt.physicsandmathstutor.com/download/Maths/A-level/Pure/Differentiation-1/Edexcel-Set-C/QP/Basic%20Differentiation%20QP.pdf#page=7" TargetMode="External" Id="rId763" /><Relationship Type="http://schemas.openxmlformats.org/officeDocument/2006/relationships/hyperlink" Target="https://pmt.physicsandmathstutor.com/download/Maths/A-level/Pure/Differentiation-1/Edexcel-Set-C/MS/Basic%20Differentiation%20MS.pdf" TargetMode="External" Id="rId764" /><Relationship Type="http://schemas.openxmlformats.org/officeDocument/2006/relationships/hyperlink" Target="https://pmt.physicsandmathstutor.com/download/Maths/A-level/Pure/Differentiation-1/Edexcel-Set-C/MA/Basic%20Differentiation%20MA.pdf" TargetMode="External" Id="rId765" /><Relationship Type="http://schemas.openxmlformats.org/officeDocument/2006/relationships/hyperlink" Target="https://pmt.physicsandmathstutor.com/download/Maths/A-level/Pure/Differentiation-2/OCR-MEI-Set-A/Product%2C%20Quotient%20and%20Chain%20Rules.pdf#page=4" TargetMode="External" Id="rId766" /><Relationship Type="http://schemas.openxmlformats.org/officeDocument/2006/relationships/hyperlink" Target="https://pmt.physicsandmathstutor.com/download/Maths/A-level/Pure/Differentiation-2/OCR-MEI-Set-A/Product%2C%20Quotient%20and%20Chain%20Rules.pdf#page=7" TargetMode="External" Id="rId767" /><Relationship Type="http://schemas.openxmlformats.org/officeDocument/2006/relationships/hyperlink" Target="https://mathsgenie.co.uk/a-level/maths/ocr/mei/points-of-inflection" TargetMode="External" Id="rId768" /><Relationship Type="http://schemas.openxmlformats.org/officeDocument/2006/relationships/hyperlink" Target="https://assets.mathsgenie.co.uk/content/worksheets/a_level_maths/year-2-differentiation-5cb3a7d8.pdf#page=50" TargetMode="External" Id="rId769" /><Relationship Type="http://schemas.openxmlformats.org/officeDocument/2006/relationships/hyperlink" Target="https://assets.mathsgenie.co.uk/content/worksheets/a_level_maths/year-2-differentiation-ans-fe9163b5.pdf" TargetMode="External" Id="rId770" /><Relationship Type="http://schemas.openxmlformats.org/officeDocument/2006/relationships/hyperlink" Target="https://pmt.physicsandmathstutor.com/download/Maths/A-level/Pure/Differentiation-1/Edexcel-Set-C/QP/Basic%20Differentiation%20QP.pdf#page=4" TargetMode="External" Id="rId771" /><Relationship Type="http://schemas.openxmlformats.org/officeDocument/2006/relationships/hyperlink" Target="https://pmt.physicsandmathstutor.com/download/Maths/A-level/Pure/Differentiation-1/Edexcel-Set-C/MS/Basic%20Differentiation%20MS.pdf" TargetMode="External" Id="rId772" /><Relationship Type="http://schemas.openxmlformats.org/officeDocument/2006/relationships/hyperlink" Target="https://pmt.physicsandmathstutor.com/download/Maths/A-level/Pure/Differentiation-1/Edexcel-Set-C/MA/Basic%20Differentiation%20MA.pdf" TargetMode="External" Id="rId773" /><Relationship Type="http://schemas.openxmlformats.org/officeDocument/2006/relationships/hyperlink" Target="https://pmt.physicsandmathstutor.com/download/Maths/A-level/Pure/Differentiation-2/OCR-MEI-Set-A/Applications%20of%20Differentiation%20to%20Functions%20and%20Graphs%20%28Yr.%202%29.pdf#page=1" TargetMode="External" Id="rId774" /><Relationship Type="http://schemas.openxmlformats.org/officeDocument/2006/relationships/hyperlink" Target="https://pmt.physicsandmathstutor.com/download/Maths/A-level/Pure/Differentiation-2/OCR-MEI-Set-A/Applications%20of%20Differentiation%20to%20Functions%20and%20Graphs%20%28Yr.%202%29.pdf#page=2" TargetMode="External" Id="rId775" /><Relationship Type="http://schemas.openxmlformats.org/officeDocument/2006/relationships/hyperlink" Target="https://mathsgenie.co.uk/a-level/maths/ocr/mei/integration-as-reverse-of-differentiation" TargetMode="External" Id="rId776" /><Relationship Type="http://schemas.openxmlformats.org/officeDocument/2006/relationships/hyperlink" Target="https://assets.mathsgenie.co.uk/content/worksheets/a_level_maths/as-pure-mathematics-13-integration-medium-af6778c4.pdf#page=1" TargetMode="External" Id="rId777" /><Relationship Type="http://schemas.openxmlformats.org/officeDocument/2006/relationships/hyperlink" Target="https://assets.mathsgenie.co.uk/content/worksheets/a_level_maths/as-pure-mathematics-13-integration-medium-ans-e9c8c91e.pdf" TargetMode="External" Id="rId778" /><Relationship Type="http://schemas.openxmlformats.org/officeDocument/2006/relationships/hyperlink" Target="https://pmt.physicsandmathstutor.com/download/Maths/A-level/Pure/Integration-1/Solomon/1a.%20Integration.pdf#page=1" TargetMode="External" Id="rId779" /><Relationship Type="http://schemas.openxmlformats.org/officeDocument/2006/relationships/hyperlink" Target="https://pmt.physicsandmathstutor.com/download/Maths/A-level/Pure/Integration-1/Solomon/1b.%20Integration%20-%20Answers.pdf" TargetMode="External" Id="rId780" /><Relationship Type="http://schemas.openxmlformats.org/officeDocument/2006/relationships/hyperlink" Target="https://pmt.physicsandmathstutor.com/download/Maths/A-level/Pure/Integration-1/OCR-MEI-Set-A/Integration%20as%20the%20Reverse%20of%20Differentiation%20and%20Area%20Under%20a%20Curve%20%28Yr.%201%29.pdf#page=2" TargetMode="External" Id="rId781"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782" /><Relationship Type="http://schemas.openxmlformats.org/officeDocument/2006/relationships/hyperlink" Target="https://mathsgenie.co.uk/a-level/maths/ocr/mei/integrate-kx-n" TargetMode="External" Id="rId783" /><Relationship Type="http://schemas.openxmlformats.org/officeDocument/2006/relationships/hyperlink" Target="https://assets.mathsgenie.co.uk/content/worksheets/a_level_maths/as-pure-mathematics-13-integration-medium-af6778c4.pdf#page=1" TargetMode="External" Id="rId784" /><Relationship Type="http://schemas.openxmlformats.org/officeDocument/2006/relationships/hyperlink" Target="https://assets.mathsgenie.co.uk/content/worksheets/a_level_maths/as-pure-mathematics-13-integration-medium-ans-e9c8c91e.pdf" TargetMode="External" Id="rId785" /><Relationship Type="http://schemas.openxmlformats.org/officeDocument/2006/relationships/hyperlink" Target="https://pmt.physicsandmathstutor.com/download/Maths/A-level/Pure/Integration-1/Solomon/1a.%20Integration.pdf#page=1" TargetMode="External" Id="rId786" /><Relationship Type="http://schemas.openxmlformats.org/officeDocument/2006/relationships/hyperlink" Target="https://pmt.physicsandmathstutor.com/download/Maths/A-level/Pure/Integration-1/Solomon/1b.%20Integration%20-%20Answers.pdf" TargetMode="External" Id="rId787" /><Relationship Type="http://schemas.openxmlformats.org/officeDocument/2006/relationships/hyperlink" Target="https://pmt.physicsandmathstutor.com/download/Maths/A-level/Pure/Integration-1/OCR-MEI-Set-A/Integration%20as%20the%20Reverse%20of%20Differentiation%20and%20Area%20Under%20a%20Curve%20%28Yr.%201%29.pdf#page=1" TargetMode="External" Id="rId788"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789" /><Relationship Type="http://schemas.openxmlformats.org/officeDocument/2006/relationships/hyperlink" Target="https://mathsgenie.co.uk/a-level/maths/ocr/mei/constant-of-integration" TargetMode="External" Id="rId790" /><Relationship Type="http://schemas.openxmlformats.org/officeDocument/2006/relationships/hyperlink" Target="https://assets.mathsgenie.co.uk/content/worksheets/as_level_maths/as-pure-integration-9beab4ec.pdf#page=2" TargetMode="External" Id="rId791" /><Relationship Type="http://schemas.openxmlformats.org/officeDocument/2006/relationships/hyperlink" Target="https://assets.mathsgenie.co.uk/content/worksheets/as_level_maths/integration-ans-3bf900ed.pdf" TargetMode="External" Id="rId792" /><Relationship Type="http://schemas.openxmlformats.org/officeDocument/2006/relationships/hyperlink" Target="https://pmt.physicsandmathstutor.com/download/Maths/A-level/Pure/Integration-1/Solomon/4a.%20Boundary%20conditions.pdf#page=1" TargetMode="External" Id="rId793" /><Relationship Type="http://schemas.openxmlformats.org/officeDocument/2006/relationships/hyperlink" Target="https://pmt.physicsandmathstutor.com/download/Maths/A-level/Pure/Integration-1/Solomon/4b.%20Boundary%20conditions%20-%20Answers.pdf" TargetMode="External" Id="rId794" /><Relationship Type="http://schemas.openxmlformats.org/officeDocument/2006/relationships/hyperlink" Target="https://pmt.physicsandmathstutor.com/download/Maths/A-level/Pure/Integration-1/OCR-MEI-Set-A/Integration%20as%20the%20Reverse%20of%20Differentiation%20and%20Area%20Under%20a%20Curve%20%28Yr.%201%29.pdf#page=2" TargetMode="External" Id="rId795"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796" /><Relationship Type="http://schemas.openxmlformats.org/officeDocument/2006/relationships/hyperlink" Target="https://mathsgenie.co.uk/a-level/maths/ocr/mei/indefinite-and-definite-integrals" TargetMode="External" Id="rId797" /><Relationship Type="http://schemas.openxmlformats.org/officeDocument/2006/relationships/hyperlink" Target="https://assets.mathsgenie.co.uk/content/worksheets/a_level_maths/as-pure-mathematics-13-integration-medium-af6778c4.pdf#page=4" TargetMode="External" Id="rId798" /><Relationship Type="http://schemas.openxmlformats.org/officeDocument/2006/relationships/hyperlink" Target="https://assets.mathsgenie.co.uk/content/worksheets/a_level_maths/as-pure-mathematics-13-integration-medium-ans-e9c8c91e.pdf" TargetMode="External" Id="rId799" /><Relationship Type="http://schemas.openxmlformats.org/officeDocument/2006/relationships/hyperlink" Target="https://pmt.physicsandmathstutor.com/download/Maths/A-level/Pure/Integration-1/Solomon/2a.%20Definite%20integrals%20and%20the%20area%20under%20a%20curve.pdf#page=1" TargetMode="External" Id="rId800" /><Relationship Type="http://schemas.openxmlformats.org/officeDocument/2006/relationships/hyperlink" Target="https://pmt.physicsandmathstutor.com/download/Maths/A-level/Pure/Integration-1/Solomon/2b.%20Definite%20integrals%20and%20the%20area%20under%20a%20curve%20-%20Answers.pdf" TargetMode="External" Id="rId801" /><Relationship Type="http://schemas.openxmlformats.org/officeDocument/2006/relationships/hyperlink" Target="https://pmt.physicsandmathstutor.com/download/Maths/A-level/Pure/Integration-1/OCR-MEI-Set-A/Integration%20as%20the%20Reverse%20of%20Differentiation%20and%20Area%20Under%20a%20Curve%20%28Yr.%201%29.pdf#page=2" TargetMode="External" Id="rId802"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803" /><Relationship Type="http://schemas.openxmlformats.org/officeDocument/2006/relationships/hyperlink" Target="https://mathsgenie.co.uk/a-level/maths/ocr/mei/area-between-a-graph-and-the-x-axis" TargetMode="External" Id="rId804" /><Relationship Type="http://schemas.openxmlformats.org/officeDocument/2006/relationships/hyperlink" Target="https://assets.mathsgenie.co.uk/content/worksheets/as_level_maths/as-pure-integration-9beab4ec.pdf#page=8" TargetMode="External" Id="rId805" /><Relationship Type="http://schemas.openxmlformats.org/officeDocument/2006/relationships/hyperlink" Target="https://assets.mathsgenie.co.uk/content/worksheets/as_level_maths/integration-ans-3bf900ed.pdf" TargetMode="External" Id="rId806" /><Relationship Type="http://schemas.openxmlformats.org/officeDocument/2006/relationships/hyperlink" Target="https://pmt.physicsandmathstutor.com/download/Maths/A-level/Pure/Integration-1/Solomon/2a.%20Definite%20integrals%20and%20the%20area%20under%20a%20curve.pdf#page=1" TargetMode="External" Id="rId807" /><Relationship Type="http://schemas.openxmlformats.org/officeDocument/2006/relationships/hyperlink" Target="https://pmt.physicsandmathstutor.com/download/Maths/A-level/Pure/Integration-1/Solomon/2b.%20Definite%20integrals%20and%20the%20area%20under%20a%20curve%20-%20Answers.pdf" TargetMode="External" Id="rId808" /><Relationship Type="http://schemas.openxmlformats.org/officeDocument/2006/relationships/hyperlink" Target="https://pmt.physicsandmathstutor.com/download/Maths/A-level/Pure/Integration-1/OCR-MEI-Set-A/Integration%20as%20the%20Reverse%20of%20Differentiation%20and%20Area%20Under%20a%20Curve%20%28Yr.%201%29.pdf#page=2" TargetMode="External" Id="rId809"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810" /><Relationship Type="http://schemas.openxmlformats.org/officeDocument/2006/relationships/hyperlink" Target="https://mathsgenie.co.uk/a-level/maths/ocr/mei/integrate-e-kx-1-x-sin-kx-cos-kx" TargetMode="External" Id="rId811" /><Relationship Type="http://schemas.openxmlformats.org/officeDocument/2006/relationships/hyperlink" Target="https://assets.mathsgenie.co.uk/content/worksheets/a_level_maths/year-2-integration-5dfd3517.pdf#page=5" TargetMode="External" Id="rId812" /><Relationship Type="http://schemas.openxmlformats.org/officeDocument/2006/relationships/hyperlink" Target="https://assets.mathsgenie.co.uk/content/worksheets/a_level_maths/year-2-integration-ans-13355b71.pdf" TargetMode="External" Id="rId813" /><Relationship Type="http://schemas.openxmlformats.org/officeDocument/2006/relationships/hyperlink" Target="https://pmt.physicsandmathstutor.com/download/Maths/A-level/Pure/Integration-2/Solomon/01a.%20Integrating%20exponentials%20and%20the%20reciprocal%20of%20x.pdf#page=1" TargetMode="External" Id="rId814" /><Relationship Type="http://schemas.openxmlformats.org/officeDocument/2006/relationships/hyperlink" Target="https://pmt.physicsandmathstutor.com/download/Maths/A-level/Pure/Integration-2/Solomon/01b.%20Integrating%20exponentials%20and%20the%20reciprocal%20of%20x%20-%20Answers.pdf" TargetMode="External" Id="rId815" /><Relationship Type="http://schemas.openxmlformats.org/officeDocument/2006/relationships/hyperlink" Target="https://pmt.physicsandmathstutor.com/download/Maths/A-level/Pure/Integration-2/OCR-MEI-Set-A/Integration%20as%20Inverse%20of%20Differentiation%20and%20to%20Find%20Area%20Under%20a%20Curve%20%28Yr.%202%29.pdf#page=2" TargetMode="External" Id="rId816" /><Relationship Type="http://schemas.openxmlformats.org/officeDocument/2006/relationships/hyperlink" Target="https://pmt.physicsandmathstutor.com/download/Maths/A-level/Pure/Integration-2/OCR-MEI-Set-A/Integration%20as%20Inverse%20of%20Differentiation%20and%20to%20Find%20Area%20Under%20a%20Curve%20%28Yr.%202%29.pdf#page=4" TargetMode="External" Id="rId817" /><Relationship Type="http://schemas.openxmlformats.org/officeDocument/2006/relationships/hyperlink" Target="https://mathsgenie.co.uk/a-level/maths/ocr/mei/integration-as-the-limit-of-a-sum" TargetMode="External" Id="rId818" /><Relationship Type="http://schemas.openxmlformats.org/officeDocument/2006/relationships/hyperlink" Target="https://assets.mathsgenie.co.uk/content/worksheets/a_level_maths/year-2-integration-5dfd3517.pdf#page=46" TargetMode="External" Id="rId819" /><Relationship Type="http://schemas.openxmlformats.org/officeDocument/2006/relationships/hyperlink" Target="https://assets.mathsgenie.co.uk/content/worksheets/a_level_maths/year-2-integration-ans-13355b71.pdf" TargetMode="External" Id="rId820" /><Relationship Type="http://schemas.openxmlformats.org/officeDocument/2006/relationships/hyperlink" Target="https://pmt.physicsandmathstutor.com/download/Maths/A-level/Pure/Integration-2/Edexcel-Set-C/QP/Definite%20Integration%20QP.pdf#page=1" TargetMode="External" Id="rId821" /><Relationship Type="http://schemas.openxmlformats.org/officeDocument/2006/relationships/hyperlink" Target="https://pmt.physicsandmathstutor.com/download/Maths/A-level/Pure/Integration-2/Edexcel-Set-C/MS/Definite%20Integration%20MS.pdf" TargetMode="External" Id="rId822" /><Relationship Type="http://schemas.openxmlformats.org/officeDocument/2006/relationships/hyperlink" Target="https://pmt.physicsandmathstutor.com/download/Maths/A-level/Pure/Integration-2/Edexcel-Set-C/MA/Definite%20Integration%20MA.pdf" TargetMode="External" Id="rId823" /><Relationship Type="http://schemas.openxmlformats.org/officeDocument/2006/relationships/hyperlink" Target="https://mathsgenie.co.uk/a-level/maths/ocr/mei/area-between-two-curves" TargetMode="External" Id="rId824" /><Relationship Type="http://schemas.openxmlformats.org/officeDocument/2006/relationships/hyperlink" Target="https://assets.mathsgenie.co.uk/content/worksheets/as_level_maths/as-pure-integration-9beab4ec.pdf#page=6" TargetMode="External" Id="rId825" /><Relationship Type="http://schemas.openxmlformats.org/officeDocument/2006/relationships/hyperlink" Target="https://assets.mathsgenie.co.uk/content/worksheets/as_level_maths/integration-ans-3bf900ed.pdf" TargetMode="External" Id="rId826" /><Relationship Type="http://schemas.openxmlformats.org/officeDocument/2006/relationships/hyperlink" Target="https://pmt.physicsandmathstutor.com/download/Maths/A-level/Pure/Integration-1/Solomon/3a.%20Area%20under%20a%20curve%20%E2%88%92%20further%20questions.pdf#page=1" TargetMode="External" Id="rId827" /><Relationship Type="http://schemas.openxmlformats.org/officeDocument/2006/relationships/hyperlink" Target="https://pmt.physicsandmathstutor.com/download/Maths/A-level/Pure/Integration-1/Solomon/3b.%20Area%20under%20a%20curve%20%E2%88%92%20further%20questions%20-%20Answers.pdf" TargetMode="External" Id="rId828" /><Relationship Type="http://schemas.openxmlformats.org/officeDocument/2006/relationships/hyperlink" Target="https://pmt.physicsandmathstutor.com/download/Maths/A-level/Pure/Integration-2/OCR-MEI-Set-A/Integration%20as%20Inverse%20of%20Differentiation%20and%20to%20Find%20Area%20Under%20a%20Curve%20%28Yr.%202%29.pdf#page=1" TargetMode="External" Id="rId829" /><Relationship Type="http://schemas.openxmlformats.org/officeDocument/2006/relationships/hyperlink" Target="https://pmt.physicsandmathstutor.com/download/Maths/A-level/Pure/Integration-2/OCR-MEI-Set-A/Integration%20as%20Inverse%20of%20Differentiation%20and%20to%20Find%20Area%20Under%20a%20Curve%20%28Yr.%202%29.pdf#page=4" TargetMode="External" Id="rId830" /><Relationship Type="http://schemas.openxmlformats.org/officeDocument/2006/relationships/hyperlink" Target="https://mathsgenie.co.uk/a-level/maths/ocr/mei/integration-by-substitution-reverse-chain-rule" TargetMode="External" Id="rId831" /><Relationship Type="http://schemas.openxmlformats.org/officeDocument/2006/relationships/hyperlink" Target="https://assets.mathsgenie.co.uk/content/worksheets/a_level_maths/year-2-integration-5dfd3517.pdf#page=7" TargetMode="External" Id="rId832" /><Relationship Type="http://schemas.openxmlformats.org/officeDocument/2006/relationships/hyperlink" Target="https://assets.mathsgenie.co.uk/content/worksheets/a_level_maths/year-2-integration-ans-13355b71.pdf" TargetMode="External" Id="rId833" /><Relationship Type="http://schemas.openxmlformats.org/officeDocument/2006/relationships/hyperlink" Target="https://pmt.physicsandmathstutor.com/download/Maths/A-level/Pure/Integration-2/Solomon/04a.%20Integration%20by%20substitution.pdf#page=1" TargetMode="External" Id="rId834" /><Relationship Type="http://schemas.openxmlformats.org/officeDocument/2006/relationships/hyperlink" Target="https://pmt.physicsandmathstutor.com/download/Maths/A-level/Pure/Integration-2/Solomon/04b.%20Integration%20by%20substitution%20-%20Answers.pdf" TargetMode="External" Id="rId835" /><Relationship Type="http://schemas.openxmlformats.org/officeDocument/2006/relationships/hyperlink" Target="https://pmt.physicsandmathstutor.com/download/Maths/A-level/Pure/Integration-2/OCR-MEI-Set-A/Integration%20by%20Substitution.pdf#page=1" TargetMode="External" Id="rId836" /><Relationship Type="http://schemas.openxmlformats.org/officeDocument/2006/relationships/hyperlink" Target="https://pmt.physicsandmathstutor.com/download/Maths/A-level/Pure/Integration-2/OCR-MEI-Set-A/Integration%20by%20Substitution.pdf#page=7" TargetMode="External" Id="rId837" /><Relationship Type="http://schemas.openxmlformats.org/officeDocument/2006/relationships/hyperlink" Target="https://mathsgenie.co.uk/a-level/maths/ocr/mei/integration-by-substitution-other-cases" TargetMode="External" Id="rId838" /><Relationship Type="http://schemas.openxmlformats.org/officeDocument/2006/relationships/hyperlink" Target="https://assets.mathsgenie.co.uk/content/worksheets/a_level_maths/year-2-integration-5dfd3517.pdf#page=9" TargetMode="External" Id="rId839" /><Relationship Type="http://schemas.openxmlformats.org/officeDocument/2006/relationships/hyperlink" Target="https://assets.mathsgenie.co.uk/content/worksheets/a_level_maths/year-2-integration-ans-13355b71.pdf" TargetMode="External" Id="rId840" /><Relationship Type="http://schemas.openxmlformats.org/officeDocument/2006/relationships/hyperlink" Target="https://pmt.physicsandmathstutor.com/download/Maths/A-level/Pure/Integration-2/Solomon/04a.%20Integration%20by%20substitution.pdf#page=2" TargetMode="External" Id="rId841" /><Relationship Type="http://schemas.openxmlformats.org/officeDocument/2006/relationships/hyperlink" Target="https://pmt.physicsandmathstutor.com/download/Maths/A-level/Pure/Integration-2/Solomon/04b.%20Integration%20by%20substitution%20-%20Answers.pdf" TargetMode="External" Id="rId842" /><Relationship Type="http://schemas.openxmlformats.org/officeDocument/2006/relationships/hyperlink" Target="https://pmt.physicsandmathstutor.com/download/Maths/A-level/Pure/Integration-2/OCR-MEI-Set-A/Integration%20by%20Substitution.pdf#page=2" TargetMode="External" Id="rId843" /><Relationship Type="http://schemas.openxmlformats.org/officeDocument/2006/relationships/hyperlink" Target="https://pmt.physicsandmathstutor.com/download/Maths/A-level/Pure/Integration-2/OCR-MEI-Set-A/Integration%20by%20Substitution.pdf#page=7" TargetMode="External" Id="rId844" /><Relationship Type="http://schemas.openxmlformats.org/officeDocument/2006/relationships/hyperlink" Target="https://mathsgenie.co.uk/a-level/maths/ocr/mei/integration-by-parts" TargetMode="External" Id="rId845" /><Relationship Type="http://schemas.openxmlformats.org/officeDocument/2006/relationships/hyperlink" Target="https://assets.mathsgenie.co.uk/content/worksheets/a_level_maths/year-2-integration-5dfd3517.pdf#page=19" TargetMode="External" Id="rId846" /><Relationship Type="http://schemas.openxmlformats.org/officeDocument/2006/relationships/hyperlink" Target="https://assets.mathsgenie.co.uk/content/worksheets/a_level_maths/year-2-integration-ans-13355b71.pdf" TargetMode="External" Id="rId847" /><Relationship Type="http://schemas.openxmlformats.org/officeDocument/2006/relationships/hyperlink" Target="https://pmt.physicsandmathstutor.com/download/Maths/A-level/Pure/Integration-2/Solomon/05a.%20Integration%20by%20parts.pdf#page=1" TargetMode="External" Id="rId848" /><Relationship Type="http://schemas.openxmlformats.org/officeDocument/2006/relationships/hyperlink" Target="https://pmt.physicsandmathstutor.com/download/Maths/A-level/Pure/Integration-2/Solomon/05b.%20Integration%20by%20parts%20-%20Answers.pdf" TargetMode="External" Id="rId849" /><Relationship Type="http://schemas.openxmlformats.org/officeDocument/2006/relationships/hyperlink" Target="https://pmt.physicsandmathstutor.com/download/Maths/A-level/Pure/Integration-2/OCR-MEI-Set-A/Integration%20by%20Parts.pdf#page=1" TargetMode="External" Id="rId850" /><Relationship Type="http://schemas.openxmlformats.org/officeDocument/2006/relationships/hyperlink" Target="https://pmt.physicsandmathstutor.com/download/Maths/A-level/Pure/Integration-2/OCR-MEI-Set-A/Integration%20by%20Parts.pdf#page=5" TargetMode="External" Id="rId851" /><Relationship Type="http://schemas.openxmlformats.org/officeDocument/2006/relationships/hyperlink" Target="https://mathsgenie.co.uk/a-level/maths/ocr/mei/integration-using-partial-fractions" TargetMode="External" Id="rId852" /><Relationship Type="http://schemas.openxmlformats.org/officeDocument/2006/relationships/hyperlink" Target="https://assets.mathsgenie.co.uk/content/worksheets/a_level_maths/year-2-integration-5dfd3517.pdf#page=28" TargetMode="External" Id="rId853" /><Relationship Type="http://schemas.openxmlformats.org/officeDocument/2006/relationships/hyperlink" Target="https://assets.mathsgenie.co.uk/content/worksheets/a_level_maths/year-2-integration-ans-13355b71.pdf" TargetMode="External" Id="rId854" /><Relationship Type="http://schemas.openxmlformats.org/officeDocument/2006/relationships/hyperlink" Target="https://pmt.physicsandmathstutor.com/download/Maths/A-level/Pure/Integration-2/Solomon/06a.%20Integration%20using%20partial%20fractions.pdf#page=1" TargetMode="External" Id="rId855" /><Relationship Type="http://schemas.openxmlformats.org/officeDocument/2006/relationships/hyperlink" Target="https://pmt.physicsandmathstutor.com/download/Maths/A-level/Pure/Integration-2/Solomon/06b.%20Integration%20using%20partial%20fractions%20-%20Answers.pdf" TargetMode="External" Id="rId856" /><Relationship Type="http://schemas.openxmlformats.org/officeDocument/2006/relationships/hyperlink" Target="https://pmt.physicsandmathstutor.com/download/Maths/A-level/Pure/Integration-2/OCR-MEI-Set-A/Differential%20Equations.pdf#page=1" TargetMode="External" Id="rId857" /><Relationship Type="http://schemas.openxmlformats.org/officeDocument/2006/relationships/hyperlink" Target="https://pmt.physicsandmathstutor.com/download/Maths/A-level/Pure/Integration-2/OCR-MEI-Set-A/Differential%20Equations.pdf#page=8" TargetMode="External" Id="rId858" /><Relationship Type="http://schemas.openxmlformats.org/officeDocument/2006/relationships/hyperlink" Target="https://mathsgenie.co.uk/a-level/maths/ocr/mei/formulate-first-order-differential-equations" TargetMode="External" Id="rId859" /><Relationship Type="http://schemas.openxmlformats.org/officeDocument/2006/relationships/hyperlink" Target="https://assets.mathsgenie.co.uk/content/worksheets/a_level_maths/year-2-integration-5dfd3517.pdf#page=30" TargetMode="External" Id="rId860" /><Relationship Type="http://schemas.openxmlformats.org/officeDocument/2006/relationships/hyperlink" Target="https://assets.mathsgenie.co.uk/content/worksheets/a_level_maths/year-2-integration-ans-13355b71.pdf" TargetMode="External" Id="rId861" /><Relationship Type="http://schemas.openxmlformats.org/officeDocument/2006/relationships/hyperlink" Target="https://pmt.physicsandmathstutor.com/download/Maths/A-level/Pure/Integration-2/Solomon/08a.%20Differential%20equations%20%E2%88%92%20further%20questions.pdf#page=1" TargetMode="External" Id="rId862" /><Relationship Type="http://schemas.openxmlformats.org/officeDocument/2006/relationships/hyperlink" Target="https://pmt.physicsandmathstutor.com/download/Maths/A-level/Pure/Integration-2/Solomon/08b.%20Differential%20equations%20%E2%88%92%20further%20questions%20-%20Answers.pdf" TargetMode="External" Id="rId863" /><Relationship Type="http://schemas.openxmlformats.org/officeDocument/2006/relationships/hyperlink" Target="https://pmt.physicsandmathstutor.com/download/Maths/A-level/Pure/Integration-2/OCR-MEI-Set-A/Differential%20Equations.pdf#page=5" TargetMode="External" Id="rId864" /><Relationship Type="http://schemas.openxmlformats.org/officeDocument/2006/relationships/hyperlink" Target="https://pmt.physicsandmathstutor.com/download/Maths/A-level/Pure/Integration-2/OCR-MEI-Set-A/Differential%20Equations.pdf#page=8" TargetMode="External" Id="rId865" /><Relationship Type="http://schemas.openxmlformats.org/officeDocument/2006/relationships/hyperlink" Target="https://mathsgenie.co.uk/a-level/maths/ocr/mei/solve-first-order-differential-equations" TargetMode="External" Id="rId866" /><Relationship Type="http://schemas.openxmlformats.org/officeDocument/2006/relationships/hyperlink" Target="https://assets.mathsgenie.co.uk/content/worksheets/a_level_maths/year-2-integration-5dfd3517.pdf#page=34" TargetMode="External" Id="rId867" /><Relationship Type="http://schemas.openxmlformats.org/officeDocument/2006/relationships/hyperlink" Target="https://assets.mathsgenie.co.uk/content/worksheets/a_level_maths/year-2-integration-ans-13355b71.pdf" TargetMode="External" Id="rId868" /><Relationship Type="http://schemas.openxmlformats.org/officeDocument/2006/relationships/hyperlink" Target="https://pmt.physicsandmathstutor.com/download/Maths/A-level/Pure/Integration-2/Solomon/07a.%20Differential%20equations.pdf#page=1" TargetMode="External" Id="rId869" /><Relationship Type="http://schemas.openxmlformats.org/officeDocument/2006/relationships/hyperlink" Target="https://pmt.physicsandmathstutor.com/download/Maths/A-level/Pure/Integration-2/Solomon/07b.%20Differential%20equations%20-%20Answers.pdf" TargetMode="External" Id="rId870" /><Relationship Type="http://schemas.openxmlformats.org/officeDocument/2006/relationships/hyperlink" Target="https://pmt.physicsandmathstutor.com/download/Maths/A-level/Pure/Integration-2/OCR-MEI-Set-A/Differential%20Equations.pdf#page=2" TargetMode="External" Id="rId871" /><Relationship Type="http://schemas.openxmlformats.org/officeDocument/2006/relationships/hyperlink" Target="https://pmt.physicsandmathstutor.com/download/Maths/A-level/Pure/Integration-2/OCR-MEI-Set-A/Differential%20Equations.pdf#page=8" TargetMode="External" Id="rId872" /><Relationship Type="http://schemas.openxmlformats.org/officeDocument/2006/relationships/hyperlink" Target="https://mathsgenie.co.uk/a-level/maths/ocr/mei/interpret-solutions-of-differential-equations" TargetMode="External" Id="rId873" /><Relationship Type="http://schemas.openxmlformats.org/officeDocument/2006/relationships/hyperlink" Target="https://assets.mathsgenie.co.uk/content/worksheets/a_level_maths/year-2-integration-5dfd3517.pdf#page=30" TargetMode="External" Id="rId874" /><Relationship Type="http://schemas.openxmlformats.org/officeDocument/2006/relationships/hyperlink" Target="https://assets.mathsgenie.co.uk/content/worksheets/a_level_maths/year-2-integration-ans-13355b71.pdf" TargetMode="External" Id="rId875" /><Relationship Type="http://schemas.openxmlformats.org/officeDocument/2006/relationships/hyperlink" Target="https://pmt.physicsandmathstutor.com/download/Maths/A-level/Pure/Integration-2/Solomon/08a.%20Differential%20equations%20%E2%88%92%20further%20questions.pdf#page=1" TargetMode="External" Id="rId876" /><Relationship Type="http://schemas.openxmlformats.org/officeDocument/2006/relationships/hyperlink" Target="https://pmt.physicsandmathstutor.com/download/Maths/A-level/Pure/Integration-2/Solomon/08b.%20Differential%20equations%20%E2%88%92%20further%20questions%20-%20Answers.pdf" TargetMode="External" Id="rId877" /><Relationship Type="http://schemas.openxmlformats.org/officeDocument/2006/relationships/hyperlink" Target="https://pmt.physicsandmathstutor.com/download/Maths/A-level/Pure/Integration-2/OCR-MEI-Set-A/Differential%20Equations.pdf#page=1" TargetMode="External" Id="rId878" /><Relationship Type="http://schemas.openxmlformats.org/officeDocument/2006/relationships/hyperlink" Target="https://pmt.physicsandmathstutor.com/download/Maths/A-level/Pure/Integration-2/OCR-MEI-Set-A/Differential%20Equations.pdf#page=8" TargetMode="External" Id="rId879" /><Relationship Type="http://schemas.openxmlformats.org/officeDocument/2006/relationships/hyperlink" Target="https://mathsgenie.co.uk/a-level/maths/ocr/mei/locate-roots-by-change-of-sign" TargetMode="External" Id="rId880" /><Relationship Type="http://schemas.openxmlformats.org/officeDocument/2006/relationships/hyperlink" Target="https://assets.mathsgenie.co.uk/content/worksheets/a_level_maths/numerical-methods-0f2c788a.pdf#page=2" TargetMode="External" Id="rId881" /><Relationship Type="http://schemas.openxmlformats.org/officeDocument/2006/relationships/hyperlink" Target="https://assets.mathsgenie.co.uk/content/worksheets/a_level_maths/numerical-methods-ans-795c2317.pdf" TargetMode="External" Id="rId882" /><Relationship Type="http://schemas.openxmlformats.org/officeDocument/2006/relationships/hyperlink" Target="https://pmt.physicsandmathstutor.com/download/Maths/A-level/Pure/Numerical-Methods-2/Solomon/1a.%20Locating%20roots%20using%20changes%20of%20sign.pdf#page=1" TargetMode="External" Id="rId883" /><Relationship Type="http://schemas.openxmlformats.org/officeDocument/2006/relationships/hyperlink" Target="https://pmt.physicsandmathstutor.com/download/Maths/A-level/Pure/Numerical-Methods-2/Solomon/1b.%20Locating%20roots%20using%20changes%20of%20sign%20-%20Answers.pdf" TargetMode="External" Id="rId884" /><Relationship Type="http://schemas.openxmlformats.org/officeDocument/2006/relationships/hyperlink" Target="https://pmt.physicsandmathstutor.com/download/Maths/A-level/Pure/Numerical-Methods-2/OCR-MEI-Set-A/Solution%20of%20Equations.pdf#page=1" TargetMode="External" Id="rId885" /><Relationship Type="http://schemas.openxmlformats.org/officeDocument/2006/relationships/hyperlink" Target="https://pmt.physicsandmathstutor.com/download/Maths/A-level/Pure/Numerical-Methods-2/OCR-MEI-Set-A/Solution%20of%20Equations.pdf#page=5" TargetMode="External" Id="rId886" /><Relationship Type="http://schemas.openxmlformats.org/officeDocument/2006/relationships/hyperlink" Target="https://mathsgenie.co.uk/a-level/maths/ocr/mei/when-change-of-sign-methods-fail" TargetMode="External" Id="rId887" /><Relationship Type="http://schemas.openxmlformats.org/officeDocument/2006/relationships/hyperlink" Target="https://mathsgenie.co.uk/a-level/maths/ocr/mei/fixed-point-iteration" TargetMode="External" Id="rId888" /><Relationship Type="http://schemas.openxmlformats.org/officeDocument/2006/relationships/hyperlink" Target="https://assets.mathsgenie.co.uk/content/worksheets/a_level_maths/numerical-methods-0f2c788a.pdf#page=2" TargetMode="External" Id="rId889" /><Relationship Type="http://schemas.openxmlformats.org/officeDocument/2006/relationships/hyperlink" Target="https://assets.mathsgenie.co.uk/content/worksheets/a_level_maths/numerical-methods-ans-795c2317.pdf" TargetMode="External" Id="rId890" /><Relationship Type="http://schemas.openxmlformats.org/officeDocument/2006/relationships/hyperlink" Target="https://pmt.physicsandmathstutor.com/download/Maths/A-level/Pure/Numerical-Methods-2/Solomon/2a.%20Iterative%20methods%20of%20solving%20equations.pdf#page=1" TargetMode="External" Id="rId891" /><Relationship Type="http://schemas.openxmlformats.org/officeDocument/2006/relationships/hyperlink" Target="https://pmt.physicsandmathstutor.com/download/Maths/A-level/Pure/Numerical-Methods-2/Solomon/2b.%20Iterative%20methods%20of%20solving%20equations%20-%20Answers.pdf" TargetMode="External" Id="rId892" /><Relationship Type="http://schemas.openxmlformats.org/officeDocument/2006/relationships/hyperlink" Target="https://mathsgenie.co.uk/a-level/maths/ocr/mei/newton-raphson-method" TargetMode="External" Id="rId893" /><Relationship Type="http://schemas.openxmlformats.org/officeDocument/2006/relationships/hyperlink" Target="https://assets.mathsgenie.co.uk/content/worksheets/a_level_maths/numerical-methods-0f2c788a.pdf#page=9" TargetMode="External" Id="rId894" /><Relationship Type="http://schemas.openxmlformats.org/officeDocument/2006/relationships/hyperlink" Target="https://assets.mathsgenie.co.uk/content/worksheets/a_level_maths/numerical-methods-ans-795c2317.pdf" TargetMode="External" Id="rId895" /><Relationship Type="http://schemas.openxmlformats.org/officeDocument/2006/relationships/hyperlink" Target="https://pmt.physicsandmathstutor.com/download/Maths/A-level/Pure/Numerical-Methods-2/Edexcel-Set-B/Newton%20Raphson.pdf#page=1" TargetMode="External" Id="rId896" /><Relationship Type="http://schemas.openxmlformats.org/officeDocument/2006/relationships/hyperlink" Target="https://pmt.physicsandmathstutor.com/download/Maths/A-level/Pure/Numerical-Methods-2/Edexcel-Set-B/MA/Newton%20Raphson%20MA.pdf" TargetMode="External" Id="rId897" /><Relationship Type="http://schemas.openxmlformats.org/officeDocument/2006/relationships/hyperlink" Target="https://pmt.physicsandmathstutor.com/download/Maths/A-level/Pure/Numerical-Methods-2/OCR-MEI-Set-A/Solution%20of%20Equations.pdf#page=1" TargetMode="External" Id="rId898" /><Relationship Type="http://schemas.openxmlformats.org/officeDocument/2006/relationships/hyperlink" Target="https://pmt.physicsandmathstutor.com/download/Maths/A-level/Pure/Numerical-Methods-2/OCR-MEI-Set-A/Solution%20of%20Equations.pdf#page=5" TargetMode="External" Id="rId899" /><Relationship Type="http://schemas.openxmlformats.org/officeDocument/2006/relationships/hyperlink" Target="https://mathsgenie.co.uk/a-level/maths/ocr/mei/convergence-of-iterations" TargetMode="External" Id="rId900" /><Relationship Type="http://schemas.openxmlformats.org/officeDocument/2006/relationships/hyperlink" Target="https://assets.mathsgenie.co.uk/content/worksheets/a_level_maths/numerical-methods-0f2c788a.pdf#page=14" TargetMode="External" Id="rId901" /><Relationship Type="http://schemas.openxmlformats.org/officeDocument/2006/relationships/hyperlink" Target="https://assets.mathsgenie.co.uk/content/worksheets/a_level_maths/numerical-methods-ans-795c2317.pdf" TargetMode="External" Id="rId902" /><Relationship Type="http://schemas.openxmlformats.org/officeDocument/2006/relationships/hyperlink" Target="https://pmt.physicsandmathstutor.com/download/Maths/A-level/Pure/Numerical-Methods-2/Edexcel-Set-B/Location%20of%20Roots.pdf#page=1" TargetMode="External" Id="rId903" /><Relationship Type="http://schemas.openxmlformats.org/officeDocument/2006/relationships/hyperlink" Target="https://pmt.physicsandmathstutor.com/download/Maths/A-level/Pure/Numerical-Methods-2/Edexcel-Set-B/MA/Location%20of%20Roots%20MA.pdf" TargetMode="External" Id="rId904" /><Relationship Type="http://schemas.openxmlformats.org/officeDocument/2006/relationships/hyperlink" Target="https://pmt.physicsandmathstutor.com/download/Maths/A-level/Pure/Numerical-Methods-2/OCR-MEI-Set-A/Solution%20of%20Equations.pdf#page=2" TargetMode="External" Id="rId905" /><Relationship Type="http://schemas.openxmlformats.org/officeDocument/2006/relationships/hyperlink" Target="https://pmt.physicsandmathstutor.com/download/Maths/A-level/Pure/Numerical-Methods-2/OCR-MEI-Set-A/Solution%20of%20Equations.pdf#page=5" TargetMode="External" Id="rId906" /><Relationship Type="http://schemas.openxmlformats.org/officeDocument/2006/relationships/hyperlink" Target="https://mathsgenie.co.uk/a-level/maths/ocr/mei/trapezium-rule" TargetMode="External" Id="rId907" /><Relationship Type="http://schemas.openxmlformats.org/officeDocument/2006/relationships/hyperlink" Target="https://assets.mathsgenie.co.uk/content/worksheets/a_level_maths/year-2-integration-5dfd3517.pdf#page=52" TargetMode="External" Id="rId908" /><Relationship Type="http://schemas.openxmlformats.org/officeDocument/2006/relationships/hyperlink" Target="https://assets.mathsgenie.co.uk/content/worksheets/a_level_maths/year-2-integration-ans-13355b71.pdf" TargetMode="External" Id="rId909" /><Relationship Type="http://schemas.openxmlformats.org/officeDocument/2006/relationships/hyperlink" Target="https://pmt.physicsandmathstutor.com/download/Maths/A-level/Pure/Integration-2/Solomon/11a.%20Numerical%20integration%20%E2%88%92%20the%20trapezium%20rule.pdf#page=1" TargetMode="External" Id="rId910" /><Relationship Type="http://schemas.openxmlformats.org/officeDocument/2006/relationships/hyperlink" Target="https://pmt.physicsandmathstutor.com/download/Maths/A-level/Pure/Integration-2/Solomon/11b.%20Numerical%20integration%20%E2%88%92%20the%20trapezium%20rule%20-%20Answers.pdf" TargetMode="External" Id="rId911" /><Relationship Type="http://schemas.openxmlformats.org/officeDocument/2006/relationships/hyperlink" Target="https://pmt.physicsandmathstutor.com/download/Maths/A-level/Pure/Numerical-Methods-2/OCR-MEI-Set-A/Numerical%20Integration.pdf#page=1" TargetMode="External" Id="rId912" /><Relationship Type="http://schemas.openxmlformats.org/officeDocument/2006/relationships/hyperlink" Target="https://pmt.physicsandmathstutor.com/download/Maths/A-level/Pure/Numerical-Methods-2/OCR-MEI-Set-A/Numerical%20Integration.pdf#page=6" TargetMode="External" Id="rId913" /><Relationship Type="http://schemas.openxmlformats.org/officeDocument/2006/relationships/hyperlink" Target="https://mathsgenie.co.uk/a-level/maths/ocr/mei/upper-and-lower-bounds-using-rectangles" TargetMode="External" Id="rId914" /><Relationship Type="http://schemas.openxmlformats.org/officeDocument/2006/relationships/hyperlink" Target="https://mathsgenie.co.uk/a-level/maths/ocr/mei/numerical-methods-to-solve-problems" TargetMode="External" Id="rId915" /><Relationship Type="http://schemas.openxmlformats.org/officeDocument/2006/relationships/hyperlink" Target="https://assets.mathsgenie.co.uk/content/worksheets/a_level_maths/numerical-methods-0f2c788a.pdf#page=19" TargetMode="External" Id="rId916" /><Relationship Type="http://schemas.openxmlformats.org/officeDocument/2006/relationships/hyperlink" Target="https://assets.mathsgenie.co.uk/content/worksheets/a_level_maths/numerical-methods-ans-795c2317.pdf" TargetMode="External" Id="rId917" /><Relationship Type="http://schemas.openxmlformats.org/officeDocument/2006/relationships/hyperlink" Target="https://pmt.physicsandmathstutor.com/download/Maths/A-level/Pure/Numerical-Methods-2/Edexcel-Set-C/QP/Iterative%20Equations%20QP.pdf#page=2" TargetMode="External" Id="rId918" /><Relationship Type="http://schemas.openxmlformats.org/officeDocument/2006/relationships/hyperlink" Target="https://pmt.physicsandmathstutor.com/download/Maths/A-level/Pure/Numerical-Methods-2/Edexcel-Set-C/MS/Iterative%20Equations%20MS.pdf" TargetMode="External" Id="rId919" /><Relationship Type="http://schemas.openxmlformats.org/officeDocument/2006/relationships/hyperlink" Target="https://pmt.physicsandmathstutor.com/download/Maths/A-level/Pure/Numerical-Methods-2/Edexcel-Set-C/MA/Iterative%20Equations%20MA.pdf" TargetMode="External" Id="rId920" /><Relationship Type="http://schemas.openxmlformats.org/officeDocument/2006/relationships/hyperlink" Target="https://mathsgenie.co.uk/a-level/maths/ocr/mei/language-of-vectors-in-two-dimensions" TargetMode="External" Id="rId921" /><Relationship Type="http://schemas.openxmlformats.org/officeDocument/2006/relationships/hyperlink" Target="https://assets.mathsgenie.co.uk/content/worksheets/a_level_maths/as-pure-mathematics-11-vectors-medium-e76c96b0.pdf#page=4" TargetMode="External" Id="rId922" /><Relationship Type="http://schemas.openxmlformats.org/officeDocument/2006/relationships/hyperlink" Target="https://assets.mathsgenie.co.uk/content/worksheets/a_level_maths/as-pure-mathematics-11-vectors-medium-ans-ce78750a.pdf" TargetMode="External" Id="rId923" /><Relationship Type="http://schemas.openxmlformats.org/officeDocument/2006/relationships/hyperlink" Target="https://pmt.physicsandmathstutor.com/download/Maths/A-level/Pure/Vectors-1/Solomon/2a.%20Cartesian%20components%20of%20a%20vector.pdf#page=1" TargetMode="External" Id="rId924" /><Relationship Type="http://schemas.openxmlformats.org/officeDocument/2006/relationships/hyperlink" Target="https://pmt.physicsandmathstutor.com/download/Maths/A-level/Pure/Vectors-1/Solomon/2b.%20Cartesian%20components%20of%20a%20vector%20-%20Answers.pdf" TargetMode="External" Id="rId925" /><Relationship Type="http://schemas.openxmlformats.org/officeDocument/2006/relationships/hyperlink" Target="https://pmt.physicsandmathstutor.com/download/Maths/A-level/Pure/Vectors-1/OCR-MEI-Set-A/Vectors%20%28Yr.%201%29.pdf#page=1" TargetMode="External" Id="rId926" /><Relationship Type="http://schemas.openxmlformats.org/officeDocument/2006/relationships/hyperlink" Target="https://pmt.physicsandmathstutor.com/download/Maths/A-level/Pure/Vectors-1/OCR-MEI-Set-A/Vectors%20%28Yr.%201%29.pdf#page=2" TargetMode="External" Id="rId927" /><Relationship Type="http://schemas.openxmlformats.org/officeDocument/2006/relationships/hyperlink" Target="https://mathsgenie.co.uk/a-level/maths/ocr/mei/add-subtract-and-scale-vectors" TargetMode="External" Id="rId928" /><Relationship Type="http://schemas.openxmlformats.org/officeDocument/2006/relationships/hyperlink" Target="https://assets.mathsgenie.co.uk/content/worksheets/a_level_maths/as-pure-mathematics-11-vectors-medium-e76c96b0.pdf#page=1" TargetMode="External" Id="rId929" /><Relationship Type="http://schemas.openxmlformats.org/officeDocument/2006/relationships/hyperlink" Target="https://assets.mathsgenie.co.uk/content/worksheets/a_level_maths/as-pure-mathematics-11-vectors-medium-ans-ce78750a.pdf" TargetMode="External" Id="rId930" /><Relationship Type="http://schemas.openxmlformats.org/officeDocument/2006/relationships/hyperlink" Target="https://pmt.physicsandmathstutor.com/download/Maths/A-level/Pure/Vectors-1/Solomon/1a.%20Vectors.pdf#page=1" TargetMode="External" Id="rId931" /><Relationship Type="http://schemas.openxmlformats.org/officeDocument/2006/relationships/hyperlink" Target="https://pmt.physicsandmathstutor.com/download/Maths/A-level/Pure/Vectors-1/Solomon/1b.%20Vectors%20-%20Answers.pdf" TargetMode="External" Id="rId932" /><Relationship Type="http://schemas.openxmlformats.org/officeDocument/2006/relationships/hyperlink" Target="https://pmt.physicsandmathstutor.com/download/Maths/A-level/Pure/Vectors-1/OCR-MEI-Set-A/Vectors%20%28Yr.%201%29.pdf#page=1" TargetMode="External" Id="rId933" /><Relationship Type="http://schemas.openxmlformats.org/officeDocument/2006/relationships/hyperlink" Target="https://pmt.physicsandmathstutor.com/download/Maths/A-level/Pure/Vectors-1/OCR-MEI-Set-A/Vectors%20%28Yr.%201%29.pdf#page=2" TargetMode="External" Id="rId934" /><Relationship Type="http://schemas.openxmlformats.org/officeDocument/2006/relationships/hyperlink" Target="https://mathsgenie.co.uk/a-level/maths/ocr/mei/magnitude-and-direction-of-a-vector" TargetMode="External" Id="rId935" /><Relationship Type="http://schemas.openxmlformats.org/officeDocument/2006/relationships/hyperlink" Target="https://assets.mathsgenie.co.uk/content/worksheets/as_level_maths/as-pure-vectors-89a0206f.pdf#page=1" TargetMode="External" Id="rId936" /><Relationship Type="http://schemas.openxmlformats.org/officeDocument/2006/relationships/hyperlink" Target="https://assets.mathsgenie.co.uk/content/worksheets/as_level_maths/as-pure-vectors-ans-1461a0bf.pdf" TargetMode="External" Id="rId937" /><Relationship Type="http://schemas.openxmlformats.org/officeDocument/2006/relationships/hyperlink" Target="https://pmt.physicsandmathstutor.com/download/Maths/A-level/Pure/Vectors-1/Solomon/2a.%20Cartesian%20components%20of%20a%20vector.pdf#page=1" TargetMode="External" Id="rId938" /><Relationship Type="http://schemas.openxmlformats.org/officeDocument/2006/relationships/hyperlink" Target="https://pmt.physicsandmathstutor.com/download/Maths/A-level/Pure/Vectors-1/Solomon/2b.%20Cartesian%20components%20of%20a%20vector%20-%20Answers.pdf" TargetMode="External" Id="rId939" /><Relationship Type="http://schemas.openxmlformats.org/officeDocument/2006/relationships/hyperlink" Target="https://pmt.physicsandmathstutor.com/download/Maths/A-level/Pure/Vectors-2/OCR-MEI-Set-A/Vectors%20%28Yr.%202%29.pdf#page=1" TargetMode="External" Id="rId940" /><Relationship Type="http://schemas.openxmlformats.org/officeDocument/2006/relationships/hyperlink" Target="https://pmt.physicsandmathstutor.com/download/Maths/A-level/Pure/Vectors-2/OCR-MEI-Set-A/Vectors%20%28Yr.%202%29.pdf#page=3" TargetMode="External" Id="rId941" /><Relationship Type="http://schemas.openxmlformats.org/officeDocument/2006/relationships/hyperlink" Target="https://mathsgenie.co.uk/a-level/maths/ocr/mei/position-vectors" TargetMode="External" Id="rId942" /><Relationship Type="http://schemas.openxmlformats.org/officeDocument/2006/relationships/hyperlink" Target="https://assets.mathsgenie.co.uk/content/worksheets/a_level_maths/as-pure-mathematics-11-vectors-medium-e76c96b0.pdf#page=1" TargetMode="External" Id="rId943" /><Relationship Type="http://schemas.openxmlformats.org/officeDocument/2006/relationships/hyperlink" Target="https://assets.mathsgenie.co.uk/content/worksheets/a_level_maths/as-pure-mathematics-11-vectors-medium-ans-ce78750a.pdf" TargetMode="External" Id="rId944" /><Relationship Type="http://schemas.openxmlformats.org/officeDocument/2006/relationships/hyperlink" Target="https://pmt.physicsandmathstutor.com/download/Maths/A-level/Pure/Vectors-1/Solomon/2a.%20Cartesian%20components%20of%20a%20vector.pdf#page=1" TargetMode="External" Id="rId945" /><Relationship Type="http://schemas.openxmlformats.org/officeDocument/2006/relationships/hyperlink" Target="https://pmt.physicsandmathstutor.com/download/Maths/A-level/Pure/Vectors-1/Solomon/2b.%20Cartesian%20components%20of%20a%20vector%20-%20Answers.pdf" TargetMode="External" Id="rId946" /><Relationship Type="http://schemas.openxmlformats.org/officeDocument/2006/relationships/hyperlink" Target="https://pmt.physicsandmathstutor.com/download/Maths/A-level/Pure/Vectors-1/OCR-MEI-Set-A/Vectors%20%28Yr.%201%29.pdf#page=1" TargetMode="External" Id="rId947" /><Relationship Type="http://schemas.openxmlformats.org/officeDocument/2006/relationships/hyperlink" Target="https://pmt.physicsandmathstutor.com/download/Maths/A-level/Pure/Vectors-1/OCR-MEI-Set-A/Vectors%20%28Yr.%201%29.pdf#page=2" TargetMode="External" Id="rId948" /><Relationship Type="http://schemas.openxmlformats.org/officeDocument/2006/relationships/hyperlink" Target="https://mathsgenie.co.uk/a-level/maths/ocr/mei/distance-between-points-by-position-vectors" TargetMode="External" Id="rId949" /><Relationship Type="http://schemas.openxmlformats.org/officeDocument/2006/relationships/hyperlink" Target="https://assets.mathsgenie.co.uk/content/worksheets/a_level_maths/as-pure-mathematics-11-vectors-medium-e76c96b0.pdf#page=1" TargetMode="External" Id="rId950" /><Relationship Type="http://schemas.openxmlformats.org/officeDocument/2006/relationships/hyperlink" Target="https://assets.mathsgenie.co.uk/content/worksheets/a_level_maths/as-pure-mathematics-11-vectors-medium-ans-ce78750a.pdf" TargetMode="External" Id="rId951" /><Relationship Type="http://schemas.openxmlformats.org/officeDocument/2006/relationships/hyperlink" Target="https://pmt.physicsandmathstutor.com/download/Maths/A-level/Pure/Vectors-1/Solomon/2a.%20Cartesian%20components%20of%20a%20vector.pdf#page=1" TargetMode="External" Id="rId952" /><Relationship Type="http://schemas.openxmlformats.org/officeDocument/2006/relationships/hyperlink" Target="https://pmt.physicsandmathstutor.com/download/Maths/A-level/Pure/Vectors-1/Solomon/2b.%20Cartesian%20components%20of%20a%20vector%20-%20Answers.pdf" TargetMode="External" Id="rId953" /><Relationship Type="http://schemas.openxmlformats.org/officeDocument/2006/relationships/hyperlink" Target="https://pmt.physicsandmathstutor.com/download/Maths/A-level/Pure/Vectors-1/OCR-MEI-Set-A/Vectors%20%28Yr.%201%29.pdf#page=1" TargetMode="External" Id="rId954" /><Relationship Type="http://schemas.openxmlformats.org/officeDocument/2006/relationships/hyperlink" Target="https://pmt.physicsandmathstutor.com/download/Maths/A-level/Pure/Vectors-1/OCR-MEI-Set-A/Vectors%20%28Yr.%201%29.pdf#page=2" TargetMode="External" Id="rId955" /><Relationship Type="http://schemas.openxmlformats.org/officeDocument/2006/relationships/hyperlink" Target="https://mathsgenie.co.uk/a-level/maths/ocr/mei/vectors-to-solve-problems" TargetMode="External" Id="rId956" /><Relationship Type="http://schemas.openxmlformats.org/officeDocument/2006/relationships/hyperlink" Target="https://assets.mathsgenie.co.uk/content/worksheets/a_level_maths/as-pure-mathematics-11-vectors-medium-e76c96b0.pdf#page=1" TargetMode="External" Id="rId957" /><Relationship Type="http://schemas.openxmlformats.org/officeDocument/2006/relationships/hyperlink" Target="https://assets.mathsgenie.co.uk/content/worksheets/a_level_maths/as-pure-mathematics-11-vectors-medium-ans-ce78750a.pdf" TargetMode="External" Id="rId958" /><Relationship Type="http://schemas.openxmlformats.org/officeDocument/2006/relationships/hyperlink" Target="https://pmt.physicsandmathstutor.com/download/Maths/A-level/Pure/Vectors-1/Edexcel-Set-C/QP/Vectors%20QP.pdf#page=1" TargetMode="External" Id="rId959" /><Relationship Type="http://schemas.openxmlformats.org/officeDocument/2006/relationships/hyperlink" Target="https://pmt.physicsandmathstutor.com/download/Maths/A-level/Pure/Vectors-1/Edexcel-Set-C/MS/Vectors%20MS.pdf" TargetMode="External" Id="rId960" /><Relationship Type="http://schemas.openxmlformats.org/officeDocument/2006/relationships/hyperlink" Target="https://pmt.physicsandmathstutor.com/download/Maths/A-level/Pure/Vectors-1/Edexcel-Set-C/MA/Vectors%20MA.pdf" TargetMode="External" Id="rId961" /><Relationship Type="http://schemas.openxmlformats.org/officeDocument/2006/relationships/hyperlink" Target="https://pmt.physicsandmathstutor.com/download/Maths/A-level/Pure/Vectors-1/OCR-MEI-Set-A/Vectors%20%28Yr.%201%29.pdf#page=1" TargetMode="External" Id="rId962" /><Relationship Type="http://schemas.openxmlformats.org/officeDocument/2006/relationships/hyperlink" Target="https://pmt.physicsandmathstutor.com/download/Maths/A-level/Pure/Vectors-1/OCR-MEI-Set-A/Vectors%20%28Yr.%201%29.pdf#page=2" TargetMode="External" Id="rId963" /><Relationship Type="http://schemas.openxmlformats.org/officeDocument/2006/relationships/hyperlink" Target="https://mathsgenie.co.uk/a-level/maths/ocr/mei/language-of-vectors-in-three-dimensions" TargetMode="External" Id="rId964" /><Relationship Type="http://schemas.openxmlformats.org/officeDocument/2006/relationships/hyperlink" Target="https://assets.mathsgenie.co.uk/content/worksheets/a_level_maths/3d-vectors-159ab14f.pdf#page=1" TargetMode="External" Id="rId965" /><Relationship Type="http://schemas.openxmlformats.org/officeDocument/2006/relationships/hyperlink" Target="https://assets.mathsgenie.co.uk/content/worksheets/a_level_maths/3d-vectors-ans-1b4dfe6b.pdf" TargetMode="External" Id="rId966" /><Relationship Type="http://schemas.openxmlformats.org/officeDocument/2006/relationships/hyperlink" Target="https://pmt.physicsandmathstutor.com/download/Maths/A-level/Pure/Vectors-1/Solomon/2a.%20Cartesian%20components%20of%20a%20vector.pdf#page=2" TargetMode="External" Id="rId967" /><Relationship Type="http://schemas.openxmlformats.org/officeDocument/2006/relationships/hyperlink" Target="https://pmt.physicsandmathstutor.com/download/Maths/A-level/Pure/Vectors-1/Solomon/2b.%20Cartesian%20components%20of%20a%20vector%20-%20Answers.pdf" TargetMode="External" Id="rId968" /><Relationship Type="http://schemas.openxmlformats.org/officeDocument/2006/relationships/hyperlink" Target="https://pmt.physicsandmathstutor.com/download/Maths/A-level/Pure/Vectors-2/OCR-MEI-Set-A/Vectors%20%28Yr.%202%29.pdf#page=1" TargetMode="External" Id="rId969" /><Relationship Type="http://schemas.openxmlformats.org/officeDocument/2006/relationships/hyperlink" Target="https://pmt.physicsandmathstutor.com/download/Maths/A-level/Pure/Vectors-2/OCR-MEI-Set-A/Vectors%20%28Yr.%202%29.pdf#page=3" TargetMode="External" Id="rId97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mathsgenie.co.uk/a-level/maths/ocr/mei/population-and-sample" TargetMode="External" Id="rId1" /><Relationship Type="http://schemas.openxmlformats.org/officeDocument/2006/relationships/hyperlink" Target="https://assets.mathsgenie.co.uk/content/worksheets/a_level_maths__ocr_mei/as-statistics-1-data-collection-1-2-sampling-eec849b2.pdf#page=2" TargetMode="External" Id="rId2" /><Relationship Type="http://schemas.openxmlformats.org/officeDocument/2006/relationships/hyperlink" Target="https://assets.mathsgenie.co.uk/content/worksheets/a_level_maths__ocr_mei/as-statistics-1-data-collection-1-2-sampling-ans-e66a5154.pdf" TargetMode="External" Id="rId3" /><Relationship Type="http://schemas.openxmlformats.org/officeDocument/2006/relationships/hyperlink" Target="https://pmt.physicsandmathstutor.com/download/Maths/A-level/Statistics/Statistical-Sampling-1/Edexcel-Set-A/Sampling%20methods%201.pdf#page=1" TargetMode="External" Id="rId4" /><Relationship Type="http://schemas.openxmlformats.org/officeDocument/2006/relationships/hyperlink" Target="https://pmt.physicsandmathstutor.com/download/Maths/A-level/Statistics/Data-Presentation-and-Interpretation-1/OCR-MEI-Set-A/Data%20Presentation%20and%20Interpretation.pdf#page=11" TargetMode="External" Id="rId5" /><Relationship Type="http://schemas.openxmlformats.org/officeDocument/2006/relationships/hyperlink" Target="https://pmt.physicsandmathstutor.com/download/Maths/A-level/Statistics/Data-Presentation-and-Interpretation-1/OCR-MEI-Set-A/Data%20Presentation%20and%20Interpretation.pdf#page=28" TargetMode="External" Id="rId6" /><Relationship Type="http://schemas.openxmlformats.org/officeDocument/2006/relationships/hyperlink" Target="https://mathsgenie.co.uk/a-level/maths/ocr/mei/samples-to-make-informal-inferences" TargetMode="External" Id="rId7" /><Relationship Type="http://schemas.openxmlformats.org/officeDocument/2006/relationships/hyperlink" Target="https://assets.mathsgenie.co.uk/content/worksheets/a_level_maths__ocr_mei/ocr-b-lds9-health-june-2027-open-6d8c3ad1.pdf#page=1" TargetMode="External" Id="rId8" /><Relationship Type="http://schemas.openxmlformats.org/officeDocument/2006/relationships/hyperlink" Target="https://assets.mathsgenie.co.uk/content/worksheets/a_level_maths__ocr_mei/ocr-b-lds9-health-june-2027-open-ans-c77aed63.pdf" TargetMode="External" Id="rId9" /><Relationship Type="http://schemas.openxmlformats.org/officeDocument/2006/relationships/hyperlink" Target="https://pmt.physicsandmathstutor.com/download/Maths/A-level/Statistics/Data-Presentation-and-Interpretation-1/Edexcel-Set-C/QP/Large%20data%20sets%20QP.pdf#page=2" TargetMode="External" Id="rId10" /><Relationship Type="http://schemas.openxmlformats.org/officeDocument/2006/relationships/hyperlink" Target="https://pmt.physicsandmathstutor.com/download/Maths/A-level/Statistics/Data-Presentation-and-Interpretation-1/Edexcel-Set-C/MS/Large%20data%20sets%20MS.pdf" TargetMode="External" Id="rId11" /><Relationship Type="http://schemas.openxmlformats.org/officeDocument/2006/relationships/hyperlink" Target="https://pmt.physicsandmathstutor.com/download/Maths/A-level/Statistics/Data-Presentation-and-Interpretation-1/Edexcel-Set-C/MA/Large%20data%20sets%20MA.pdf" TargetMode="External" Id="rId12" /><Relationship Type="http://schemas.openxmlformats.org/officeDocument/2006/relationships/hyperlink" Target="https://pmt.physicsandmathstutor.com/download/Maths/A-level/Statistics/Data-Presentation-and-Interpretation-1/OCR-MEI-Set-A/Data%20Presentation%20and%20Interpretation.pdf#page=11" TargetMode="External" Id="rId13" /><Relationship Type="http://schemas.openxmlformats.org/officeDocument/2006/relationships/hyperlink" Target="https://pmt.physicsandmathstutor.com/download/Maths/A-level/Statistics/Data-Presentation-and-Interpretation-1/OCR-MEI-Set-A/Data%20Presentation%20and%20Interpretation.pdf#page=28" TargetMode="External" Id="rId14" /><Relationship Type="http://schemas.openxmlformats.org/officeDocument/2006/relationships/hyperlink" Target="https://mathsgenie.co.uk/a-level/maths/ocr/mei/random-sampling" TargetMode="External" Id="rId15" /><Relationship Type="http://schemas.openxmlformats.org/officeDocument/2006/relationships/hyperlink" Target="https://pmt.physicsandmathstutor.com/download/Maths/A-level/Statistics/Statistical-Sampling-1/Edexcel-Set-A/Sampling%20methods%202.pdf#page=3" TargetMode="External" Id="rId16" /><Relationship Type="http://schemas.openxmlformats.org/officeDocument/2006/relationships/hyperlink" Target="https://pmt.physicsandmathstutor.com/download/Maths/A-level/Statistics/Data-Presentation-and-Interpretation-1/OCR-MEI-Set-A/Data%20Presentation%20and%20Interpretation.pdf#page=8" TargetMode="External" Id="rId17" /><Relationship Type="http://schemas.openxmlformats.org/officeDocument/2006/relationships/hyperlink" Target="https://pmt.physicsandmathstutor.com/download/Maths/A-level/Statistics/Data-Presentation-and-Interpretation-1/OCR-MEI-Set-A/Data%20Presentation%20and%20Interpretation.pdf#page=28" TargetMode="External" Id="rId18" /><Relationship Type="http://schemas.openxmlformats.org/officeDocument/2006/relationships/hyperlink" Target="https://mathsgenie.co.uk/a-level/maths/ocr/mei/variety-of-sampling-techniques" TargetMode="External" Id="rId19" /><Relationship Type="http://schemas.openxmlformats.org/officeDocument/2006/relationships/hyperlink" Target="https://assets.mathsgenie.co.uk/content/worksheets/a_level_maths__ocr_mei/as-statistics-1-data-collection-1-2-sampling-eec849b2.pdf#page=1" TargetMode="External" Id="rId20" /><Relationship Type="http://schemas.openxmlformats.org/officeDocument/2006/relationships/hyperlink" Target="https://assets.mathsgenie.co.uk/content/worksheets/a_level_maths__ocr_mei/as-statistics-1-data-collection-1-2-sampling-ans-e66a5154.pdf" TargetMode="External" Id="rId21" /><Relationship Type="http://schemas.openxmlformats.org/officeDocument/2006/relationships/hyperlink" Target="https://pmt.physicsandmathstutor.com/download/Maths/A-level/Statistics/Statistical-Sampling-1/Edexcel-Set-A/Sampling%20methods%202.pdf#page=1" TargetMode="External" Id="rId22" /><Relationship Type="http://schemas.openxmlformats.org/officeDocument/2006/relationships/hyperlink" Target="https://pmt.physicsandmathstutor.com/download/Maths/A-level/Statistics/Statistical-Sampling-1/OCR-MEI-Set-A/Sampling.pdf#page=1" TargetMode="External" Id="rId23" /><Relationship Type="http://schemas.openxmlformats.org/officeDocument/2006/relationships/hyperlink" Target="https://pmt.physicsandmathstutor.com/download/Maths/A-level/Statistics/Statistical-Sampling-1/OCR-MEI-Set-A/Sampling.pdf#page=2" TargetMode="External" Id="rId24" /><Relationship Type="http://schemas.openxmlformats.org/officeDocument/2006/relationships/hyperlink" Target="https://mathsgenie.co.uk/a-level/maths/ocr/mei/select-or-evaluate-sampling-techniques" TargetMode="External" Id="rId25" /><Relationship Type="http://schemas.openxmlformats.org/officeDocument/2006/relationships/hyperlink" Target="https://assets.mathsgenie.co.uk/content/worksheets/a_level_maths__ocr_mei/as-statistics-1-data-collection-1-2-sampling-eec849b2.pdf#page=2" TargetMode="External" Id="rId26" /><Relationship Type="http://schemas.openxmlformats.org/officeDocument/2006/relationships/hyperlink" Target="https://assets.mathsgenie.co.uk/content/worksheets/a_level_maths__ocr_mei/as-statistics-1-data-collection-1-2-sampling-ans-e66a5154.pdf" TargetMode="External" Id="rId27" /><Relationship Type="http://schemas.openxmlformats.org/officeDocument/2006/relationships/hyperlink" Target="https://pmt.physicsandmathstutor.com/download/Maths/A-level/Statistics/Statistical-Sampling-1/Edexcel-Set-A/Sampling%20methods%202.pdf#page=1" TargetMode="External" Id="rId28" /><Relationship Type="http://schemas.openxmlformats.org/officeDocument/2006/relationships/hyperlink" Target="https://pmt.physicsandmathstutor.com/download/Maths/A-level/Statistics/Statistical-Sampling-1/OCR-MEI-Set-A/Sampling.pdf#page=1" TargetMode="External" Id="rId29" /><Relationship Type="http://schemas.openxmlformats.org/officeDocument/2006/relationships/hyperlink" Target="https://pmt.physicsandmathstutor.com/download/Maths/A-level/Statistics/Statistical-Sampling-1/OCR-MEI-Set-A/Sampling.pdf#page=2" TargetMode="External" Id="rId30" /><Relationship Type="http://schemas.openxmlformats.org/officeDocument/2006/relationships/hyperlink" Target="https://mathsgenie.co.uk/a-level/maths/ocr/mei/types-of-data-and-standard-diagrams" TargetMode="External" Id="rId31" /><Relationship Type="http://schemas.openxmlformats.org/officeDocument/2006/relationships/hyperlink" Target="https://assets.mathsgenie.co.uk/content/worksheets/a_level_maths__ocr_mei/as-statistics-3-representations-of-data-3-2-box-plots-fc21593d.pdf#page=1" TargetMode="External" Id="rId32" /><Relationship Type="http://schemas.openxmlformats.org/officeDocument/2006/relationships/hyperlink" Target="https://assets.mathsgenie.co.uk/content/worksheets/a_level_maths__ocr_mei/as-statistics-3-representations-of-data-3-2-box-plots-ans-df293de9.pdf" TargetMode="External" Id="rId33" /><Relationship Type="http://schemas.openxmlformats.org/officeDocument/2006/relationships/hyperlink" Target="https://pmt.physicsandmathstutor.com/download/Maths/A-level/Statistics/Data-Presentation-and-Interpretation-1/Edexcel-Set-A/Representation%20and%20summary%20data.pdf#page=13" TargetMode="External" Id="rId34" /><Relationship Type="http://schemas.openxmlformats.org/officeDocument/2006/relationships/hyperlink" Target="https://pmt.physicsandmathstutor.com/download/Maths/A-level/Statistics/Data-Presentation-and-Interpretation-1/OCR-MEI-Set-A/Data%20Presentation%20and%20Interpretation.pdf#page=2" TargetMode="External" Id="rId35" /><Relationship Type="http://schemas.openxmlformats.org/officeDocument/2006/relationships/hyperlink" Target="https://pmt.physicsandmathstutor.com/download/Maths/A-level/Statistics/Data-Presentation-and-Interpretation-1/OCR-MEI-Set-A/Data%20Presentation%20and%20Interpretation.pdf#page=28" TargetMode="External" Id="rId36" /><Relationship Type="http://schemas.openxmlformats.org/officeDocument/2006/relationships/hyperlink" Target="https://mathsgenie.co.uk/a-level/maths/ocr/mei/area-in-a-histogram-is-proportional-to-frequency" TargetMode="External" Id="rId37" /><Relationship Type="http://schemas.openxmlformats.org/officeDocument/2006/relationships/hyperlink" Target="https://assets.mathsgenie.co.uk/content/worksheets/a_level_maths__ocr_mei/as-statistics-3-representations-of-data-3-4-histograms-1bd4416a.pdf#page=1" TargetMode="External" Id="rId38" /><Relationship Type="http://schemas.openxmlformats.org/officeDocument/2006/relationships/hyperlink" Target="https://assets.mathsgenie.co.uk/content/worksheets/a_level_maths__ocr_mei/as-statistics-3-representations-of-data-3-4-histograms-ans-1eac7a14.pdf" TargetMode="External" Id="rId39" /><Relationship Type="http://schemas.openxmlformats.org/officeDocument/2006/relationships/hyperlink" Target="https://pmt.physicsandmathstutor.com/download/Maths/A-level/Statistics/Data-Presentation-and-Interpretation-1/Edexcel-Set-A/Representation%20and%20summary%20data.pdf#page=1" TargetMode="External" Id="rId40" /><Relationship Type="http://schemas.openxmlformats.org/officeDocument/2006/relationships/hyperlink" Target="https://pmt.physicsandmathstutor.com/download/Maths/A-level/Statistics/Data-Presentation-and-Interpretation-1/OCR-MEI-Set-A/Data%20Presentation%20and%20Interpretation.pdf#page=1" TargetMode="External" Id="rId41" /><Relationship Type="http://schemas.openxmlformats.org/officeDocument/2006/relationships/hyperlink" Target="https://pmt.physicsandmathstutor.com/download/Maths/A-level/Statistics/Data-Presentation-and-Interpretation-1/OCR-MEI-Set-A/Data%20Presentation%20and%20Interpretation.pdf#page=28" TargetMode="External" Id="rId42" /><Relationship Type="http://schemas.openxmlformats.org/officeDocument/2006/relationships/hyperlink" Target="https://mathsgenie.co.uk/a-level/maths/ocr/mei/cumulative-frequency-diagram" TargetMode="External" Id="rId43" /><Relationship Type="http://schemas.openxmlformats.org/officeDocument/2006/relationships/hyperlink" Target="https://pmt.physicsandmathstutor.com/download/Maths/A-level/Statistics/Data-Presentation-and-Interpretation-1/OCR-MEI-Set-A/Data%20Presentation%20and%20Interpretation.pdf#page=2" TargetMode="External" Id="rId44" /><Relationship Type="http://schemas.openxmlformats.org/officeDocument/2006/relationships/hyperlink" Target="https://pmt.physicsandmathstutor.com/download/Maths/A-level/Statistics/Data-Presentation-and-Interpretation-1/OCR-MEI-Set-A/Data%20Presentation%20and%20Interpretation.pdf#page=28" TargetMode="External" Id="rId45" /><Relationship Type="http://schemas.openxmlformats.org/officeDocument/2006/relationships/hyperlink" Target="https://mathsgenie.co.uk/a-level/maths/ocr/mei/describe-frequency-distributions" TargetMode="External" Id="rId46" /><Relationship Type="http://schemas.openxmlformats.org/officeDocument/2006/relationships/hyperlink" Target="https://assets.mathsgenie.co.uk/content/worksheets/a_level_maths__ocr_mei/as-statistics-2-measures-of-location-and-spread-2-4-variance-and-standard-deviation-3f6da70d.pdf#page=4" TargetMode="External" Id="rId47" /><Relationship Type="http://schemas.openxmlformats.org/officeDocument/2006/relationships/hyperlink" Target="https://assets.mathsgenie.co.uk/content/worksheets/a_level_maths__ocr_mei/as-statistics-2-measures-of-location-and-spread-2-4-variance-and-standard-deviation-ans-50b68e8a.pdf" TargetMode="External" Id="rId48" /><Relationship Type="http://schemas.openxmlformats.org/officeDocument/2006/relationships/hyperlink" Target="https://pmt.physicsandmathstutor.com/download/Maths/A-level/Statistics/Data-Presentation-and-Interpretation-1/Edexcel-Set-A/Representation%20and%20summary%20data.pdf#page=1" TargetMode="External" Id="rId49" /><Relationship Type="http://schemas.openxmlformats.org/officeDocument/2006/relationships/hyperlink" Target="https://pmt.physicsandmathstutor.com/download/Maths/A-level/Statistics/Data-Presentation-and-Interpretation-1/OCR-MEI-Set-A/Data%20Presentation%20and%20Interpretation.pdf#page=2" TargetMode="External" Id="rId50" /><Relationship Type="http://schemas.openxmlformats.org/officeDocument/2006/relationships/hyperlink" Target="https://pmt.physicsandmathstutor.com/download/Maths/A-level/Statistics/Data-Presentation-and-Interpretation-1/OCR-MEI-Set-A/Data%20Presentation%20and%20Interpretation.pdf#page=28" TargetMode="External" Id="rId51" /><Relationship Type="http://schemas.openxmlformats.org/officeDocument/2006/relationships/hyperlink" Target="https://mathsgenie.co.uk/a-level/maths/ocr/mei/samples-and-theoretical-distributions" TargetMode="External" Id="rId52" /><Relationship Type="http://schemas.openxmlformats.org/officeDocument/2006/relationships/hyperlink" Target="https://mathsgenie.co.uk/a-level/maths/ocr/mei/interpret-a-scatter-diagram" TargetMode="External" Id="rId53" /><Relationship Type="http://schemas.openxmlformats.org/officeDocument/2006/relationships/hyperlink" Target="https://assets.mathsgenie.co.uk/content/worksheets/as_level_maths/as-stats-correlation-and-regression-090bdf26.pdf#page=2" TargetMode="External" Id="rId54" /><Relationship Type="http://schemas.openxmlformats.org/officeDocument/2006/relationships/hyperlink" Target="https://assets.mathsgenie.co.uk/content/worksheets/as_level_maths/as-stats-correlation-and-regression-ans-0737e55d.pdf" TargetMode="External" Id="rId55" /><Relationship Type="http://schemas.openxmlformats.org/officeDocument/2006/relationships/hyperlink" Target="https://pmt.physicsandmathstutor.com/download/Maths/A-level/Statistics/Data-Presentation-and-Interpretation-1/Edexcel-Set-B/Regression%20and%20Correlation.pdf#page=1" TargetMode="External" Id="rId56" /><Relationship Type="http://schemas.openxmlformats.org/officeDocument/2006/relationships/hyperlink" Target="https://pmt.physicsandmathstutor.com/download/Maths/A-level/Statistics/Data-Presentation-and-Interpretation-1/Edexcel-Set-B/MA/Regression%20and%20Correlation%20MA.pdf" TargetMode="External" Id="rId57" /><Relationship Type="http://schemas.openxmlformats.org/officeDocument/2006/relationships/hyperlink" Target="https://pmt.physicsandmathstutor.com/download/Maths/A-level/Statistics/Data-Presentation-and-Interpretation-1/OCR-MEI-Set-A/Data%20Presentation%20and%20Interpretation.pdf#page=11" TargetMode="External" Id="rId58" /><Relationship Type="http://schemas.openxmlformats.org/officeDocument/2006/relationships/hyperlink" Target="https://pmt.physicsandmathstutor.com/download/Maths/A-level/Statistics/Data-Presentation-and-Interpretation-1/OCR-MEI-Set-A/Data%20Presentation%20and%20Interpretation.pdf#page=28" TargetMode="External" Id="rId59" /><Relationship Type="http://schemas.openxmlformats.org/officeDocument/2006/relationships/hyperlink" Target="https://mathsgenie.co.uk/a-level/maths/ocr/mei/distinct-sections-and-outliers-in-scatter-diagrams" TargetMode="External" Id="rId60" /><Relationship Type="http://schemas.openxmlformats.org/officeDocument/2006/relationships/hyperlink" Target="https://pmt.physicsandmathstutor.com/download/Maths/A-level/Statistics/Data-Presentation-and-Interpretation-1/Edexcel-Set-A/Representation%20and%20summary%20data.pdf#page=14" TargetMode="External" Id="rId61" /><Relationship Type="http://schemas.openxmlformats.org/officeDocument/2006/relationships/hyperlink" Target="https://pmt.physicsandmathstutor.com/download/Maths/A-level/Statistics/Data-Presentation-and-Interpretation-1/OCR-MEI-Set-A/Data%20Presentation%20and%20Interpretation.pdf#page=11" TargetMode="External" Id="rId62" /><Relationship Type="http://schemas.openxmlformats.org/officeDocument/2006/relationships/hyperlink" Target="https://pmt.physicsandmathstutor.com/download/Maths/A-level/Statistics/Data-Presentation-and-Interpretation-1/OCR-MEI-Set-A/Data%20Presentation%20and%20Interpretation.pdf#page=28" TargetMode="External" Id="rId63" /><Relationship Type="http://schemas.openxmlformats.org/officeDocument/2006/relationships/hyperlink" Target="https://mathsgenie.co.uk/a-level/maths/ocr/mei/correlation-and-causation" TargetMode="External" Id="rId64" /><Relationship Type="http://schemas.openxmlformats.org/officeDocument/2006/relationships/hyperlink" Target="https://assets.mathsgenie.co.uk/content/worksheets/a_level_maths__ocr_mei/ocr-b-lds9-health-june-2027-open-6d8c3ad1.pdf#page=4" TargetMode="External" Id="rId65" /><Relationship Type="http://schemas.openxmlformats.org/officeDocument/2006/relationships/hyperlink" Target="https://assets.mathsgenie.co.uk/content/worksheets/a_level_maths__ocr_mei/ocr-b-lds9-health-june-2027-open-ans-c77aed63.pdf" TargetMode="External" Id="rId66" /><Relationship Type="http://schemas.openxmlformats.org/officeDocument/2006/relationships/hyperlink" Target="https://pmt.physicsandmathstutor.com/download/Maths/A-level/Statistics/Data-Presentation-and-Interpretation-1/Edexcel-Set-C/QP/Regression%20and%20Correlation%20QP.pdf#page=1" TargetMode="External" Id="rId67" /><Relationship Type="http://schemas.openxmlformats.org/officeDocument/2006/relationships/hyperlink" Target="https://pmt.physicsandmathstutor.com/download/Maths/A-level/Statistics/Data-Presentation-and-Interpretation-1/Edexcel-Set-C/MS/Regression%20and%20Correlation%20MS.pdf" TargetMode="External" Id="rId68" /><Relationship Type="http://schemas.openxmlformats.org/officeDocument/2006/relationships/hyperlink" Target="https://pmt.physicsandmathstutor.com/download/Maths/A-level/Statistics/Data-Presentation-and-Interpretation-1/Edexcel-Set-C/MA/Regression%20and%20Correlation%20MA.pdf" TargetMode="External" Id="rId69" /><Relationship Type="http://schemas.openxmlformats.org/officeDocument/2006/relationships/hyperlink" Target="https://pmt.physicsandmathstutor.com/download/Maths/A-level/Statistics/Data-Presentation-and-Interpretation-1/OCR-MEI-Set-A/Data%20Presentation%20and%20Interpretation.pdf#page=9" TargetMode="External" Id="rId70" /><Relationship Type="http://schemas.openxmlformats.org/officeDocument/2006/relationships/hyperlink" Target="https://pmt.physicsandmathstutor.com/download/Maths/A-level/Statistics/Data-Presentation-and-Interpretation-1/OCR-MEI-Set-A/Data%20Presentation%20and%20Interpretation.pdf#page=28" TargetMode="External" Id="rId71" /><Relationship Type="http://schemas.openxmlformats.org/officeDocument/2006/relationships/hyperlink" Target="https://mathsgenie.co.uk/a-level/maths/ocr/mei/select-or-critique-data-presentation-techniques" TargetMode="External" Id="rId72" /><Relationship Type="http://schemas.openxmlformats.org/officeDocument/2006/relationships/hyperlink" Target="https://assets.mathsgenie.co.uk/content/worksheets/a_level_maths__ocr_mei/as-statistics-3-representations-of-data-3-4-histograms-1bd4416a.pdf#page=3" TargetMode="External" Id="rId73" /><Relationship Type="http://schemas.openxmlformats.org/officeDocument/2006/relationships/hyperlink" Target="https://assets.mathsgenie.co.uk/content/worksheets/a_level_maths__ocr_mei/as-statistics-3-representations-of-data-3-4-histograms-ans-1eac7a14.pdf" TargetMode="External" Id="rId74" /><Relationship Type="http://schemas.openxmlformats.org/officeDocument/2006/relationships/hyperlink" Target="https://pmt.physicsandmathstutor.com/download/Maths/A-level/Statistics/Data-Presentation-and-Interpretation-1/Edexcel-Set-A/Representation%20and%20summary%20data.pdf#page=19" TargetMode="External" Id="rId75" /><Relationship Type="http://schemas.openxmlformats.org/officeDocument/2006/relationships/hyperlink" Target="https://pmt.physicsandmathstutor.com/download/Maths/A-level/Statistics/Data-Presentation-and-Interpretation-1/OCR-MEI-Set-A/Data%20Presentation%20and%20Interpretation.pdf#page=14" TargetMode="External" Id="rId76" /><Relationship Type="http://schemas.openxmlformats.org/officeDocument/2006/relationships/hyperlink" Target="https://pmt.physicsandmathstutor.com/download/Maths/A-level/Statistics/Data-Presentation-and-Interpretation-1/OCR-MEI-Set-A/Data%20Presentation%20and%20Interpretation.pdf#page=28" TargetMode="External" Id="rId77" /><Relationship Type="http://schemas.openxmlformats.org/officeDocument/2006/relationships/hyperlink" Target="https://mathsgenie.co.uk/a-level/maths/ocr/mei/measures-of-central-tendency" TargetMode="External" Id="rId78" /><Relationship Type="http://schemas.openxmlformats.org/officeDocument/2006/relationships/hyperlink" Target="https://assets.mathsgenie.co.uk/content/worksheets/as_level_maths/measures-of-location-and-spread-0f1d8677.pdf#page=2" TargetMode="External" Id="rId79" /><Relationship Type="http://schemas.openxmlformats.org/officeDocument/2006/relationships/hyperlink" Target="https://assets.mathsgenie.co.uk/content/worksheets/as_level_maths/measures-of-location-and-spread-ans-ce4aaea3.pdf" TargetMode="External" Id="rId80" /><Relationship Type="http://schemas.openxmlformats.org/officeDocument/2006/relationships/hyperlink" Target="https://pmt.physicsandmathstutor.com/download/Maths/A-level/Statistics/Data-Presentation-and-Interpretation-1/Edexcel-Set-A/Representation%20and%20summary%20data.pdf#page=8" TargetMode="External" Id="rId81" /><Relationship Type="http://schemas.openxmlformats.org/officeDocument/2006/relationships/hyperlink" Target="https://pmt.physicsandmathstutor.com/download/Maths/A-level/Statistics/Data-Presentation-and-Interpretation-1/OCR-MEI-Set-A/Data%20Presentation%20and%20Interpretation.pdf#page=1" TargetMode="External" Id="rId82" /><Relationship Type="http://schemas.openxmlformats.org/officeDocument/2006/relationships/hyperlink" Target="https://pmt.physicsandmathstutor.com/download/Maths/A-level/Statistics/Data-Presentation-and-Interpretation-1/OCR-MEI-Set-A/Data%20Presentation%20and%20Interpretation.pdf#page=28" TargetMode="External" Id="rId83" /><Relationship Type="http://schemas.openxmlformats.org/officeDocument/2006/relationships/hyperlink" Target="https://mathsgenie.co.uk/a-level/maths/ocr/mei/simple-measures-of-spread" TargetMode="External" Id="rId84" /><Relationship Type="http://schemas.openxmlformats.org/officeDocument/2006/relationships/hyperlink" Target="https://assets.mathsgenie.co.uk/content/worksheets/a_level_maths__ocr_mei/as-statistics-3-representations-of-data-3-2-box-plots-fc21593d.pdf#page=1" TargetMode="External" Id="rId85" /><Relationship Type="http://schemas.openxmlformats.org/officeDocument/2006/relationships/hyperlink" Target="https://assets.mathsgenie.co.uk/content/worksheets/a_level_maths__ocr_mei/as-statistics-3-representations-of-data-3-2-box-plots-ans-df293de9.pdf" TargetMode="External" Id="rId86" /><Relationship Type="http://schemas.openxmlformats.org/officeDocument/2006/relationships/hyperlink" Target="https://pmt.physicsandmathstutor.com/download/Maths/A-level/Statistics/Data-Presentation-and-Interpretation-1/Edexcel-Set-A/Representation%20and%20summary%20data.pdf#page=2" TargetMode="External" Id="rId87" /><Relationship Type="http://schemas.openxmlformats.org/officeDocument/2006/relationships/hyperlink" Target="https://pmt.physicsandmathstutor.com/download/Maths/A-level/Statistics/Data-Presentation-and-Interpretation-1/OCR-MEI-Set-A/Data%20Presentation%20and%20Interpretation.pdf#page=2" TargetMode="External" Id="rId88" /><Relationship Type="http://schemas.openxmlformats.org/officeDocument/2006/relationships/hyperlink" Target="https://pmt.physicsandmathstutor.com/download/Maths/A-level/Statistics/Data-Presentation-and-Interpretation-1/OCR-MEI-Set-A/Data%20Presentation%20and%20Interpretation.pdf#page=28" TargetMode="External" Id="rId89" /><Relationship Type="http://schemas.openxmlformats.org/officeDocument/2006/relationships/hyperlink" Target="https://mathsgenie.co.uk/a-level/maths/ocr/mei/variance-and-standard-deviation" TargetMode="External" Id="rId90" /><Relationship Type="http://schemas.openxmlformats.org/officeDocument/2006/relationships/hyperlink" Target="https://assets.mathsgenie.co.uk/content/worksheets/a_level_maths__ocr_mei/as-statistics-2-measures-of-location-and-spread-2-4-variance-and-standard-deviation-3f6da70d.pdf#page=1" TargetMode="External" Id="rId91" /><Relationship Type="http://schemas.openxmlformats.org/officeDocument/2006/relationships/hyperlink" Target="https://assets.mathsgenie.co.uk/content/worksheets/a_level_maths__ocr_mei/as-statistics-2-measures-of-location-and-spread-2-4-variance-and-standard-deviation-ans-50b68e8a.pdf" TargetMode="External" Id="rId92" /><Relationship Type="http://schemas.openxmlformats.org/officeDocument/2006/relationships/hyperlink" Target="https://pmt.physicsandmathstutor.com/download/Maths/A-level/Statistics/Data-Presentation-and-Interpretation-1/Edexcel-Set-A/Representation%20and%20summary%20data.pdf#page=1" TargetMode="External" Id="rId93" /><Relationship Type="http://schemas.openxmlformats.org/officeDocument/2006/relationships/hyperlink" Target="https://pmt.physicsandmathstutor.com/download/Maths/A-level/Statistics/Data-Presentation-and-Interpretation-1/OCR-MEI-Set-A/Data%20Presentation%20and%20Interpretation.pdf#page=2" TargetMode="External" Id="rId94" /><Relationship Type="http://schemas.openxmlformats.org/officeDocument/2006/relationships/hyperlink" Target="https://pmt.physicsandmathstutor.com/download/Maths/A-level/Statistics/Data-Presentation-and-Interpretation-1/OCR-MEI-Set-A/Data%20Presentation%20and%20Interpretation.pdf#page=28" TargetMode="External" Id="rId95" /><Relationship Type="http://schemas.openxmlformats.org/officeDocument/2006/relationships/hyperlink" Target="https://mathsgenie.co.uk/a-level/maths/ocr/mei/outliers" TargetMode="External" Id="rId96" /><Relationship Type="http://schemas.openxmlformats.org/officeDocument/2006/relationships/hyperlink" Target="https://assets.mathsgenie.co.uk/content/worksheets/a_level_maths__ocr_mei/as-statistics-3-representations-of-data-3-2-box-plots-fc21593d.pdf#page=1" TargetMode="External" Id="rId97" /><Relationship Type="http://schemas.openxmlformats.org/officeDocument/2006/relationships/hyperlink" Target="https://assets.mathsgenie.co.uk/content/worksheets/a_level_maths__ocr_mei/as-statistics-3-representations-of-data-3-2-box-plots-ans-df293de9.pdf" TargetMode="External" Id="rId98" /><Relationship Type="http://schemas.openxmlformats.org/officeDocument/2006/relationships/hyperlink" Target="https://pmt.physicsandmathstutor.com/download/Maths/A-level/Statistics/Data-Presentation-and-Interpretation-1/Edexcel-Set-A/Representation%20and%20summary%20data.pdf#page=2" TargetMode="External" Id="rId99" /><Relationship Type="http://schemas.openxmlformats.org/officeDocument/2006/relationships/hyperlink" Target="https://pmt.physicsandmathstutor.com/download/Maths/A-level/Statistics/Data-Presentation-and-Interpretation-1/OCR-MEI-Set-A/Data%20Presentation%20and%20Interpretation.pdf#page=2" TargetMode="External" Id="rId100" /><Relationship Type="http://schemas.openxmlformats.org/officeDocument/2006/relationships/hyperlink" Target="https://pmt.physicsandmathstutor.com/download/Maths/A-level/Statistics/Data-Presentation-and-Interpretation-1/OCR-MEI-Set-A/Data%20Presentation%20and%20Interpretation.pdf#page=28" TargetMode="External" Id="rId101" /><Relationship Type="http://schemas.openxmlformats.org/officeDocument/2006/relationships/hyperlink" Target="https://mathsgenie.co.uk/a-level/maths/ocr/mei/cleaning-data" TargetMode="External" Id="rId102" /><Relationship Type="http://schemas.openxmlformats.org/officeDocument/2006/relationships/hyperlink" Target="https://assets.mathsgenie.co.uk/content/worksheets/a_level_maths__ocr_mei/ocr-b-lds9-health-june-2027-open-6d8c3ad1.pdf#page=2" TargetMode="External" Id="rId103" /><Relationship Type="http://schemas.openxmlformats.org/officeDocument/2006/relationships/hyperlink" Target="https://assets.mathsgenie.co.uk/content/worksheets/a_level_maths__ocr_mei/ocr-b-lds9-health-june-2027-open-ans-c77aed63.pdf" TargetMode="External" Id="rId104" /><Relationship Type="http://schemas.openxmlformats.org/officeDocument/2006/relationships/hyperlink" Target="https://pmt.physicsandmathstutor.com/download/Maths/A-level/Statistics/Data-Presentation-and-Interpretation-1/Edexcel-Set-B/Data%20Presentation%20and%20Interpretation.pdf#page=3" TargetMode="External" Id="rId105" /><Relationship Type="http://schemas.openxmlformats.org/officeDocument/2006/relationships/hyperlink" Target="https://pmt.physicsandmathstutor.com/download/Maths/A-level/Statistics/Data-Presentation-and-Interpretation-1/Edexcel-Set-B/MA/Data%20Presentation%20and%20Interpretation%20MA.pdf" TargetMode="External" Id="rId106" /><Relationship Type="http://schemas.openxmlformats.org/officeDocument/2006/relationships/hyperlink" Target="https://pmt.physicsandmathstutor.com/download/Maths/A-level/Statistics/Data-Presentation-and-Interpretation-1/OCR-MEI-Set-A/Data%20Presentation%20and%20Interpretation.pdf#page=2" TargetMode="External" Id="rId107" /><Relationship Type="http://schemas.openxmlformats.org/officeDocument/2006/relationships/hyperlink" Target="https://pmt.physicsandmathstutor.com/download/Maths/A-level/Statistics/Data-Presentation-and-Interpretation-1/OCR-MEI-Set-A/Data%20Presentation%20and%20Interpretation.pdf#page=28" TargetMode="External" Id="rId108" /><Relationship Type="http://schemas.openxmlformats.org/officeDocument/2006/relationships/hyperlink" Target="https://mathsgenie.co.uk/a-level/maths/ocr/mei/data-presentation-and-interpretation" TargetMode="External" Id="rId109" /><Relationship Type="http://schemas.openxmlformats.org/officeDocument/2006/relationships/hyperlink" Target="https://assets.mathsgenie.co.uk/content/worksheets/a_level_maths__ocr_mei/ocr-b-lds9-health-june-2027-open-6d8c3ad1.pdf#page=1" TargetMode="External" Id="rId110" /><Relationship Type="http://schemas.openxmlformats.org/officeDocument/2006/relationships/hyperlink" Target="https://assets.mathsgenie.co.uk/content/worksheets/a_level_maths__ocr_mei/ocr-b-lds9-health-june-2027-open-ans-c77aed63.pdf" TargetMode="External" Id="rId111" /><Relationship Type="http://schemas.openxmlformats.org/officeDocument/2006/relationships/hyperlink" Target="https://pmt.physicsandmathstutor.com/download/Maths/A-level/Statistics/Data-Presentation-and-Interpretation-1/OCR-MEI-Set-A/Data%20Presentation%20and%20Interpretation.pdf#page=9" TargetMode="External" Id="rId112" /><Relationship Type="http://schemas.openxmlformats.org/officeDocument/2006/relationships/hyperlink" Target="https://pmt.physicsandmathstutor.com/download/Maths/A-level/Statistics/Data-Presentation-and-Interpretation-1/OCR-MEI-Set-A/Data%20Presentation%20and%20Interpretation.pdf#page=28" TargetMode="External" Id="rId113" /><Relationship Type="http://schemas.openxmlformats.org/officeDocument/2006/relationships/hyperlink" Target="https://mathsgenie.co.uk/a-level/maths/ocr/mei/mutually-exclusive-and-independent-events" TargetMode="External" Id="rId114" /><Relationship Type="http://schemas.openxmlformats.org/officeDocument/2006/relationships/hyperlink" Target="https://assets.mathsgenie.co.uk/content/worksheets/as_level_maths/as-stats-probability-fd510241.pdf#page=2" TargetMode="External" Id="rId115" /><Relationship Type="http://schemas.openxmlformats.org/officeDocument/2006/relationships/hyperlink" Target="https://assets.mathsgenie.co.uk/content/worksheets/as_level_maths/as-stats-probability-ans-3c1dbd4d.pdf" TargetMode="External" Id="rId116" /><Relationship Type="http://schemas.openxmlformats.org/officeDocument/2006/relationships/hyperlink" Target="https://pmt.physicsandmathstutor.com/download/Maths/A-level/Statistics/Probability-1/Edexcel-Set-B/Probability.pdf#page=1" TargetMode="External" Id="rId117" /><Relationship Type="http://schemas.openxmlformats.org/officeDocument/2006/relationships/hyperlink" Target="https://pmt.physicsandmathstutor.com/download/Maths/A-level/Statistics/Probability-1/Edexcel-Set-B/MA/Probability%20MA.pdf" TargetMode="External" Id="rId118" /><Relationship Type="http://schemas.openxmlformats.org/officeDocument/2006/relationships/hyperlink" Target="https://pmt.physicsandmathstutor.com/download/Maths/A-level/Statistics/Probability-1/OCR-MEI-Set-A/Probability%20%28Yr.%201%29.pdf#page=1" TargetMode="External" Id="rId119" /><Relationship Type="http://schemas.openxmlformats.org/officeDocument/2006/relationships/hyperlink" Target="https://pmt.physicsandmathstutor.com/download/Maths/A-level/Statistics/Probability-1/OCR-MEI-Set-A/Probability%20%28Yr.%201%29.pdf#page=5" TargetMode="External" Id="rId120" /><Relationship Type="http://schemas.openxmlformats.org/officeDocument/2006/relationships/hyperlink" Target="https://mathsgenie.co.uk/a-level/maths/ocr/mei/add-probabilities-for-mutually-exclusive-events" TargetMode="External" Id="rId121" /><Relationship Type="http://schemas.openxmlformats.org/officeDocument/2006/relationships/hyperlink" Target="https://assets.mathsgenie.co.uk/content/worksheets/a_level_maths/as-statistics-5-probability-medium-63990a3d.pdf#page=1" TargetMode="External" Id="rId122" /><Relationship Type="http://schemas.openxmlformats.org/officeDocument/2006/relationships/hyperlink" Target="https://assets.mathsgenie.co.uk/content/worksheets/a_level_maths/as-statistics-5-probability-medium-ans-410afb04.pdf" TargetMode="External" Id="rId123" /><Relationship Type="http://schemas.openxmlformats.org/officeDocument/2006/relationships/hyperlink" Target="https://pmt.physicsandmathstutor.com/download/Maths/A-level/Statistics/Probability-2/Edexcel-Set-A/Probability.pdf#page=3" TargetMode="External" Id="rId124" /><Relationship Type="http://schemas.openxmlformats.org/officeDocument/2006/relationships/hyperlink" Target="https://pmt.physicsandmathstutor.com/download/Maths/A-level/Statistics/Probability-1/OCR-MEI-Set-A/Probability%20%28Yr.%201%29.pdf#page=1" TargetMode="External" Id="rId125" /><Relationship Type="http://schemas.openxmlformats.org/officeDocument/2006/relationships/hyperlink" Target="https://pmt.physicsandmathstutor.com/download/Maths/A-level/Statistics/Probability-1/OCR-MEI-Set-A/Probability%20%28Yr.%201%29.pdf#page=5" TargetMode="External" Id="rId126" /><Relationship Type="http://schemas.openxmlformats.org/officeDocument/2006/relationships/hyperlink" Target="https://mathsgenie.co.uk/a-level/maths/ocr/mei/multiply-probabilities-for-independent-events" TargetMode="External" Id="rId127" /><Relationship Type="http://schemas.openxmlformats.org/officeDocument/2006/relationships/hyperlink" Target="https://assets.mathsgenie.co.uk/content/worksheets/as_level_maths/as-stats-probability-fd510241.pdf#page=2" TargetMode="External" Id="rId128" /><Relationship Type="http://schemas.openxmlformats.org/officeDocument/2006/relationships/hyperlink" Target="https://assets.mathsgenie.co.uk/content/worksheets/as_level_maths/as-stats-probability-ans-3c1dbd4d.pdf" TargetMode="External" Id="rId129" /><Relationship Type="http://schemas.openxmlformats.org/officeDocument/2006/relationships/hyperlink" Target="https://pmt.physicsandmathstutor.com/download/Maths/A-level/Statistics/Probability-2/Edexcel-Set-A/Probability.pdf#page=1" TargetMode="External" Id="rId130" /><Relationship Type="http://schemas.openxmlformats.org/officeDocument/2006/relationships/hyperlink" Target="https://pmt.physicsandmathstutor.com/download/Maths/A-level/Statistics/Probability-1/OCR-MEI-Set-A/Probability%20%28Yr.%201%29.pdf#page=1" TargetMode="External" Id="rId131" /><Relationship Type="http://schemas.openxmlformats.org/officeDocument/2006/relationships/hyperlink" Target="https://pmt.physicsandmathstutor.com/download/Maths/A-level/Statistics/Probability-1/OCR-MEI-Set-A/Probability%20%28Yr.%201%29.pdf#page=5" TargetMode="External" Id="rId132" /><Relationship Type="http://schemas.openxmlformats.org/officeDocument/2006/relationships/hyperlink" Target="https://mathsgenie.co.uk/a-level/maths/ocr/mei/mutually-exclusive-and-independent-events-notation" TargetMode="External" Id="rId133" /><Relationship Type="http://schemas.openxmlformats.org/officeDocument/2006/relationships/hyperlink" Target="https://assets.mathsgenie.co.uk/content/worksheets/a_level_maths/conditional-probability-71f81d84.pdf#page=4" TargetMode="External" Id="rId134" /><Relationship Type="http://schemas.openxmlformats.org/officeDocument/2006/relationships/hyperlink" Target="https://assets.mathsgenie.co.uk/content/worksheets/a_level_maths/conditional-probability-ans-0af1c10c.pdf" TargetMode="External" Id="rId135" /><Relationship Type="http://schemas.openxmlformats.org/officeDocument/2006/relationships/hyperlink" Target="https://pmt.physicsandmathstutor.com/download/Maths/A-level/Statistics/Probability-2/Edexcel-Set-A/Probability.pdf#page=2" TargetMode="External" Id="rId136" /><Relationship Type="http://schemas.openxmlformats.org/officeDocument/2006/relationships/hyperlink" Target="https://pmt.physicsandmathstutor.com/download/Maths/A-level/Statistics/Probability-2/OCR-MEI-Set-A/Probability%20%28Yr.%202%29.pdf#page=1" TargetMode="External" Id="rId137" /><Relationship Type="http://schemas.openxmlformats.org/officeDocument/2006/relationships/hyperlink" Target="https://pmt.physicsandmathstutor.com/download/Maths/A-level/Statistics/Probability-2/OCR-MEI-Set-A/Probability%20%28Yr.%202%29.pdf#page=5" TargetMode="External" Id="rId138" /><Relationship Type="http://schemas.openxmlformats.org/officeDocument/2006/relationships/hyperlink" Target="https://mathsgenie.co.uk/a-level/maths/ocr/mei/venn-diagrams-for-probabilities" TargetMode="External" Id="rId139" /><Relationship Type="http://schemas.openxmlformats.org/officeDocument/2006/relationships/hyperlink" Target="https://assets.mathsgenie.co.uk/content/worksheets/as_level_maths/as-stats-probability-fd510241.pdf#page=2" TargetMode="External" Id="rId140" /><Relationship Type="http://schemas.openxmlformats.org/officeDocument/2006/relationships/hyperlink" Target="https://assets.mathsgenie.co.uk/content/worksheets/as_level_maths/as-stats-probability-ans-3c1dbd4d.pdf" TargetMode="External" Id="rId141" /><Relationship Type="http://schemas.openxmlformats.org/officeDocument/2006/relationships/hyperlink" Target="https://pmt.physicsandmathstutor.com/download/Maths/A-level/Statistics/Probability-2/Edexcel-Set-A/Probability.pdf#page=2" TargetMode="External" Id="rId142" /><Relationship Type="http://schemas.openxmlformats.org/officeDocument/2006/relationships/hyperlink" Target="https://pmt.physicsandmathstutor.com/download/Maths/A-level/Statistics/Probability-2/OCR-MEI-Set-A/Probability%20%28Yr.%202%29.pdf#page=1" TargetMode="External" Id="rId143" /><Relationship Type="http://schemas.openxmlformats.org/officeDocument/2006/relationships/hyperlink" Target="https://pmt.physicsandmathstutor.com/download/Maths/A-level/Statistics/Probability-2/OCR-MEI-Set-A/Probability%20%28Yr.%202%29.pdf#page=5" TargetMode="External" Id="rId144" /><Relationship Type="http://schemas.openxmlformats.org/officeDocument/2006/relationships/hyperlink" Target="https://mathsgenie.co.uk/a-level/maths/ocr/mei/conditional-probabilities" TargetMode="External" Id="rId145" /><Relationship Type="http://schemas.openxmlformats.org/officeDocument/2006/relationships/hyperlink" Target="https://assets.mathsgenie.co.uk/content/worksheets/a_level_maths/conditional-probability-71f81d84.pdf#page=2" TargetMode="External" Id="rId146" /><Relationship Type="http://schemas.openxmlformats.org/officeDocument/2006/relationships/hyperlink" Target="https://assets.mathsgenie.co.uk/content/worksheets/a_level_maths/conditional-probability-ans-0af1c10c.pdf" TargetMode="External" Id="rId147" /><Relationship Type="http://schemas.openxmlformats.org/officeDocument/2006/relationships/hyperlink" Target="https://pmt.physicsandmathstutor.com/download/Maths/A-level/Statistics/Probability-2/Edexcel-Set-A/Probability.pdf#page=2" TargetMode="External" Id="rId148" /><Relationship Type="http://schemas.openxmlformats.org/officeDocument/2006/relationships/hyperlink" Target="https://pmt.physicsandmathstutor.com/download/Maths/A-level/Statistics/Probability-2/OCR-MEI-Set-A/Probability%20%28Yr.%202%29.pdf#page=1" TargetMode="External" Id="rId149" /><Relationship Type="http://schemas.openxmlformats.org/officeDocument/2006/relationships/hyperlink" Target="https://pmt.physicsandmathstutor.com/download/Maths/A-level/Statistics/Probability-2/OCR-MEI-Set-A/Probability%20%28Yr.%202%29.pdf#page=5" TargetMode="External" Id="rId150" /><Relationship Type="http://schemas.openxmlformats.org/officeDocument/2006/relationships/hyperlink" Target="https://mathsgenie.co.uk/a-level/maths/ocr/mei/independence-via-conditional-probability" TargetMode="External" Id="rId151" /><Relationship Type="http://schemas.openxmlformats.org/officeDocument/2006/relationships/hyperlink" Target="https://assets.mathsgenie.co.uk/content/worksheets/a_level_maths/conditional-probability-71f81d84.pdf#page=4" TargetMode="External" Id="rId152" /><Relationship Type="http://schemas.openxmlformats.org/officeDocument/2006/relationships/hyperlink" Target="https://assets.mathsgenie.co.uk/content/worksheets/a_level_maths/conditional-probability-ans-0af1c10c.pdf" TargetMode="External" Id="rId153" /><Relationship Type="http://schemas.openxmlformats.org/officeDocument/2006/relationships/hyperlink" Target="https://pmt.physicsandmathstutor.com/download/Maths/A-level/Statistics/Probability-2/Edexcel-Set-B/Conditional%20Probability.pdf#page=1" TargetMode="External" Id="rId154" /><Relationship Type="http://schemas.openxmlformats.org/officeDocument/2006/relationships/hyperlink" Target="https://pmt.physicsandmathstutor.com/download/Maths/A-level/Statistics/Probability-2/Edexcel-Set-B/MA/Conditional%20Probability%20MA.pdf" TargetMode="External" Id="rId155" /><Relationship Type="http://schemas.openxmlformats.org/officeDocument/2006/relationships/hyperlink" Target="https://pmt.physicsandmathstutor.com/download/Maths/A-level/Statistics/Probability-2/OCR-MEI-Set-A/Probability%20%28Yr.%202%29.pdf#page=1" TargetMode="External" Id="rId156" /><Relationship Type="http://schemas.openxmlformats.org/officeDocument/2006/relationships/hyperlink" Target="https://pmt.physicsandmathstutor.com/download/Maths/A-level/Statistics/Probability-2/OCR-MEI-Set-A/Probability%20%28Yr.%202%29.pdf#page=5" TargetMode="External" Id="rId157" /><Relationship Type="http://schemas.openxmlformats.org/officeDocument/2006/relationships/hyperlink" Target="https://mathsgenie.co.uk/a-level/maths/ocr/mei/recognise-binomial-situations" TargetMode="External" Id="rId158" /><Relationship Type="http://schemas.openxmlformats.org/officeDocument/2006/relationships/hyperlink" Target="https://assets.mathsgenie.co.uk/content/worksheets/as_level_maths/statistical-distributions-d05f8936.pdf#page=13" TargetMode="External" Id="rId159" /><Relationship Type="http://schemas.openxmlformats.org/officeDocument/2006/relationships/hyperlink" Target="https://assets.mathsgenie.co.uk/content/worksheets/as_level_maths/statistical-distributions-ans-7d8d4cbf.pdf" TargetMode="External" Id="rId160" /><Relationship Type="http://schemas.openxmlformats.org/officeDocument/2006/relationships/hyperlink" Target="https://pmt.physicsandmathstutor.com/download/Maths/A-level/Statistics/Statistical-Distributions-1/Edexcel-Set-A/Discrete%20distributions%20-%20Binomial.pdf#page=1" TargetMode="External" Id="rId161" /><Relationship Type="http://schemas.openxmlformats.org/officeDocument/2006/relationships/hyperlink" Target="https://pmt.physicsandmathstutor.com/download/Maths/A-level/Statistics/Hypothesis-Testing-1/OCR-MEI-Set-A/Hypothesis%20Testing%20for%20Binomial%20Probabilities.pdf#page=10" TargetMode="External" Id="rId162" /><Relationship Type="http://schemas.openxmlformats.org/officeDocument/2006/relationships/hyperlink" Target="https://pmt.physicsandmathstutor.com/download/Maths/A-level/Statistics/Hypothesis-Testing-1/OCR-MEI-Set-A/Hypothesis%20Testing%20for%20Binomial%20Probabilities.pdf#page=11" TargetMode="External" Id="rId163" /><Relationship Type="http://schemas.openxmlformats.org/officeDocument/2006/relationships/hyperlink" Target="https://mathsgenie.co.uk/a-level/maths/ocr/mei/probability-of-success-p" TargetMode="External" Id="rId164" /><Relationship Type="http://schemas.openxmlformats.org/officeDocument/2006/relationships/hyperlink" Target="https://assets.mathsgenie.co.uk/content/worksheets/as_level_maths/statistical-distributions-d05f8936.pdf#page=7" TargetMode="External" Id="rId165" /><Relationship Type="http://schemas.openxmlformats.org/officeDocument/2006/relationships/hyperlink" Target="https://assets.mathsgenie.co.uk/content/worksheets/as_level_maths/statistical-distributions-ans-7d8d4cbf.pdf" TargetMode="External" Id="rId166" /><Relationship Type="http://schemas.openxmlformats.org/officeDocument/2006/relationships/hyperlink" Target="https://pmt.physicsandmathstutor.com/download/Maths/A-level/Statistics/Statistical-Distributions-1/Edexcel-Set-A/Discrete%20distributions%20-%20Binomial.pdf#page=2" TargetMode="External" Id="rId167" /><Relationship Type="http://schemas.openxmlformats.org/officeDocument/2006/relationships/hyperlink" Target="https://pmt.physicsandmathstutor.com/download/Maths/A-level/Statistics/Hypothesis-Testing-1/OCR-MEI-Set-A/Hypothesis%20Testing%20for%20Binomial%20Probabilities.pdf#page=2" TargetMode="External" Id="rId168" /><Relationship Type="http://schemas.openxmlformats.org/officeDocument/2006/relationships/hyperlink" Target="https://pmt.physicsandmathstutor.com/download/Maths/A-level/Statistics/Hypothesis-Testing-1/OCR-MEI-Set-A/Hypothesis%20Testing%20for%20Binomial%20Probabilities.pdf#page=11" TargetMode="External" Id="rId169" /><Relationship Type="http://schemas.openxmlformats.org/officeDocument/2006/relationships/hyperlink" Target="https://mathsgenie.co.uk/a-level/maths/ocr/mei/calculate-binomial-probabilities" TargetMode="External" Id="rId170" /><Relationship Type="http://schemas.openxmlformats.org/officeDocument/2006/relationships/hyperlink" Target="https://assets.mathsgenie.co.uk/content/worksheets/as_level_maths/statistical-distributions-d05f8936.pdf#page=5" TargetMode="External" Id="rId171" /><Relationship Type="http://schemas.openxmlformats.org/officeDocument/2006/relationships/hyperlink" Target="https://assets.mathsgenie.co.uk/content/worksheets/as_level_maths/statistical-distributions-ans-7d8d4cbf.pdf" TargetMode="External" Id="rId172" /><Relationship Type="http://schemas.openxmlformats.org/officeDocument/2006/relationships/hyperlink" Target="https://pmt.physicsandmathstutor.com/download/Maths/A-level/Statistics/Statistical-Distributions-1/Edexcel-Set-A/Discrete%20distributions%20-%20Binomial.pdf#page=1" TargetMode="External" Id="rId173" /><Relationship Type="http://schemas.openxmlformats.org/officeDocument/2006/relationships/hyperlink" Target="https://pmt.physicsandmathstutor.com/download/Maths/A-level/Statistics/Statistical-Distributions-1/OCR-MEI-Set-A/Binomial%20Distribution.pdf#page=1" TargetMode="External" Id="rId174" /><Relationship Type="http://schemas.openxmlformats.org/officeDocument/2006/relationships/hyperlink" Target="https://pmt.physicsandmathstutor.com/download/Maths/A-level/Statistics/Statistical-Distributions-1/OCR-MEI-Set-A/Binomial%20Distribution.pdf#page=5" TargetMode="External" Id="rId175" /><Relationship Type="http://schemas.openxmlformats.org/officeDocument/2006/relationships/hyperlink" Target="https://mathsgenie.co.uk/a-level/maths/ocr/mei/mean-of-the-binomial-distribution" TargetMode="External" Id="rId176" /><Relationship Type="http://schemas.openxmlformats.org/officeDocument/2006/relationships/hyperlink" Target="https://pmt.physicsandmathstutor.com/download/Maths/A-level/Statistics/Statistical-Distributions-1/Edexcel-Set-A/Discrete%20distributions%20-%20Binomial.pdf#page=9" TargetMode="External" Id="rId177" /><Relationship Type="http://schemas.openxmlformats.org/officeDocument/2006/relationships/hyperlink" Target="https://pmt.physicsandmathstutor.com/download/Maths/A-level/Statistics/Hypothesis-Testing-1/OCR-MEI-Set-A/Hypothesis%20Testing%20for%20Binomial%20Probabilities.pdf#page=1" TargetMode="External" Id="rId178" /><Relationship Type="http://schemas.openxmlformats.org/officeDocument/2006/relationships/hyperlink" Target="https://pmt.physicsandmathstutor.com/download/Maths/A-level/Statistics/Hypothesis-Testing-1/OCR-MEI-Set-A/Hypothesis%20Testing%20for%20Binomial%20Probabilities.pdf#page=11" TargetMode="External" Id="rId179" /><Relationship Type="http://schemas.openxmlformats.org/officeDocument/2006/relationships/hyperlink" Target="https://mathsgenie.co.uk/a-level/maths/ocr/mei/expected-frequencies-for-binomial" TargetMode="External" Id="rId180" /><Relationship Type="http://schemas.openxmlformats.org/officeDocument/2006/relationships/hyperlink" Target="https://assets.mathsgenie.co.uk/content/worksheets/as_level_maths/statistical-distributions-d05f8936.pdf#page=15" TargetMode="External" Id="rId181" /><Relationship Type="http://schemas.openxmlformats.org/officeDocument/2006/relationships/hyperlink" Target="https://assets.mathsgenie.co.uk/content/worksheets/as_level_maths/statistical-distributions-ans-7d8d4cbf.pdf" TargetMode="External" Id="rId182" /><Relationship Type="http://schemas.openxmlformats.org/officeDocument/2006/relationships/hyperlink" Target="https://pmt.physicsandmathstutor.com/download/Maths/A-level/Statistics/Statistical-Distributions-1/Edexcel-Set-B/Discrete%20Distributions%20-%20Binomial.pdf#page=3" TargetMode="External" Id="rId183" /><Relationship Type="http://schemas.openxmlformats.org/officeDocument/2006/relationships/hyperlink" Target="https://pmt.physicsandmathstutor.com/download/Maths/A-level/Statistics/Statistical-Distributions-1/Edexcel-Set-B/MA/Discrete%20Distributions%20-%20Binomial%20MA.pdf" TargetMode="External" Id="rId184" /><Relationship Type="http://schemas.openxmlformats.org/officeDocument/2006/relationships/hyperlink" Target="https://pmt.physicsandmathstutor.com/download/Maths/A-level/Statistics/Hypothesis-Testing-1/OCR-MEI-Set-A/Hypothesis%20Testing%20for%20Binomial%20Probabilities.pdf#page=10" TargetMode="External" Id="rId185" /><Relationship Type="http://schemas.openxmlformats.org/officeDocument/2006/relationships/hyperlink" Target="https://pmt.physicsandmathstutor.com/download/Maths/A-level/Statistics/Hypothesis-Testing-1/OCR-MEI-Set-A/Hypothesis%20Testing%20for%20Binomial%20Probabilities.pdf#page=11" TargetMode="External" Id="rId186" /><Relationship Type="http://schemas.openxmlformats.org/officeDocument/2006/relationships/hyperlink" Target="https://mathsgenie.co.uk/a-level/maths/ocr/mei/probability-functions-and-discrete-random-variables" TargetMode="External" Id="rId187" /><Relationship Type="http://schemas.openxmlformats.org/officeDocument/2006/relationships/hyperlink" Target="https://assets.mathsgenie.co.uk/content/worksheets/as_level_maths/statistical-distributions-d05f8936.pdf#page=1" TargetMode="External" Id="rId188" /><Relationship Type="http://schemas.openxmlformats.org/officeDocument/2006/relationships/hyperlink" Target="https://assets.mathsgenie.co.uk/content/worksheets/as_level_maths/statistical-distributions-ans-7d8d4cbf.pdf" TargetMode="External" Id="rId189" /><Relationship Type="http://schemas.openxmlformats.org/officeDocument/2006/relationships/hyperlink" Target="https://pmt.physicsandmathstutor.com/download/Maths/A-level/Statistics/Probability-1/Edexcel-Set-B/Probability.pdf#page=3" TargetMode="External" Id="rId190" /><Relationship Type="http://schemas.openxmlformats.org/officeDocument/2006/relationships/hyperlink" Target="https://pmt.physicsandmathstutor.com/download/Maths/A-level/Statistics/Probability-1/Edexcel-Set-B/MA/Probability%20MA.pdf" TargetMode="External" Id="rId191" /><Relationship Type="http://schemas.openxmlformats.org/officeDocument/2006/relationships/hyperlink" Target="https://pmt.physicsandmathstutor.com/download/Maths/A-level/Statistics/Statistical-Distributions-1/OCR-MEI-Set-A/Discrete%20Probability%20Distributions.pdf#page=1" TargetMode="External" Id="rId192" /><Relationship Type="http://schemas.openxmlformats.org/officeDocument/2006/relationships/hyperlink" Target="https://pmt.physicsandmathstutor.com/download/Maths/A-level/Statistics/Statistical-Distributions-1/OCR-MEI-Set-A/Discrete%20Probability%20Distributions.pdf#page=3" TargetMode="External" Id="rId193" /><Relationship Type="http://schemas.openxmlformats.org/officeDocument/2006/relationships/hyperlink" Target="https://mathsgenie.co.uk/a-level/maths/ocr/mei/numerical-probabilities-for-a-simple-distribution" TargetMode="External" Id="rId194" /><Relationship Type="http://schemas.openxmlformats.org/officeDocument/2006/relationships/hyperlink" Target="https://assets.mathsgenie.co.uk/content/worksheets/as_level_maths/statistical-distributions-d05f8936.pdf#page=3" TargetMode="External" Id="rId195" /><Relationship Type="http://schemas.openxmlformats.org/officeDocument/2006/relationships/hyperlink" Target="https://assets.mathsgenie.co.uk/content/worksheets/as_level_maths/statistical-distributions-ans-7d8d4cbf.pdf" TargetMode="External" Id="rId196" /><Relationship Type="http://schemas.openxmlformats.org/officeDocument/2006/relationships/hyperlink" Target="https://pmt.physicsandmathstutor.com/download/Maths/A-level/Statistics/Probability-1/Edexcel-Set-B/Probability.pdf#page=3" TargetMode="External" Id="rId197" /><Relationship Type="http://schemas.openxmlformats.org/officeDocument/2006/relationships/hyperlink" Target="https://pmt.physicsandmathstutor.com/download/Maths/A-level/Statistics/Probability-1/Edexcel-Set-B/MA/Probability%20MA.pdf" TargetMode="External" Id="rId198" /><Relationship Type="http://schemas.openxmlformats.org/officeDocument/2006/relationships/hyperlink" Target="https://pmt.physicsandmathstutor.com/download/Maths/A-level/Statistics/Statistical-Distributions-1/OCR-MEI-Set-A/Discrete%20Probability%20Distributions.pdf#page=1" TargetMode="External" Id="rId199" /><Relationship Type="http://schemas.openxmlformats.org/officeDocument/2006/relationships/hyperlink" Target="https://pmt.physicsandmathstutor.com/download/Maths/A-level/Statistics/Statistical-Distributions-1/OCR-MEI-Set-A/Discrete%20Probability%20Distributions.pdf#page=3" TargetMode="External" Id="rId200" /><Relationship Type="http://schemas.openxmlformats.org/officeDocument/2006/relationships/hyperlink" Target="https://mathsgenie.co.uk/a-level/maths/ocr/mei/normal-distribution-as-a-model" TargetMode="External" Id="rId201" /><Relationship Type="http://schemas.openxmlformats.org/officeDocument/2006/relationships/hyperlink" Target="https://pmt.physicsandmathstutor.com/download/Maths/A-level/Statistics/Statistical-Distributions-2/Edexcel-Set-B/Normal%20Distribution.pdf#page=2" TargetMode="External" Id="rId202" /><Relationship Type="http://schemas.openxmlformats.org/officeDocument/2006/relationships/hyperlink" Target="https://pmt.physicsandmathstutor.com/download/Maths/A-level/Statistics/Statistical-Distributions-2/Edexcel-Set-B/MA/Normal%20Distribution%20MA.pdf" TargetMode="External" Id="rId203" /><Relationship Type="http://schemas.openxmlformats.org/officeDocument/2006/relationships/hyperlink" Target="https://pmt.physicsandmathstutor.com/download/Maths/A-level/Statistics/Hypothesis-Testing-2/OCR-MEI-Set-A/Hypothesis%20Testing%20for%20Normal%20Mean.pdf#page=1" TargetMode="External" Id="rId204" /><Relationship Type="http://schemas.openxmlformats.org/officeDocument/2006/relationships/hyperlink" Target="https://pmt.physicsandmathstutor.com/download/Maths/A-level/Statistics/Hypothesis-Testing-2/OCR-MEI-Set-A/Hypothesis%20Testing%20for%20Normal%20Mean.pdf#page=7" TargetMode="External" Id="rId205" /><Relationship Type="http://schemas.openxmlformats.org/officeDocument/2006/relationships/hyperlink" Target="https://mathsgenie.co.uk/a-level/maths/ocr/mei/shape-of-the-normal-curve" TargetMode="External" Id="rId206" /><Relationship Type="http://schemas.openxmlformats.org/officeDocument/2006/relationships/hyperlink" Target="https://pmt.physicsandmathstutor.com/download/Maths/A-level/Statistics/Statistical-Distributions-2/Edexcel-Set-A/Normal%20distribution.pdf#page=1" TargetMode="External" Id="rId207" /><Relationship Type="http://schemas.openxmlformats.org/officeDocument/2006/relationships/hyperlink" Target="https://pmt.physicsandmathstutor.com/download/Maths/A-level/Statistics/Statistical-Distributions-2/OCR-MEI-Set-A/Normal%20Distribution.pdf#page=3" TargetMode="External" Id="rId208" /><Relationship Type="http://schemas.openxmlformats.org/officeDocument/2006/relationships/hyperlink" Target="https://pmt.physicsandmathstutor.com/download/Maths/A-level/Statistics/Statistical-Distributions-2/OCR-MEI-Set-A/Normal%20Distribution.pdf#page=8" TargetMode="External" Id="rId209" /><Relationship Type="http://schemas.openxmlformats.org/officeDocument/2006/relationships/hyperlink" Target="https://mathsgenie.co.uk/a-level/maths/ocr/mei/linear-transformation-and-standardising" TargetMode="External" Id="rId210" /><Relationship Type="http://schemas.openxmlformats.org/officeDocument/2006/relationships/hyperlink" Target="https://assets.mathsgenie.co.uk/content/worksheets/a_level_maths/the-normal-distribution-7b1fc0c3.pdf#page=3" TargetMode="External" Id="rId211" /><Relationship Type="http://schemas.openxmlformats.org/officeDocument/2006/relationships/hyperlink" Target="https://assets.mathsgenie.co.uk/content/worksheets/a_level_maths/the-normal-distribution-ans-02388df7.pdf" TargetMode="External" Id="rId212" /><Relationship Type="http://schemas.openxmlformats.org/officeDocument/2006/relationships/hyperlink" Target="https://pmt.physicsandmathstutor.com/download/Maths/A-level/Statistics/Statistical-Distributions-2/Edexcel-Set-A/Normal%20distribution.pdf#page=1" TargetMode="External" Id="rId213" /><Relationship Type="http://schemas.openxmlformats.org/officeDocument/2006/relationships/hyperlink" Target="https://pmt.physicsandmathstutor.com/download/Maths/A-level/Statistics/Statistical-Distributions-2/OCR-MEI-Set-A/Normal%20Distribution.pdf#page=1" TargetMode="External" Id="rId214" /><Relationship Type="http://schemas.openxmlformats.org/officeDocument/2006/relationships/hyperlink" Target="https://pmt.physicsandmathstutor.com/download/Maths/A-level/Statistics/Statistical-Distributions-2/OCR-MEI-Set-A/Normal%20Distribution.pdf#page=8" TargetMode="External" Id="rId215" /><Relationship Type="http://schemas.openxmlformats.org/officeDocument/2006/relationships/hyperlink" Target="https://mathsgenie.co.uk/a-level/maths/ocr/mei/symmetry-and-inflection-of-normal-curve" TargetMode="External" Id="rId216" /><Relationship Type="http://schemas.openxmlformats.org/officeDocument/2006/relationships/hyperlink" Target="https://pmt.physicsandmathstutor.com/download/Maths/A-level/Statistics/Statistical-Distributions-2/Edexcel-Set-A/Normal%20distribution.pdf#page=2" TargetMode="External" Id="rId217" /><Relationship Type="http://schemas.openxmlformats.org/officeDocument/2006/relationships/hyperlink" Target="https://pmt.physicsandmathstutor.com/download/Maths/A-level/Statistics/Statistical-Distributions-2/OCR-MEI-Set-A/Normal%20Distribution.pdf#page=3" TargetMode="External" Id="rId218" /><Relationship Type="http://schemas.openxmlformats.org/officeDocument/2006/relationships/hyperlink" Target="https://pmt.physicsandmathstutor.com/download/Maths/A-level/Statistics/Statistical-Distributions-2/OCR-MEI-Set-A/Normal%20Distribution.pdf#page=8" TargetMode="External" Id="rId219" /><Relationship Type="http://schemas.openxmlformats.org/officeDocument/2006/relationships/hyperlink" Target="https://mathsgenie.co.uk/a-level/maths/ocr/mei/calculate-probabilities-from-a-normal-distribution" TargetMode="External" Id="rId220" /><Relationship Type="http://schemas.openxmlformats.org/officeDocument/2006/relationships/hyperlink" Target="https://assets.mathsgenie.co.uk/content/worksheets/a_level_maths/the-normal-distribution-7b1fc0c3.pdf#page=1" TargetMode="External" Id="rId221" /><Relationship Type="http://schemas.openxmlformats.org/officeDocument/2006/relationships/hyperlink" Target="https://assets.mathsgenie.co.uk/content/worksheets/a_level_maths/the-normal-distribution-ans-02388df7.pdf" TargetMode="External" Id="rId222" /><Relationship Type="http://schemas.openxmlformats.org/officeDocument/2006/relationships/hyperlink" Target="https://pmt.physicsandmathstutor.com/download/Maths/A-level/Statistics/Statistical-Distributions-2/Edexcel-Set-A/Normal%20distribution.pdf#page=1" TargetMode="External" Id="rId223" /><Relationship Type="http://schemas.openxmlformats.org/officeDocument/2006/relationships/hyperlink" Target="https://pmt.physicsandmathstutor.com/download/Maths/A-level/Statistics/Statistical-Distributions-2/OCR-MEI-Set-A/Normal%20Distribution.pdf#page=1" TargetMode="External" Id="rId224" /><Relationship Type="http://schemas.openxmlformats.org/officeDocument/2006/relationships/hyperlink" Target="https://pmt.physicsandmathstutor.com/download/Maths/A-level/Statistics/Statistical-Distributions-2/OCR-MEI-Set-A/Normal%20Distribution.pdf#page=8" TargetMode="External" Id="rId225" /><Relationship Type="http://schemas.openxmlformats.org/officeDocument/2006/relationships/hyperlink" Target="https://mathsgenie.co.uk/a-level/maths/ocr/mei/model-with-probability-distributions" TargetMode="External" Id="rId226" /><Relationship Type="http://schemas.openxmlformats.org/officeDocument/2006/relationships/hyperlink" Target="https://assets.mathsgenie.co.uk/content/worksheets/as_level_maths/statistical-distributions-d05f8936.pdf#page=13" TargetMode="External" Id="rId227" /><Relationship Type="http://schemas.openxmlformats.org/officeDocument/2006/relationships/hyperlink" Target="https://assets.mathsgenie.co.uk/content/worksheets/as_level_maths/statistical-distributions-ans-7d8d4cbf.pdf" TargetMode="External" Id="rId228" /><Relationship Type="http://schemas.openxmlformats.org/officeDocument/2006/relationships/hyperlink" Target="https://pmt.physicsandmathstutor.com/download/Maths/A-level/Statistics/Statistical-Distributions-1/Edexcel-Set-B/Discrete%20Distributions%20-%20Binomial.pdf#page=1" TargetMode="External" Id="rId229" /><Relationship Type="http://schemas.openxmlformats.org/officeDocument/2006/relationships/hyperlink" Target="https://pmt.physicsandmathstutor.com/download/Maths/A-level/Statistics/Statistical-Distributions-1/Edexcel-Set-B/MA/Discrete%20Distributions%20-%20Binomial%20MA.pdf" TargetMode="External" Id="rId230" /><Relationship Type="http://schemas.openxmlformats.org/officeDocument/2006/relationships/hyperlink" Target="https://pmt.physicsandmathstutor.com/download/Maths/A-level/Statistics/Statistical-Distributions-2/OCR-MEI-Set-A/Normal%20Distribution.pdf#page=7" TargetMode="External" Id="rId231" /><Relationship Type="http://schemas.openxmlformats.org/officeDocument/2006/relationships/hyperlink" Target="https://pmt.physicsandmathstutor.com/download/Maths/A-level/Statistics/Statistical-Distributions-2/OCR-MEI-Set-A/Normal%20Distribution.pdf#page=8" TargetMode="External" Id="rId232" /><Relationship Type="http://schemas.openxmlformats.org/officeDocument/2006/relationships/hyperlink" Target="https://mathsgenie.co.uk/a-level/maths/ocr/mei/process-and-language-of-hypothesis-testing" TargetMode="External" Id="rId233" /><Relationship Type="http://schemas.openxmlformats.org/officeDocument/2006/relationships/hyperlink" Target="https://assets.mathsgenie.co.uk/content/worksheets/as_level_maths/as-stats-binomial-hypothesis-testing-193c0b37.pdf#page=10" TargetMode="External" Id="rId234" /><Relationship Type="http://schemas.openxmlformats.org/officeDocument/2006/relationships/hyperlink" Target="https://assets.mathsgenie.co.uk/content/worksheets/as_level_maths/hypothesis-testing-ans-40e50518.pdf" TargetMode="External" Id="rId235" /><Relationship Type="http://schemas.openxmlformats.org/officeDocument/2006/relationships/hyperlink" Target="https://pmt.physicsandmathstutor.com/download/Maths/A-level/Statistics/Hypothesis-Testing-1/Edexcel-Set-B/Hypothesis%20Testing%20-%20Tests%20on%20Binomial.pdf#page=1" TargetMode="External" Id="rId236" /><Relationship Type="http://schemas.openxmlformats.org/officeDocument/2006/relationships/hyperlink" Target="https://pmt.physicsandmathstutor.com/download/Maths/A-level/Statistics/Hypothesis-Testing-1/Edexcel-Set-B/MA/Hypothesis%20Testing%20-%20Tests%20on%20Binomial%20MA.pdf" TargetMode="External" Id="rId237" /><Relationship Type="http://schemas.openxmlformats.org/officeDocument/2006/relationships/hyperlink" Target="https://pmt.physicsandmathstutor.com/download/Maths/A-level/Statistics/Hypothesis-Testing-1/OCR-MEI-Set-A/Hypothesis%20Testing%20for%20Binomial%20Probabilities.pdf#page=2" TargetMode="External" Id="rId238" /><Relationship Type="http://schemas.openxmlformats.org/officeDocument/2006/relationships/hyperlink" Target="https://pmt.physicsandmathstutor.com/download/Maths/A-level/Statistics/Hypothesis-Testing-1/OCR-MEI-Set-A/Hypothesis%20Testing%20for%20Binomial%20Probabilities.pdf#page=11" TargetMode="External" Id="rId239" /><Relationship Type="http://schemas.openxmlformats.org/officeDocument/2006/relationships/hyperlink" Target="https://mathsgenie.co.uk/a-level/maths/ocr/mei/when-to-apply-1-tail-and-2-tail-tests" TargetMode="External" Id="rId240" /><Relationship Type="http://schemas.openxmlformats.org/officeDocument/2006/relationships/hyperlink" Target="https://assets.mathsgenie.co.uk/content/worksheets/a_level_maths/a-level-statistics-3-the-normal-distribution-medium-bda5b18d.pdf#page=6" TargetMode="External" Id="rId241" /><Relationship Type="http://schemas.openxmlformats.org/officeDocument/2006/relationships/hyperlink" Target="https://assets.mathsgenie.co.uk/content/worksheets/a_level_maths/a-level-statistics-3-the-normal-distribution-medium-ans-f167fb26.pdf" TargetMode="External" Id="rId242" /><Relationship Type="http://schemas.openxmlformats.org/officeDocument/2006/relationships/hyperlink" Target="https://pmt.physicsandmathstutor.com/download/Maths/A-level/Statistics/Hypothesis-Testing-1/OCR-MEI-Set-A/Hypothesis%20Testing%20for%20Binomial%20Probabilities.pdf#page=1" TargetMode="External" Id="rId243" /><Relationship Type="http://schemas.openxmlformats.org/officeDocument/2006/relationships/hyperlink" Target="https://pmt.physicsandmathstutor.com/download/Maths/A-level/Statistics/Hypothesis-Testing-1/OCR-MEI-Set-A/Hypothesis%20Testing%20for%20Binomial%20Probabilities.pdf#page=11" TargetMode="External" Id="rId244" /><Relationship Type="http://schemas.openxmlformats.org/officeDocument/2006/relationships/hyperlink" Target="https://mathsgenie.co.uk/a-level/maths/ocr/mei/significance-level-and-incorrect-rejection" TargetMode="External" Id="rId245" /><Relationship Type="http://schemas.openxmlformats.org/officeDocument/2006/relationships/hyperlink" Target="https://assets.mathsgenie.co.uk/content/worksheets/as_level_maths/as-stats-binomial-hypothesis-testing-193c0b37.pdf#page=10" TargetMode="External" Id="rId246" /><Relationship Type="http://schemas.openxmlformats.org/officeDocument/2006/relationships/hyperlink" Target="https://assets.mathsgenie.co.uk/content/worksheets/as_level_maths/hypothesis-testing-ans-40e50518.pdf" TargetMode="External" Id="rId247" /><Relationship Type="http://schemas.openxmlformats.org/officeDocument/2006/relationships/hyperlink" Target="https://pmt.physicsandmathstutor.com/download/Maths/A-level/Statistics/Hypothesis-Testing-1/Edexcel-Set-C/QP/Hypothesis%20Testing%20-%20Tests%20on%20Binomial%20QP.pdf#page=2" TargetMode="External" Id="rId248" /><Relationship Type="http://schemas.openxmlformats.org/officeDocument/2006/relationships/hyperlink" Target="https://pmt.physicsandmathstutor.com/download/Maths/A-level/Statistics/Hypothesis-Testing-1/Edexcel-Set-C/MS/Hypothesis%20Testing%20-%20Tests%20on%20Binomial%20MS.pdf" TargetMode="External" Id="rId249" /><Relationship Type="http://schemas.openxmlformats.org/officeDocument/2006/relationships/hyperlink" Target="https://pmt.physicsandmathstutor.com/download/Maths/A-level/Statistics/Hypothesis-Testing-1/Edexcel-Set-C/MA/Hypothesis%20Testing%20-%20Tests%20on%20Binomial%20MA.pdf" TargetMode="External" Id="rId250" /><Relationship Type="http://schemas.openxmlformats.org/officeDocument/2006/relationships/hyperlink" Target="https://pmt.physicsandmathstutor.com/download/Maths/A-level/Statistics/Statistical-Distributions-2/OCR-MEI-Set-A/Normal%20Distribution.pdf#page=2" TargetMode="External" Id="rId251" /><Relationship Type="http://schemas.openxmlformats.org/officeDocument/2006/relationships/hyperlink" Target="https://pmt.physicsandmathstutor.com/download/Maths/A-level/Statistics/Statistical-Distributions-2/OCR-MEI-Set-A/Normal%20Distribution.pdf#page=8" TargetMode="External" Id="rId252" /><Relationship Type="http://schemas.openxmlformats.org/officeDocument/2006/relationships/hyperlink" Target="https://mathsgenie.co.uk/a-level/maths/ocr/mei/null-and-alternative-hypotheses-binomial" TargetMode="External" Id="rId253" /><Relationship Type="http://schemas.openxmlformats.org/officeDocument/2006/relationships/hyperlink" Target="https://assets.mathsgenie.co.uk/content/worksheets/a_level_maths/as-statistics-7-hypothesis-testing-medium-5001c953.pdf#page=3" TargetMode="External" Id="rId254" /><Relationship Type="http://schemas.openxmlformats.org/officeDocument/2006/relationships/hyperlink" Target="https://assets.mathsgenie.co.uk/content/worksheets/a_level_maths/as-statistics-7-hypothesis-testing-medium-ans-6633e1c7.pdf" TargetMode="External" Id="rId255" /><Relationship Type="http://schemas.openxmlformats.org/officeDocument/2006/relationships/hyperlink" Target="https://pmt.physicsandmathstutor.com/download/Maths/A-level/Statistics/Hypothesis-Testing-1/Edexcel-Set-C/QP/Hypothesis%20Testing%20-%20Tests%20on%20Binomial%20QP.pdf#page=2" TargetMode="External" Id="rId256" /><Relationship Type="http://schemas.openxmlformats.org/officeDocument/2006/relationships/hyperlink" Target="https://pmt.physicsandmathstutor.com/download/Maths/A-level/Statistics/Hypothesis-Testing-1/Edexcel-Set-C/MS/Hypothesis%20Testing%20-%20Tests%20on%20Binomial%20MS.pdf" TargetMode="External" Id="rId257" /><Relationship Type="http://schemas.openxmlformats.org/officeDocument/2006/relationships/hyperlink" Target="https://pmt.physicsandmathstutor.com/download/Maths/A-level/Statistics/Hypothesis-Testing-1/Edexcel-Set-C/MA/Hypothesis%20Testing%20-%20Tests%20on%20Binomial%20MA.pdf" TargetMode="External" Id="rId258" /><Relationship Type="http://schemas.openxmlformats.org/officeDocument/2006/relationships/hyperlink" Target="https://pmt.physicsandmathstutor.com/download/Maths/A-level/Statistics/Hypothesis-Testing-1/OCR-MEI-Set-A/Hypothesis%20Testing%20for%20Binomial%20Probabilities.pdf#page=2" TargetMode="External" Id="rId259" /><Relationship Type="http://schemas.openxmlformats.org/officeDocument/2006/relationships/hyperlink" Target="https://pmt.physicsandmathstutor.com/download/Maths/A-level/Statistics/Hypothesis-Testing-1/OCR-MEI-Set-A/Hypothesis%20Testing%20for%20Binomial%20Probabilities.pdf#page=11" TargetMode="External" Id="rId260" /><Relationship Type="http://schemas.openxmlformats.org/officeDocument/2006/relationships/hyperlink" Target="https://mathsgenie.co.uk/a-level/maths/ocr/mei/conduct-a-binomial-hypothesis-test" TargetMode="External" Id="rId261" /><Relationship Type="http://schemas.openxmlformats.org/officeDocument/2006/relationships/hyperlink" Target="https://assets.mathsgenie.co.uk/content/worksheets/as_level_maths/as-stats-binomial-hypothesis-testing-193c0b37.pdf#page=3" TargetMode="External" Id="rId262" /><Relationship Type="http://schemas.openxmlformats.org/officeDocument/2006/relationships/hyperlink" Target="https://assets.mathsgenie.co.uk/content/worksheets/as_level_maths/hypothesis-testing-ans-40e50518.pdf" TargetMode="External" Id="rId263" /><Relationship Type="http://schemas.openxmlformats.org/officeDocument/2006/relationships/hyperlink" Target="https://pmt.physicsandmathstutor.com/download/Maths/A-level/Statistics/Hypothesis-Testing-1/Edexcel-Set-A/Hypothesis%20tests%20-%20Tests%20on%20binomial.pdf#page=1" TargetMode="External" Id="rId264" /><Relationship Type="http://schemas.openxmlformats.org/officeDocument/2006/relationships/hyperlink" Target="https://pmt.physicsandmathstutor.com/download/Maths/A-level/Statistics/Hypothesis-Testing-1/OCR-MEI-Set-A/Hypothesis%20Testing%20for%20Binomial%20Probabilities.pdf#page=1" TargetMode="External" Id="rId265" /><Relationship Type="http://schemas.openxmlformats.org/officeDocument/2006/relationships/hyperlink" Target="https://pmt.physicsandmathstutor.com/download/Maths/A-level/Statistics/Hypothesis-Testing-1/OCR-MEI-Set-A/Hypothesis%20Testing%20for%20Binomial%20Probabilities.pdf#page=11" TargetMode="External" Id="rId266" /><Relationship Type="http://schemas.openxmlformats.org/officeDocument/2006/relationships/hyperlink" Target="https://mathsgenie.co.uk/a-level/maths/ocr/mei/critical-and-acceptance-regions-binomial" TargetMode="External" Id="rId267" /><Relationship Type="http://schemas.openxmlformats.org/officeDocument/2006/relationships/hyperlink" Target="https://assets.mathsgenie.co.uk/content/worksheets/as_level_maths/as-stats-binomial-hypothesis-testing-193c0b37.pdf#page=10" TargetMode="External" Id="rId268" /><Relationship Type="http://schemas.openxmlformats.org/officeDocument/2006/relationships/hyperlink" Target="https://assets.mathsgenie.co.uk/content/worksheets/as_level_maths/hypothesis-testing-ans-40e50518.pdf" TargetMode="External" Id="rId269" /><Relationship Type="http://schemas.openxmlformats.org/officeDocument/2006/relationships/hyperlink" Target="https://pmt.physicsandmathstutor.com/download/Maths/A-level/Statistics/Hypothesis-Testing-1/Edexcel-Set-A/Hypothesis%20tests%20-%20Tests%20on%20binomial.pdf#page=1" TargetMode="External" Id="rId270" /><Relationship Type="http://schemas.openxmlformats.org/officeDocument/2006/relationships/hyperlink" Target="https://pmt.physicsandmathstutor.com/download/Maths/A-level/Statistics/Hypothesis-Testing-1/OCR-MEI-Set-A/Hypothesis%20Testing%20for%20Binomial%20Probabilities.pdf#page=3" TargetMode="External" Id="rId271" /><Relationship Type="http://schemas.openxmlformats.org/officeDocument/2006/relationships/hyperlink" Target="https://pmt.physicsandmathstutor.com/download/Maths/A-level/Statistics/Hypothesis-Testing-1/OCR-MEI-Set-A/Hypothesis%20Testing%20for%20Binomial%20Probabilities.pdf#page=11" TargetMode="External" Id="rId272" /><Relationship Type="http://schemas.openxmlformats.org/officeDocument/2006/relationships/hyperlink" Target="https://mathsgenie.co.uk/a-level/maths/ocr/mei/distribution-of-the-sample-mean" TargetMode="External" Id="rId273" /><Relationship Type="http://schemas.openxmlformats.org/officeDocument/2006/relationships/hyperlink" Target="https://pmt.physicsandmathstutor.com/download/Maths/A-level/Statistics/Statistical-Sampling-1/Edexcel-Set-A/Sampling%20methods%202.pdf#page=2" TargetMode="External" Id="rId274" /><Relationship Type="http://schemas.openxmlformats.org/officeDocument/2006/relationships/hyperlink" Target="https://mathsgenie.co.uk/a-level/maths/ocr/mei/hypothesis-test-for-a-single-mean" TargetMode="External" Id="rId275" /><Relationship Type="http://schemas.openxmlformats.org/officeDocument/2006/relationships/hyperlink" Target="https://assets.mathsgenie.co.uk/content/worksheets/a_level_maths/the-normal-distribution-7b1fc0c3.pdf#page=6" TargetMode="External" Id="rId276" /><Relationship Type="http://schemas.openxmlformats.org/officeDocument/2006/relationships/hyperlink" Target="https://assets.mathsgenie.co.uk/content/worksheets/a_level_maths/the-normal-distribution-ans-02388df7.pdf" TargetMode="External" Id="rId277" /><Relationship Type="http://schemas.openxmlformats.org/officeDocument/2006/relationships/hyperlink" Target="https://pmt.physicsandmathstutor.com/download/Maths/A-level/Statistics/Statistical-Distributions-2/Edexcel-Set-B/Normal%20Distribution.pdf#page=1" TargetMode="External" Id="rId278" /><Relationship Type="http://schemas.openxmlformats.org/officeDocument/2006/relationships/hyperlink" Target="https://pmt.physicsandmathstutor.com/download/Maths/A-level/Statistics/Statistical-Distributions-2/Edexcel-Set-B/MA/Normal%20Distribution%20MA.pdf" TargetMode="External" Id="rId279" /><Relationship Type="http://schemas.openxmlformats.org/officeDocument/2006/relationships/hyperlink" Target="https://pmt.physicsandmathstutor.com/download/Maths/A-level/Statistics/Hypothesis-Testing-2/OCR-MEI-Set-A/Hypothesis%20Testing%20for%20Normal%20Mean.pdf#page=2" TargetMode="External" Id="rId280" /><Relationship Type="http://schemas.openxmlformats.org/officeDocument/2006/relationships/hyperlink" Target="https://pmt.physicsandmathstutor.com/download/Maths/A-level/Statistics/Hypothesis-Testing-2/OCR-MEI-Set-A/Hypothesis%20Testing%20for%20Normal%20Mean.pdf#page=7" TargetMode="External" Id="rId281" /><Relationship Type="http://schemas.openxmlformats.org/officeDocument/2006/relationships/hyperlink" Target="https://mathsgenie.co.uk/a-level/maths/ocr/mei/critical-and-acceptance-regions-mean" TargetMode="External" Id="rId282" /><Relationship Type="http://schemas.openxmlformats.org/officeDocument/2006/relationships/hyperlink" Target="https://pmt.physicsandmathstutor.com/download/Maths/A-level/Statistics/Hypothesis-Testing-2/OCR-MEI-Set-A/Hypothesis%20Testing%20for%20Normal%20Mean.pdf#page=5" TargetMode="External" Id="rId283" /><Relationship Type="http://schemas.openxmlformats.org/officeDocument/2006/relationships/hyperlink" Target="https://pmt.physicsandmathstutor.com/download/Maths/A-level/Statistics/Hypothesis-Testing-2/OCR-MEI-Set-A/Hypothesis%20Testing%20for%20Normal%20Mean.pdf#page=7" TargetMode="External" Id="rId284" /><Relationship Type="http://schemas.openxmlformats.org/officeDocument/2006/relationships/hyperlink" Target="https://mathsgenie.co.uk/a-level/maths/ocr/mei/correlation-as-closeness-to-a-straight-line" TargetMode="External" Id="rId285" /><Relationship Type="http://schemas.openxmlformats.org/officeDocument/2006/relationships/hyperlink" Target="https://assets.mathsgenie.co.uk/content/worksheets/a_level_maths/regression-correlation-and-hypothesis-testing-955d4f0c.pdf#page=2" TargetMode="External" Id="rId286" /><Relationship Type="http://schemas.openxmlformats.org/officeDocument/2006/relationships/hyperlink" Target="https://assets.mathsgenie.co.uk/content/worksheets/a_level_maths/regression-correlation-and-hypothesis-testing-ans-c55c04e4.pdf" TargetMode="External" Id="rId287" /><Relationship Type="http://schemas.openxmlformats.org/officeDocument/2006/relationships/hyperlink" Target="https://pmt.physicsandmathstutor.com/download/Maths/A-level/Statistics/Hypothesis-Testing-2/Edexcel-Set-B/Regression%2C%20Correlation%20and%20Hypothesis%20Testing.pdf#page=1" TargetMode="External" Id="rId288" /><Relationship Type="http://schemas.openxmlformats.org/officeDocument/2006/relationships/hyperlink" Target="https://pmt.physicsandmathstutor.com/download/Maths/A-level/Statistics/Hypothesis-Testing-2/Edexcel-Set-B/MA/Regression%2C%20Correlation%20and%20Hypothesis%20Testing%20MA.pdf" TargetMode="External" Id="rId289" /><Relationship Type="http://schemas.openxmlformats.org/officeDocument/2006/relationships/hyperlink" Target="https://pmt.physicsandmathstutor.com/download/Maths/A-level/Statistics/Hypothesis-Testing-2/OCR-MEI-Set-A/Hypothesis%20Testing%20for%20Correlation%20and%20Association.pdf#page=1" TargetMode="External" Id="rId290" /><Relationship Type="http://schemas.openxmlformats.org/officeDocument/2006/relationships/hyperlink" Target="https://pmt.physicsandmathstutor.com/download/Maths/A-level/Statistics/Hypothesis-Testing-2/OCR-MEI-Set-A/Hypothesis%20Testing%20for%20Correlation%20and%20Association.pdf#page=6" TargetMode="External" Id="rId291" /><Relationship Type="http://schemas.openxmlformats.org/officeDocument/2006/relationships/hyperlink" Target="https://mathsgenie.co.uk/a-level/maths/ocr/mei/inference-using-a-correlation-coefficient" TargetMode="External" Id="rId292" /><Relationship Type="http://schemas.openxmlformats.org/officeDocument/2006/relationships/hyperlink" Target="https://assets.mathsgenie.co.uk/content/worksheets/a_level_maths/regression-correlation-and-hypothesis-testing-955d4f0c.pdf#page=2" TargetMode="External" Id="rId293" /><Relationship Type="http://schemas.openxmlformats.org/officeDocument/2006/relationships/hyperlink" Target="https://assets.mathsgenie.co.uk/content/worksheets/a_level_maths/regression-correlation-and-hypothesis-testing-ans-c55c04e4.pdf" TargetMode="External" Id="rId294" /><Relationship Type="http://schemas.openxmlformats.org/officeDocument/2006/relationships/hyperlink" Target="https://pmt.physicsandmathstutor.com/download/Maths/A-level/Statistics/Hypothesis-Testing-2/Edexcel-Set-B/Regression%2C%20Correlation%20and%20Hypothesis%20Testing.pdf#page=1" TargetMode="External" Id="rId295" /><Relationship Type="http://schemas.openxmlformats.org/officeDocument/2006/relationships/hyperlink" Target="https://pmt.physicsandmathstutor.com/download/Maths/A-level/Statistics/Hypothesis-Testing-2/Edexcel-Set-B/MA/Regression%2C%20Correlation%20and%20Hypothesis%20Testing%20MA.pdf" TargetMode="External" Id="rId296" /><Relationship Type="http://schemas.openxmlformats.org/officeDocument/2006/relationships/hyperlink" Target="https://pmt.physicsandmathstutor.com/download/Maths/A-level/Statistics/Hypothesis-Testing-2/OCR-MEI-Set-A/Hypothesis%20Testing%20for%20Correlation%20and%20Association.pdf#page=1" TargetMode="External" Id="rId297" /><Relationship Type="http://schemas.openxmlformats.org/officeDocument/2006/relationships/hyperlink" Target="https://pmt.physicsandmathstutor.com/download/Maths/A-level/Statistics/Hypothesis-Testing-2/OCR-MEI-Set-A/Hypothesis%20Testing%20for%20Correlation%20and%20Association.pdf#page=6" TargetMode="External" Id="rId29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mathsgenie.co.uk/a-level/maths/ocr/mei/language-of-simplifying-assumptions" TargetMode="External" Id="rId1" /><Relationship Type="http://schemas.openxmlformats.org/officeDocument/2006/relationships/hyperlink" Target="https://assets.mathsgenie.co.uk/content/worksheets/a_level_maths__ocr_mei/as-mechanics-1-constant-acceleration-8-2-modelling-assumptions-c4942851.pdf#page=1" TargetMode="External" Id="rId2" /><Relationship Type="http://schemas.openxmlformats.org/officeDocument/2006/relationships/hyperlink" Target="https://assets.mathsgenie.co.uk/content/worksheets/a_level_maths__ocr_mei/as-mechanics-1-constant-acceleration-8-2-modelling-assumptions-ans-2484a31c.pdf" TargetMode="External" Id="rId3" /><Relationship Type="http://schemas.openxmlformats.org/officeDocument/2006/relationships/hyperlink" Target="https://pmt.physicsandmathstutor.com/download/Maths/A-level/Mechanics/Forces-and-Newtons-Laws-2/Edexcel-Set-A/Dynamics%20-%20Connected%20particles.pdf#page=2" TargetMode="External" Id="rId4" /><Relationship Type="http://schemas.openxmlformats.org/officeDocument/2006/relationships/hyperlink" Target="https://pmt.physicsandmathstutor.com/download/Maths/A-level/Mechanics/Kinematics-1/OCR-MEI-Set-A/Calculus%20in%20Kinematics.pdf#page=3" TargetMode="External" Id="rId5" /><Relationship Type="http://schemas.openxmlformats.org/officeDocument/2006/relationships/hyperlink" Target="https://pmt.physicsandmathstutor.com/download/Maths/A-level/Mechanics/Kinematics-1/OCR-MEI-Set-A/Calculus%20in%20Kinematics.pdf#page=5" TargetMode="External" Id="rId6" /><Relationship Type="http://schemas.openxmlformats.org/officeDocument/2006/relationships/hyperlink" Target="https://mathsgenie.co.uk/a-level/maths/ocr/mei/the-particle-model" TargetMode="External" Id="rId7" /><Relationship Type="http://schemas.openxmlformats.org/officeDocument/2006/relationships/hyperlink" Target="https://assets.mathsgenie.co.uk/content/worksheets/a_level_maths__ocr_mei/as-mechanics-1-constant-acceleration-8-2-modelling-assumptions-c4942851.pdf#page=1" TargetMode="External" Id="rId8" /><Relationship Type="http://schemas.openxmlformats.org/officeDocument/2006/relationships/hyperlink" Target="https://assets.mathsgenie.co.uk/content/worksheets/a_level_maths__ocr_mei/as-mechanics-1-constant-acceleration-8-2-modelling-assumptions-ans-2484a31c.pdf" TargetMode="External" Id="rId9" /><Relationship Type="http://schemas.openxmlformats.org/officeDocument/2006/relationships/hyperlink" Target="https://pmt.physicsandmathstutor.com/download/Maths/A-level/Mechanics/Moments-2/Edexcel-Set-A/Moments%20-%20Moments%20about%20a%20point%201.pdf#page=3" TargetMode="External" Id="rId10" /><Relationship Type="http://schemas.openxmlformats.org/officeDocument/2006/relationships/hyperlink" Target="https://mathsgenie.co.uk/a-level/maths/ocr/mei/fundamental-quantities-and-units" TargetMode="External" Id="rId11" /><Relationship Type="http://schemas.openxmlformats.org/officeDocument/2006/relationships/hyperlink" Target="https://mathsgenie.co.uk/a-level/maths/ocr/mei/derived-quantities-and-units" TargetMode="External" Id="rId12" /><Relationship Type="http://schemas.openxmlformats.org/officeDocument/2006/relationships/hyperlink" Target="https://assets.mathsgenie.co.uk/content/worksheets/a_level_maths/constant-acceleration-e79b95b1.pdf#page=5" TargetMode="External" Id="rId13" /><Relationship Type="http://schemas.openxmlformats.org/officeDocument/2006/relationships/hyperlink" Target="https://assets.mathsgenie.co.uk/content/worksheets/a_level_maths/constant-acceleration-ans-ed4f0764.pdf" TargetMode="External" Id="rId14" /><Relationship Type="http://schemas.openxmlformats.org/officeDocument/2006/relationships/hyperlink" Target="https://pmt.physicsandmathstutor.com/download/Maths/A-level/Mechanics/Kinematics-2/Edexcel-Set-C/QP/Kinematics%20-%20by%20Graphical%20Methods%20QP.pdf#page=1" TargetMode="External" Id="rId15" /><Relationship Type="http://schemas.openxmlformats.org/officeDocument/2006/relationships/hyperlink" Target="https://pmt.physicsandmathstutor.com/download/Maths/A-level/Mechanics/Kinematics-2/Edexcel-Set-C/MS/Kinematics%20-%20by%20Graphical%20Methods%20MS.pdf" TargetMode="External" Id="rId16" /><Relationship Type="http://schemas.openxmlformats.org/officeDocument/2006/relationships/hyperlink" Target="https://pmt.physicsandmathstutor.com/download/Maths/A-level/Mechanics/Kinematics-2/Edexcel-Set-C/MA/Kinematics%20-%20by%20Graphical%20Methods%20MA.pdf" TargetMode="External" Id="rId17" /><Relationship Type="http://schemas.openxmlformats.org/officeDocument/2006/relationships/hyperlink" Target="https://mathsgenie.co.uk/a-level/maths/ocr/mei/derived-quantity-moment" TargetMode="External" Id="rId18" /><Relationship Type="http://schemas.openxmlformats.org/officeDocument/2006/relationships/hyperlink" Target="https://pmt.physicsandmathstutor.com/download/Maths/A-level/Mechanics/Forces-and-Newtons-Laws-2/OCR-MEI-Set-A/Rigid%20Bodies%20in%20Equilibrium.pdf#page=3" TargetMode="External" Id="rId19" /><Relationship Type="http://schemas.openxmlformats.org/officeDocument/2006/relationships/hyperlink" Target="https://pmt.physicsandmathstutor.com/download/Maths/A-level/Mechanics/Forces-and-Newtons-Laws-2/OCR-MEI-Set-A/Rigid%20Bodies%20in%20Equilibrium.pdf#page=4" TargetMode="External" Id="rId20" /><Relationship Type="http://schemas.openxmlformats.org/officeDocument/2006/relationships/hyperlink" Target="https://mathsgenie.co.uk/a-level/maths/ocr/mei/language-of-kinematics" TargetMode="External" Id="rId21" /><Relationship Type="http://schemas.openxmlformats.org/officeDocument/2006/relationships/hyperlink" Target="https://pmt.physicsandmathstutor.com/download/Maths/A-level/Mechanics/Kinematics-1/Edexcel-Set-C/QP/Kinematics%20-%20Uniform%20Acceleration%20Formulae%20QP.pdf#page=1" TargetMode="External" Id="rId22" /><Relationship Type="http://schemas.openxmlformats.org/officeDocument/2006/relationships/hyperlink" Target="https://pmt.physicsandmathstutor.com/download/Maths/A-level/Mechanics/Kinematics-1/Edexcel-Set-C/MS/Kinematics%20-%20Uniform%20Acceleration%20Formulae%20MS.pdf" TargetMode="External" Id="rId23" /><Relationship Type="http://schemas.openxmlformats.org/officeDocument/2006/relationships/hyperlink" Target="https://pmt.physicsandmathstutor.com/download/Maths/A-level/Mechanics/Kinematics-1/Edexcel-Set-C/MA/Kinematics%20-%20Uniform%20Acceleration%20Formulae%20MA.pdf" TargetMode="External" Id="rId24" /><Relationship Type="http://schemas.openxmlformats.org/officeDocument/2006/relationships/hyperlink" Target="https://pmt.physicsandmathstutor.com/download/Maths/A-level/Mechanics/Kinematics-1/OCR-MEI-Set-A/Motion%20in%201%20Dimension%2C%20Kinematics%20Graphs%20and%20Constant%20Acceleration%20Formulae.pdf#page=5" TargetMode="External" Id="rId25" /><Relationship Type="http://schemas.openxmlformats.org/officeDocument/2006/relationships/hyperlink" Target="https://pmt.physicsandmathstutor.com/download/Maths/A-level/Mechanics/Kinematics-1/OCR-MEI-Set-A/Motion%20in%201%20Dimension%2C%20Kinematics%20Graphs%20and%20Constant%20Acceleration%20Formulae.pdf#page=7" TargetMode="External" Id="rId26" /><Relationship Type="http://schemas.openxmlformats.org/officeDocument/2006/relationships/hyperlink" Target="https://mathsgenie.co.uk/a-level/maths/ocr/mei/position-displacement-distance-and-distance-travelled" TargetMode="External" Id="rId27" /><Relationship Type="http://schemas.openxmlformats.org/officeDocument/2006/relationships/hyperlink" Target="https://assets.mathsgenie.co.uk/content/worksheets/as_level_maths/as-mechanics-variable-acceleration-229d3a0e.pdf#page=2" TargetMode="External" Id="rId28" /><Relationship Type="http://schemas.openxmlformats.org/officeDocument/2006/relationships/hyperlink" Target="https://assets.mathsgenie.co.uk/content/worksheets/as_level_maths/variable-acceleration-ans-23257282.pdf" TargetMode="External" Id="rId29" /><Relationship Type="http://schemas.openxmlformats.org/officeDocument/2006/relationships/hyperlink" Target="https://pmt.physicsandmathstutor.com/download/Maths/A-level/Mechanics/Kinematics-1/Edexcel-Set-C/QP/Kinematics%20-%20Problems%20in%20Calculus%20QP.pdf#page=1" TargetMode="External" Id="rId30" /><Relationship Type="http://schemas.openxmlformats.org/officeDocument/2006/relationships/hyperlink" Target="https://pmt.physicsandmathstutor.com/download/Maths/A-level/Mechanics/Kinematics-1/Edexcel-Set-C/MS/Kinematics%20-%20Problems%20in%20Calculus%20MS.pdf" TargetMode="External" Id="rId31" /><Relationship Type="http://schemas.openxmlformats.org/officeDocument/2006/relationships/hyperlink" Target="https://pmt.physicsandmathstutor.com/download/Maths/A-level/Mechanics/Kinematics-1/Edexcel-Set-C/MA/Kinematics%20-%20Problems%20in%20Calculus%20MA.pdf" TargetMode="External" Id="rId32" /><Relationship Type="http://schemas.openxmlformats.org/officeDocument/2006/relationships/hyperlink" Target="https://pmt.physicsandmathstutor.com/download/Maths/A-level/Mechanics/Kinematics-1/OCR-MEI-Set-A/Calculus%20in%20Kinematics.pdf#page=1" TargetMode="External" Id="rId33" /><Relationship Type="http://schemas.openxmlformats.org/officeDocument/2006/relationships/hyperlink" Target="https://pmt.physicsandmathstutor.com/download/Maths/A-level/Mechanics/Kinematics-1/OCR-MEI-Set-A/Calculus%20in%20Kinematics.pdf#page=5" TargetMode="External" Id="rId34" /><Relationship Type="http://schemas.openxmlformats.org/officeDocument/2006/relationships/hyperlink" Target="https://mathsgenie.co.uk/a-level/maths/ocr/mei/velocity-speed-and-acceleration-distinctions" TargetMode="External" Id="rId35" /><Relationship Type="http://schemas.openxmlformats.org/officeDocument/2006/relationships/hyperlink" Target="https://assets.mathsgenie.co.uk/content/worksheets/as_level_maths/as-mechanics-variable-acceleration-229d3a0e.pdf#page=7" TargetMode="External" Id="rId36" /><Relationship Type="http://schemas.openxmlformats.org/officeDocument/2006/relationships/hyperlink" Target="https://assets.mathsgenie.co.uk/content/worksheets/as_level_maths/variable-acceleration-ans-23257282.pdf" TargetMode="External" Id="rId37" /><Relationship Type="http://schemas.openxmlformats.org/officeDocument/2006/relationships/hyperlink" Target="https://pmt.physicsandmathstutor.com/download/Maths/A-level/Mechanics/Kinematics-1/Edexcel-Set-C/QP/Kinematics%20-%20Problems%20in%20Calculus%20QP.pdf#page=3" TargetMode="External" Id="rId38" /><Relationship Type="http://schemas.openxmlformats.org/officeDocument/2006/relationships/hyperlink" Target="https://pmt.physicsandmathstutor.com/download/Maths/A-level/Mechanics/Kinematics-1/Edexcel-Set-C/MS/Kinematics%20-%20Problems%20in%20Calculus%20MS.pdf" TargetMode="External" Id="rId39" /><Relationship Type="http://schemas.openxmlformats.org/officeDocument/2006/relationships/hyperlink" Target="https://pmt.physicsandmathstutor.com/download/Maths/A-level/Mechanics/Kinematics-1/Edexcel-Set-C/MA/Kinematics%20-%20Problems%20in%20Calculus%20MA.pdf" TargetMode="External" Id="rId40" /><Relationship Type="http://schemas.openxmlformats.org/officeDocument/2006/relationships/hyperlink" Target="https://pmt.physicsandmathstutor.com/download/Maths/A-level/Mechanics/Kinematics-1/OCR-MEI-Set-A/Calculus%20in%20Kinematics.pdf#page=1" TargetMode="External" Id="rId41" /><Relationship Type="http://schemas.openxmlformats.org/officeDocument/2006/relationships/hyperlink" Target="https://pmt.physicsandmathstutor.com/download/Maths/A-level/Mechanics/Kinematics-1/OCR-MEI-Set-A/Calculus%20in%20Kinematics.pdf#page=5" TargetMode="External" Id="rId42" /><Relationship Type="http://schemas.openxmlformats.org/officeDocument/2006/relationships/hyperlink" Target="https://mathsgenie.co.uk/a-level/maths/ocr/mei/draw-and-interpret-kinematics-graphs" TargetMode="External" Id="rId43" /><Relationship Type="http://schemas.openxmlformats.org/officeDocument/2006/relationships/hyperlink" Target="https://assets.mathsgenie.co.uk/content/worksheets/a_level_maths/as-mechanics-velocity-time-graphs-d54c1f70.pdf#page=1" TargetMode="External" Id="rId44" /><Relationship Type="http://schemas.openxmlformats.org/officeDocument/2006/relationships/hyperlink" Target="https://assets.mathsgenie.co.uk/content/worksheets/a_level_maths/as-mechanics-velocity-time-graphs-ans-086aa1f1.pdf" TargetMode="External" Id="rId45" /><Relationship Type="http://schemas.openxmlformats.org/officeDocument/2006/relationships/hyperlink" Target="https://pmt.physicsandmathstutor.com/download/Maths/A-level/Mechanics/Kinematics-1/Edexcel-Set-A/Kinematics%20-%20by%20graphical%20methods.pdf#page=1" TargetMode="External" Id="rId46" /><Relationship Type="http://schemas.openxmlformats.org/officeDocument/2006/relationships/hyperlink" Target="https://pmt.physicsandmathstutor.com/download/Maths/A-level/Mechanics/Kinematics-1/OCR-MEI-Set-A/Motion%20in%201%20Dimension%2C%20Kinematics%20Graphs%20and%20Constant%20Acceleration%20Formulae.pdf#page=1" TargetMode="External" Id="rId47" /><Relationship Type="http://schemas.openxmlformats.org/officeDocument/2006/relationships/hyperlink" Target="https://pmt.physicsandmathstutor.com/download/Maths/A-level/Mechanics/Kinematics-1/OCR-MEI-Set-A/Motion%20in%201%20Dimension%2C%20Kinematics%20Graphs%20and%20Constant%20Acceleration%20Formulae.pdf#page=7" TargetMode="External" Id="rId48" /><Relationship Type="http://schemas.openxmlformats.org/officeDocument/2006/relationships/hyperlink" Target="https://mathsgenie.co.uk/a-level/maths/ocr/mei/differentiate-position-and-velocity" TargetMode="External" Id="rId49" /><Relationship Type="http://schemas.openxmlformats.org/officeDocument/2006/relationships/hyperlink" Target="https://assets.mathsgenie.co.uk/content/worksheets/as_level_maths/as-mechanics-variable-acceleration-229d3a0e.pdf#page=5" TargetMode="External" Id="rId50" /><Relationship Type="http://schemas.openxmlformats.org/officeDocument/2006/relationships/hyperlink" Target="https://assets.mathsgenie.co.uk/content/worksheets/as_level_maths/variable-acceleration-ans-23257282.pdf" TargetMode="External" Id="rId51" /><Relationship Type="http://schemas.openxmlformats.org/officeDocument/2006/relationships/hyperlink" Target="https://pmt.physicsandmathstutor.com/download/Maths/A-level/Mechanics/Kinematics-1/Edexcel-Set-C/QP/Kinematics%20-%20Problems%20in%20Calculus%20QP.pdf#page=1" TargetMode="External" Id="rId52" /><Relationship Type="http://schemas.openxmlformats.org/officeDocument/2006/relationships/hyperlink" Target="https://pmt.physicsandmathstutor.com/download/Maths/A-level/Mechanics/Kinematics-1/Edexcel-Set-C/MS/Kinematics%20-%20Problems%20in%20Calculus%20MS.pdf" TargetMode="External" Id="rId53" /><Relationship Type="http://schemas.openxmlformats.org/officeDocument/2006/relationships/hyperlink" Target="https://pmt.physicsandmathstutor.com/download/Maths/A-level/Mechanics/Kinematics-1/Edexcel-Set-C/MA/Kinematics%20-%20Problems%20in%20Calculus%20MA.pdf" TargetMode="External" Id="rId54" /><Relationship Type="http://schemas.openxmlformats.org/officeDocument/2006/relationships/hyperlink" Target="https://pmt.physicsandmathstutor.com/download/Maths/A-level/Mechanics/Kinematics-1/OCR-MEI-Set-A/Calculus%20in%20Kinematics.pdf#page=1" TargetMode="External" Id="rId55" /><Relationship Type="http://schemas.openxmlformats.org/officeDocument/2006/relationships/hyperlink" Target="https://pmt.physicsandmathstutor.com/download/Maths/A-level/Mechanics/Kinematics-1/OCR-MEI-Set-A/Calculus%20in%20Kinematics.pdf#page=5" TargetMode="External" Id="rId56" /><Relationship Type="http://schemas.openxmlformats.org/officeDocument/2006/relationships/hyperlink" Target="https://mathsgenie.co.uk/a-level/maths/ocr/mei/integrate-acceleration-and-velocity" TargetMode="External" Id="rId57" /><Relationship Type="http://schemas.openxmlformats.org/officeDocument/2006/relationships/hyperlink" Target="https://assets.mathsgenie.co.uk/content/worksheets/as_level_maths/as-mechanics-variable-acceleration-229d3a0e.pdf#page=2" TargetMode="External" Id="rId58" /><Relationship Type="http://schemas.openxmlformats.org/officeDocument/2006/relationships/hyperlink" Target="https://assets.mathsgenie.co.uk/content/worksheets/as_level_maths/variable-acceleration-ans-23257282.pdf" TargetMode="External" Id="rId59" /><Relationship Type="http://schemas.openxmlformats.org/officeDocument/2006/relationships/hyperlink" Target="https://pmt.physicsandmathstutor.com/download/Maths/A-level/Mechanics/Kinematics-1/Edexcel-Set-A/Kinematics%20-%20Problems%20with%20calculus.pdf#page=1" TargetMode="External" Id="rId60" /><Relationship Type="http://schemas.openxmlformats.org/officeDocument/2006/relationships/hyperlink" Target="https://pmt.physicsandmathstutor.com/download/Maths/A-level/Mechanics/Kinematics-1/OCR-MEI-Set-A/Calculus%20in%20Kinematics.pdf#page=2" TargetMode="External" Id="rId61" /><Relationship Type="http://schemas.openxmlformats.org/officeDocument/2006/relationships/hyperlink" Target="https://pmt.physicsandmathstutor.com/download/Maths/A-level/Mechanics/Kinematics-1/OCR-MEI-Set-A/Calculus%20in%20Kinematics.pdf#page=5" TargetMode="External" Id="rId62" /><Relationship Type="http://schemas.openxmlformats.org/officeDocument/2006/relationships/hyperlink" Target="https://mathsgenie.co.uk/a-level/maths/ocr/mei/when-constant-acceleration-formulae-apply" TargetMode="External" Id="rId63" /><Relationship Type="http://schemas.openxmlformats.org/officeDocument/2006/relationships/hyperlink" Target="https://assets.mathsgenie.co.uk/content/worksheets/a_level_maths__ocr_mei/as-mechanics-1-constant-acceleration-8-2-modelling-assumptions-c4942851.pdf#page=2" TargetMode="External" Id="rId64" /><Relationship Type="http://schemas.openxmlformats.org/officeDocument/2006/relationships/hyperlink" Target="https://assets.mathsgenie.co.uk/content/worksheets/a_level_maths__ocr_mei/as-mechanics-1-constant-acceleration-8-2-modelling-assumptions-ans-2484a31c.pdf" TargetMode="External" Id="rId65" /><Relationship Type="http://schemas.openxmlformats.org/officeDocument/2006/relationships/hyperlink" Target="https://pmt.physicsandmathstutor.com/download/Maths/A-level/Mechanics/Kinematics-1/Edexcel-Set-B/Kinematics%20-%20by%20Graphical%20Methods.pdf#page=1" TargetMode="External" Id="rId66" /><Relationship Type="http://schemas.openxmlformats.org/officeDocument/2006/relationships/hyperlink" Target="https://pmt.physicsandmathstutor.com/download/Maths/A-level/Mechanics/Kinematics-1/Edexcel-Set-B/MA/Kinematics%20-%20Problems%20in%20Calculus%20MA.pdf" TargetMode="External" Id="rId67" /><Relationship Type="http://schemas.openxmlformats.org/officeDocument/2006/relationships/hyperlink" Target="https://pmt.physicsandmathstutor.com/download/Maths/A-level/Mechanics/Kinematics-1/OCR-MEI-Set-A/Motion%20in%201%20Dimension%2C%20Kinematics%20Graphs%20and%20Constant%20Acceleration%20Formulae.pdf#page=6" TargetMode="External" Id="rId68" /><Relationship Type="http://schemas.openxmlformats.org/officeDocument/2006/relationships/hyperlink" Target="https://pmt.physicsandmathstutor.com/download/Maths/A-level/Mechanics/Kinematics-1/OCR-MEI-Set-A/Motion%20in%201%20Dimension%2C%20Kinematics%20Graphs%20and%20Constant%20Acceleration%20Formulae.pdf#page=7" TargetMode="External" Id="rId69" /><Relationship Type="http://schemas.openxmlformats.org/officeDocument/2006/relationships/hyperlink" Target="https://mathsgenie.co.uk/a-level/maths/ocr/mei/solve-1-d-kinematics-problems" TargetMode="External" Id="rId70" /><Relationship Type="http://schemas.openxmlformats.org/officeDocument/2006/relationships/hyperlink" Target="https://assets.mathsgenie.co.uk/content/worksheets/a_level_maths/constant-acceleration-e79b95b1.pdf#page=4" TargetMode="External" Id="rId71" /><Relationship Type="http://schemas.openxmlformats.org/officeDocument/2006/relationships/hyperlink" Target="https://assets.mathsgenie.co.uk/content/worksheets/a_level_maths/constant-acceleration-ans-ed4f0764.pdf" TargetMode="External" Id="rId72" /><Relationship Type="http://schemas.openxmlformats.org/officeDocument/2006/relationships/hyperlink" Target="https://pmt.physicsandmathstutor.com/download/Maths/A-level/Mechanics/Kinematics-1/Edexcel-Set-A/Kinematics%20-%20Uniform%20acceleration%20formulae.pdf#page=1" TargetMode="External" Id="rId73" /><Relationship Type="http://schemas.openxmlformats.org/officeDocument/2006/relationships/hyperlink" Target="https://pmt.physicsandmathstutor.com/download/Maths/A-level/Mechanics/Kinematics-1/OCR-MEI-Set-A/Motion%20in%201%20Dimension%2C%20Kinematics%20Graphs%20and%20Constant%20Acceleration%20Formulae.pdf#page=1" TargetMode="External" Id="rId74" /><Relationship Type="http://schemas.openxmlformats.org/officeDocument/2006/relationships/hyperlink" Target="https://pmt.physicsandmathstutor.com/download/Maths/A-level/Mechanics/Kinematics-1/OCR-MEI-Set-A/Motion%20in%201%20Dimension%2C%20Kinematics%20Graphs%20and%20Constant%20Acceleration%20Formulae.pdf#page=7" TargetMode="External" Id="rId75" /><Relationship Type="http://schemas.openxmlformats.org/officeDocument/2006/relationships/hyperlink" Target="https://mathsgenie.co.uk/a-level/maths/ocr/mei/language-of-kinematics-in-2-dimensions" TargetMode="External" Id="rId76" /><Relationship Type="http://schemas.openxmlformats.org/officeDocument/2006/relationships/hyperlink" Target="https://assets.mathsgenie.co.uk/content/worksheets/a_level_maths/further-kinematics-0e6d3c8b.pdf#page=2" TargetMode="External" Id="rId77" /><Relationship Type="http://schemas.openxmlformats.org/officeDocument/2006/relationships/hyperlink" Target="https://assets.mathsgenie.co.uk/content/worksheets/a_level_maths/further-kinematics-ans-18f15cf2.pdf" TargetMode="External" Id="rId78" /><Relationship Type="http://schemas.openxmlformats.org/officeDocument/2006/relationships/hyperlink" Target="https://pmt.physicsandmathstutor.com/download/Maths/A-level/Mechanics/Kinematics-2/Edexcel-Set-A/Kinematics%20-%20Problems%20with%20vectors%201.pdf#page=1" TargetMode="External" Id="rId79" /><Relationship Type="http://schemas.openxmlformats.org/officeDocument/2006/relationships/hyperlink" Target="https://pmt.physicsandmathstutor.com/download/Maths/A-level/Mechanics/Kinematics-2/OCR-MEI-Set-A/Motion%20in%202%20Dimensions.pdf#page=1" TargetMode="External" Id="rId80" /><Relationship Type="http://schemas.openxmlformats.org/officeDocument/2006/relationships/hyperlink" Target="https://pmt.physicsandmathstutor.com/download/Maths/A-level/Mechanics/Kinematics-2/OCR-MEI-Set-A/Motion%20in%202%20Dimensions.pdf#page=5" TargetMode="External" Id="rId81" /><Relationship Type="http://schemas.openxmlformats.org/officeDocument/2006/relationships/hyperlink" Target="https://mathsgenie.co.uk/a-level/maths/ocr/mei/extend-1-d-techniques-to-2-d-using-vectors" TargetMode="External" Id="rId82" /><Relationship Type="http://schemas.openxmlformats.org/officeDocument/2006/relationships/hyperlink" Target="https://assets.mathsgenie.co.uk/content/worksheets/a_level_maths/further-kinematics-0e6d3c8b.pdf#page=1" TargetMode="External" Id="rId83" /><Relationship Type="http://schemas.openxmlformats.org/officeDocument/2006/relationships/hyperlink" Target="https://assets.mathsgenie.co.uk/content/worksheets/a_level_maths/further-kinematics-ans-18f15cf2.pdf" TargetMode="External" Id="rId84" /><Relationship Type="http://schemas.openxmlformats.org/officeDocument/2006/relationships/hyperlink" Target="https://pmt.physicsandmathstutor.com/download/Maths/A-level/Mechanics/Kinematics-1/Edexcel-Set-B/Kinematics%20-%20Problems%20in%20Calculus.pdf#page=5" TargetMode="External" Id="rId85" /><Relationship Type="http://schemas.openxmlformats.org/officeDocument/2006/relationships/hyperlink" Target="https://pmt.physicsandmathstutor.com/download/Maths/A-level/Mechanics/Kinematics-1/Edexcel-Set-B/MA/Kinematics%20-%20Problems%20in%20Calculus%20MA.pdf" TargetMode="External" Id="rId86" /><Relationship Type="http://schemas.openxmlformats.org/officeDocument/2006/relationships/hyperlink" Target="https://pmt.physicsandmathstutor.com/download/Maths/A-level/Mechanics/Kinematics-2/OCR-MEI-Set-A/Motion%20in%202%20Dimensions.pdf#page=1" TargetMode="External" Id="rId87" /><Relationship Type="http://schemas.openxmlformats.org/officeDocument/2006/relationships/hyperlink" Target="https://pmt.physicsandmathstutor.com/download/Maths/A-level/Mechanics/Kinematics-2/OCR-MEI-Set-A/Motion%20in%202%20Dimensions.pdf#page=5" TargetMode="External" Id="rId88" /><Relationship Type="http://schemas.openxmlformats.org/officeDocument/2006/relationships/hyperlink" Target="https://mathsgenie.co.uk/a-level/maths/ocr/mei/cartesian-equation-of-a-path" TargetMode="External" Id="rId89" /><Relationship Type="http://schemas.openxmlformats.org/officeDocument/2006/relationships/hyperlink" Target="https://assets.mathsgenie.co.uk/content/worksheets/a_level_maths/projectiles-892f2e50.pdf#page=8" TargetMode="External" Id="rId90" /><Relationship Type="http://schemas.openxmlformats.org/officeDocument/2006/relationships/hyperlink" Target="https://assets.mathsgenie.co.uk/content/worksheets/a_level_maths/projectiles-ans-97e24b40.pdf" TargetMode="External" Id="rId91" /><Relationship Type="http://schemas.openxmlformats.org/officeDocument/2006/relationships/hyperlink" Target="https://pmt.physicsandmathstutor.com/download/Maths/A-level/Mechanics/Kinematics-2/Edexcel-Set-A/Kinematics%20-%20Projectiles%202.pdf#page=2" TargetMode="External" Id="rId92" /><Relationship Type="http://schemas.openxmlformats.org/officeDocument/2006/relationships/hyperlink" Target="https://pmt.physicsandmathstutor.com/download/Maths/A-level/Mechanics/Kinematics-2/OCR-MEI-Set-A/Motion%20in%202%20Dimensions.pdf#page=2" TargetMode="External" Id="rId93" /><Relationship Type="http://schemas.openxmlformats.org/officeDocument/2006/relationships/hyperlink" Target="https://pmt.physicsandmathstutor.com/download/Maths/A-level/Mechanics/Kinematics-2/OCR-MEI-Set-A/Motion%20in%202%20Dimensions.pdf#page=5" TargetMode="External" Id="rId94" /><Relationship Type="http://schemas.openxmlformats.org/officeDocument/2006/relationships/hyperlink" Target="https://mathsgenie.co.uk/a-level/maths/ocr/mei/vectors-to-solve-kinematics-problems" TargetMode="External" Id="rId95" /><Relationship Type="http://schemas.openxmlformats.org/officeDocument/2006/relationships/hyperlink" Target="https://assets.mathsgenie.co.uk/content/worksheets/a_level_maths/further-kinematics-0e6d3c8b.pdf#page=5" TargetMode="External" Id="rId96" /><Relationship Type="http://schemas.openxmlformats.org/officeDocument/2006/relationships/hyperlink" Target="https://assets.mathsgenie.co.uk/content/worksheets/a_level_maths/further-kinematics-ans-18f15cf2.pdf" TargetMode="External" Id="rId97" /><Relationship Type="http://schemas.openxmlformats.org/officeDocument/2006/relationships/hyperlink" Target="https://pmt.physicsandmathstutor.com/download/Maths/A-level/Mechanics/Kinematics-2/Edexcel-Set-A/Kinematics%20-%20Problems%20with%20vectors%201.pdf#page=1" TargetMode="External" Id="rId98" /><Relationship Type="http://schemas.openxmlformats.org/officeDocument/2006/relationships/hyperlink" Target="https://pmt.physicsandmathstutor.com/download/Maths/A-level/Mechanics/Kinematics-2/OCR-MEI-Set-A/Motion%20in%202%20Dimensions.pdf#page=1" TargetMode="External" Id="rId99" /><Relationship Type="http://schemas.openxmlformats.org/officeDocument/2006/relationships/hyperlink" Target="https://pmt.physicsandmathstutor.com/download/Maths/A-level/Mechanics/Kinematics-2/OCR-MEI-Set-A/Motion%20in%202%20Dimensions.pdf#page=5" TargetMode="External" Id="rId100" /><Relationship Type="http://schemas.openxmlformats.org/officeDocument/2006/relationships/hyperlink" Target="https://mathsgenie.co.uk/a-level/maths/ocr/mei/model-motion-under-gravity-using-vectors" TargetMode="External" Id="rId101" /><Relationship Type="http://schemas.openxmlformats.org/officeDocument/2006/relationships/hyperlink" Target="https://assets.mathsgenie.co.uk/content/worksheets/a_level_maths/projectiles-892f2e50.pdf#page=2" TargetMode="External" Id="rId102" /><Relationship Type="http://schemas.openxmlformats.org/officeDocument/2006/relationships/hyperlink" Target="https://assets.mathsgenie.co.uk/content/worksheets/a_level_maths/projectiles-ans-97e24b40.pdf" TargetMode="External" Id="rId103" /><Relationship Type="http://schemas.openxmlformats.org/officeDocument/2006/relationships/hyperlink" Target="https://pmt.physicsandmathstutor.com/download/Maths/A-level/Mechanics/Kinematics-2/Edexcel-Set-A/Kinematics%20-%20Projectiles%202.pdf#page=2" TargetMode="External" Id="rId104" /><Relationship Type="http://schemas.openxmlformats.org/officeDocument/2006/relationships/hyperlink" Target="https://pmt.physicsandmathstutor.com/download/Maths/A-level/Mechanics/Kinematics-2/OCR-MEI-Set-A/Motion%20Under%20Gravity%20in%20Two%20Dimensions.pdf#page=3" TargetMode="External" Id="rId105" /><Relationship Type="http://schemas.openxmlformats.org/officeDocument/2006/relationships/hyperlink" Target="https://pmt.physicsandmathstutor.com/download/Maths/A-level/Mechanics/Kinematics-2/OCR-MEI-Set-A/Motion%20Under%20Gravity%20in%20Two%20Dimensions.pdf#page=9" TargetMode="External" Id="rId106" /><Relationship Type="http://schemas.openxmlformats.org/officeDocument/2006/relationships/hyperlink" Target="https://mathsgenie.co.uk/a-level/maths/ocr/mei/position-velocity-range-and-maximum-height" TargetMode="External" Id="rId107" /><Relationship Type="http://schemas.openxmlformats.org/officeDocument/2006/relationships/hyperlink" Target="https://assets.mathsgenie.co.uk/content/worksheets/a_level_maths/projectiles-892f2e50.pdf#page=1" TargetMode="External" Id="rId108" /><Relationship Type="http://schemas.openxmlformats.org/officeDocument/2006/relationships/hyperlink" Target="https://assets.mathsgenie.co.uk/content/worksheets/a_level_maths/projectiles-ans-97e24b40.pdf" TargetMode="External" Id="rId109" /><Relationship Type="http://schemas.openxmlformats.org/officeDocument/2006/relationships/hyperlink" Target="https://pmt.physicsandmathstutor.com/download/Maths/A-level/Mechanics/Kinematics-2/Edexcel-Set-A/Kinematics%20-%20Projectiles%202.pdf#page=1" TargetMode="External" Id="rId110" /><Relationship Type="http://schemas.openxmlformats.org/officeDocument/2006/relationships/hyperlink" Target="https://pmt.physicsandmathstutor.com/download/Maths/A-level/Mechanics/Kinematics-2/OCR-MEI-Set-A/Motion%20Under%20Gravity%20in%20Two%20Dimensions.pdf#page=1" TargetMode="External" Id="rId111" /><Relationship Type="http://schemas.openxmlformats.org/officeDocument/2006/relationships/hyperlink" Target="https://pmt.physicsandmathstutor.com/download/Maths/A-level/Mechanics/Kinematics-2/OCR-MEI-Set-A/Motion%20Under%20Gravity%20in%20Two%20Dimensions.pdf#page=9" TargetMode="External" Id="rId112" /><Relationship Type="http://schemas.openxmlformats.org/officeDocument/2006/relationships/hyperlink" Target="https://mathsgenie.co.uk/a-level/maths/ocr/mei/find-the-initial-velocity-of-a-projectile" TargetMode="External" Id="rId113" /><Relationship Type="http://schemas.openxmlformats.org/officeDocument/2006/relationships/hyperlink" Target="https://assets.mathsgenie.co.uk/content/worksheets/a_level_maths/projectiles-892f2e50.pdf#page=4" TargetMode="External" Id="rId114" /><Relationship Type="http://schemas.openxmlformats.org/officeDocument/2006/relationships/hyperlink" Target="https://assets.mathsgenie.co.uk/content/worksheets/a_level_maths/projectiles-ans-97e24b40.pdf" TargetMode="External" Id="rId115" /><Relationship Type="http://schemas.openxmlformats.org/officeDocument/2006/relationships/hyperlink" Target="https://pmt.physicsandmathstutor.com/download/Maths/A-level/Mechanics/Kinematics-2/Edexcel-Set-A/Kinematics%20-%20Projectiles%202.pdf#page=1" TargetMode="External" Id="rId116" /><Relationship Type="http://schemas.openxmlformats.org/officeDocument/2006/relationships/hyperlink" Target="https://pmt.physicsandmathstutor.com/download/Maths/A-level/Mechanics/Kinematics-2/OCR-MEI-Set-A/Motion%20Under%20Gravity%20in%20Two%20Dimensions.pdf#page=5" TargetMode="External" Id="rId117" /><Relationship Type="http://schemas.openxmlformats.org/officeDocument/2006/relationships/hyperlink" Target="https://pmt.physicsandmathstutor.com/download/Maths/A-level/Mechanics/Kinematics-2/OCR-MEI-Set-A/Motion%20Under%20Gravity%20in%20Two%20Dimensions.pdf#page=9" TargetMode="External" Id="rId118" /><Relationship Type="http://schemas.openxmlformats.org/officeDocument/2006/relationships/hyperlink" Target="https://mathsgenie.co.uk/a-level/maths/ocr/mei/equation-of-the-trajectory" TargetMode="External" Id="rId119" /><Relationship Type="http://schemas.openxmlformats.org/officeDocument/2006/relationships/hyperlink" Target="https://assets.mathsgenie.co.uk/content/worksheets/a_level_maths/projectiles-892f2e50.pdf#page=8" TargetMode="External" Id="rId120" /><Relationship Type="http://schemas.openxmlformats.org/officeDocument/2006/relationships/hyperlink" Target="https://assets.mathsgenie.co.uk/content/worksheets/a_level_maths/projectiles-ans-97e24b40.pdf" TargetMode="External" Id="rId121" /><Relationship Type="http://schemas.openxmlformats.org/officeDocument/2006/relationships/hyperlink" Target="https://pmt.physicsandmathstutor.com/download/Maths/A-level/Mechanics/Kinematics-2/Edexcel-Set-A/Kinematics%20-%20Projectiles%202.pdf#page=2" TargetMode="External" Id="rId122" /><Relationship Type="http://schemas.openxmlformats.org/officeDocument/2006/relationships/hyperlink" Target="https://pmt.physicsandmathstutor.com/download/Maths/A-level/Mechanics/Kinematics-2/OCR-MEI-Set-A/Motion%20Under%20Gravity%20in%20Two%20Dimensions.pdf#page=3" TargetMode="External" Id="rId123" /><Relationship Type="http://schemas.openxmlformats.org/officeDocument/2006/relationships/hyperlink" Target="https://pmt.physicsandmathstutor.com/download/Maths/A-level/Mechanics/Kinematics-2/OCR-MEI-Set-A/Motion%20Under%20Gravity%20in%20Two%20Dimensions.pdf#page=9" TargetMode="External" Id="rId124" /><Relationship Type="http://schemas.openxmlformats.org/officeDocument/2006/relationships/hyperlink" Target="https://mathsgenie.co.uk/a-level/maths/ocr/mei/solve-simple-projectile-problems" TargetMode="External" Id="rId125" /><Relationship Type="http://schemas.openxmlformats.org/officeDocument/2006/relationships/hyperlink" Target="https://assets.mathsgenie.co.uk/content/worksheets/a_level_maths/projectiles-892f2e50.pdf#page=2" TargetMode="External" Id="rId126" /><Relationship Type="http://schemas.openxmlformats.org/officeDocument/2006/relationships/hyperlink" Target="https://assets.mathsgenie.co.uk/content/worksheets/a_level_maths/projectiles-ans-97e24b40.pdf" TargetMode="External" Id="rId127" /><Relationship Type="http://schemas.openxmlformats.org/officeDocument/2006/relationships/hyperlink" Target="https://pmt.physicsandmathstutor.com/download/Maths/A-level/Mechanics/Kinematics-2/Edexcel-Set-A/Kinematics%20-%20Projectiles%202.pdf#page=1" TargetMode="External" Id="rId128" /><Relationship Type="http://schemas.openxmlformats.org/officeDocument/2006/relationships/hyperlink" Target="https://pmt.physicsandmathstutor.com/download/Maths/A-level/Mechanics/Kinematics-2/OCR-MEI-Set-A/Motion%20Under%20Gravity%20in%20Two%20Dimensions.pdf#page=1" TargetMode="External" Id="rId129" /><Relationship Type="http://schemas.openxmlformats.org/officeDocument/2006/relationships/hyperlink" Target="https://pmt.physicsandmathstutor.com/download/Maths/A-level/Mechanics/Kinematics-2/OCR-MEI-Set-A/Motion%20Under%20Gravity%20in%20Two%20Dimensions.pdf#page=9" TargetMode="External" Id="rId130" /><Relationship Type="http://schemas.openxmlformats.org/officeDocument/2006/relationships/hyperlink" Target="https://mathsgenie.co.uk/a-level/maths/ocr/mei/language-relating-to-forces" TargetMode="External" Id="rId131" /><Relationship Type="http://schemas.openxmlformats.org/officeDocument/2006/relationships/hyperlink" Target="https://assets.mathsgenie.co.uk/content/worksheets/a_level_maths/forces-and-friction-a67d1967.pdf#page=13" TargetMode="External" Id="rId132" /><Relationship Type="http://schemas.openxmlformats.org/officeDocument/2006/relationships/hyperlink" Target="https://assets.mathsgenie.co.uk/content/worksheets/a_level_maths/forces-and-friction-ans-702dd276.pdf" TargetMode="External" Id="rId133" /><Relationship Type="http://schemas.openxmlformats.org/officeDocument/2006/relationships/hyperlink" Target="https://pmt.physicsandmathstutor.com/download/Maths/A-level/Mechanics/Forces-and-Newtons-Laws-2/Edexcel-Set-B/Dynamics%20-%20F%20%3D%20ma%20on%20a%20slope.pdf#page=3" TargetMode="External" Id="rId134" /><Relationship Type="http://schemas.openxmlformats.org/officeDocument/2006/relationships/hyperlink" Target="https://pmt.physicsandmathstutor.com/download/Maths/A-level/Mechanics/Forces-and-Newtons-Laws-2/Edexcel-Set-B/MA/Dynamics%20-%20F%20%3D%20ma%20on%20a%20slope%20MA.pdf" TargetMode="External" Id="rId135" /><Relationship Type="http://schemas.openxmlformats.org/officeDocument/2006/relationships/hyperlink" Target="https://pmt.physicsandmathstutor.com/download/Maths/A-level/Mechanics/Forces-and-Newtons-Laws-1/OCR-MEI-Set-A/Forces.pdf#page=1" TargetMode="External" Id="rId136" /><Relationship Type="http://schemas.openxmlformats.org/officeDocument/2006/relationships/hyperlink" Target="https://pmt.physicsandmathstutor.com/download/Maths/A-level/Mechanics/Forces-and-Newtons-Laws-1/OCR-MEI-Set-A/Forces.pdf#page=3" TargetMode="External" Id="rId137" /><Relationship Type="http://schemas.openxmlformats.org/officeDocument/2006/relationships/hyperlink" Target="https://mathsgenie.co.uk/a-level/maths/ocr/mei/acceleration-due-to-gravity" TargetMode="External" Id="rId138" /><Relationship Type="http://schemas.openxmlformats.org/officeDocument/2006/relationships/hyperlink" Target="https://pmt.physicsandmathstutor.com/download/Maths/A-level/Mechanics/Kinematics-2/OCR-MEI-Set-A/Motion%20Under%20Gravity%20in%20Two%20Dimensions.pdf#page=6" TargetMode="External" Id="rId139" /><Relationship Type="http://schemas.openxmlformats.org/officeDocument/2006/relationships/hyperlink" Target="https://pmt.physicsandmathstutor.com/download/Maths/A-level/Mechanics/Kinematics-2/OCR-MEI-Set-A/Motion%20Under%20Gravity%20in%20Two%20Dimensions.pdf#page=9" TargetMode="External" Id="rId140" /><Relationship Type="http://schemas.openxmlformats.org/officeDocument/2006/relationships/hyperlink" Target="https://mathsgenie.co.uk/a-level/maths/ocr/mei/identify-forces-and-draw-force-diagrams" TargetMode="External" Id="rId141" /><Relationship Type="http://schemas.openxmlformats.org/officeDocument/2006/relationships/hyperlink" Target="https://pmt.physicsandmathstutor.com/download/Maths/A-level/Mechanics/Forces-and-Newtons-Laws-2/Edexcel-Set-A/Statics%20-%20Equilibrium%20problems.pdf#page=2" TargetMode="External" Id="rId142" /><Relationship Type="http://schemas.openxmlformats.org/officeDocument/2006/relationships/hyperlink" Target="https://pmt.physicsandmathstutor.com/download/Maths/A-level/Mechanics/Forces-and-Newtons-Laws-1/OCR-MEI-Set-A/Forces.pdf#page=1" TargetMode="External" Id="rId143" /><Relationship Type="http://schemas.openxmlformats.org/officeDocument/2006/relationships/hyperlink" Target="https://pmt.physicsandmathstutor.com/download/Maths/A-level/Mechanics/Forces-and-Newtons-Laws-1/OCR-MEI-Set-A/Forces.pdf#page=3" TargetMode="External" Id="rId144" /><Relationship Type="http://schemas.openxmlformats.org/officeDocument/2006/relationships/hyperlink" Target="https://mathsgenie.co.uk/a-level/maths/ocr/mei/resultant-of-concurrent-forces" TargetMode="External" Id="rId145" /><Relationship Type="http://schemas.openxmlformats.org/officeDocument/2006/relationships/hyperlink" Target="https://assets.mathsgenie.co.uk/content/worksheets/as_level_maths/forces-and-motion-44ac0226.pdf#page=15" TargetMode="External" Id="rId146" /><Relationship Type="http://schemas.openxmlformats.org/officeDocument/2006/relationships/hyperlink" Target="https://assets.mathsgenie.co.uk/content/worksheets/as_level_maths/forces-and-motion-ans-54858836.pdf" TargetMode="External" Id="rId147" /><Relationship Type="http://schemas.openxmlformats.org/officeDocument/2006/relationships/hyperlink" Target="https://pmt.physicsandmathstutor.com/download/Maths/A-level/Mechanics/Forces-and-Newtons-Laws-2/Edexcel-Set-A/Statics.pdf#page=3" TargetMode="External" Id="rId148" /><Relationship Type="http://schemas.openxmlformats.org/officeDocument/2006/relationships/hyperlink" Target="https://pmt.physicsandmathstutor.com/download/Maths/A-level/Pure/Vectors-1/OCR-MEI-Set-A/Vectors%20%28Yr.%201%29.pdf#page=1" TargetMode="External" Id="rId149" /><Relationship Type="http://schemas.openxmlformats.org/officeDocument/2006/relationships/hyperlink" Target="https://pmt.physicsandmathstutor.com/download/Maths/A-level/Pure/Vectors-1/OCR-MEI-Set-A/Vectors%20%28Yr.%201%29.pdf#page=2" TargetMode="External" Id="rId150" /><Relationship Type="http://schemas.openxmlformats.org/officeDocument/2006/relationships/hyperlink" Target="https://mathsgenie.co.uk/a-level/maths/ocr/mei/equilibrium-of-a-particle" TargetMode="External" Id="rId151" /><Relationship Type="http://schemas.openxmlformats.org/officeDocument/2006/relationships/hyperlink" Target="https://assets.mathsgenie.co.uk/content/worksheets/as_level_maths/forces-and-motion-44ac0226.pdf#page=12" TargetMode="External" Id="rId152" /><Relationship Type="http://schemas.openxmlformats.org/officeDocument/2006/relationships/hyperlink" Target="https://assets.mathsgenie.co.uk/content/worksheets/as_level_maths/forces-and-motion-ans-54858836.pdf" TargetMode="External" Id="rId153" /><Relationship Type="http://schemas.openxmlformats.org/officeDocument/2006/relationships/hyperlink" Target="https://pmt.physicsandmathstutor.com/download/Maths/A-level/Mechanics/Forces-and-Newtons-Laws-1/OCR-MEI-Set-A/Forces.pdf#page=1" TargetMode="External" Id="rId154" /><Relationship Type="http://schemas.openxmlformats.org/officeDocument/2006/relationships/hyperlink" Target="https://pmt.physicsandmathstutor.com/download/Maths/A-level/Mechanics/Forces-and-Newtons-Laws-1/OCR-MEI-Set-A/Forces.pdf#page=3" TargetMode="External" Id="rId155" /><Relationship Type="http://schemas.openxmlformats.org/officeDocument/2006/relationships/hyperlink" Target="https://mathsgenie.co.uk/a-level/maths/ocr/mei/resolve-a-force-into-components" TargetMode="External" Id="rId156" /><Relationship Type="http://schemas.openxmlformats.org/officeDocument/2006/relationships/hyperlink" Target="https://assets.mathsgenie.co.uk/content/worksheets/a_level_maths/forces-and-friction-a67d1967.pdf#page=2" TargetMode="External" Id="rId157" /><Relationship Type="http://schemas.openxmlformats.org/officeDocument/2006/relationships/hyperlink" Target="https://assets.mathsgenie.co.uk/content/worksheets/a_level_maths/forces-and-friction-ans-702dd276.pdf" TargetMode="External" Id="rId158" /><Relationship Type="http://schemas.openxmlformats.org/officeDocument/2006/relationships/hyperlink" Target="https://pmt.physicsandmathstutor.com/download/Maths/A-level/Mechanics/Forces-and-Newtons-Laws-2/Edexcel-Set-A/Statics.pdf#page=1" TargetMode="External" Id="rId159" /><Relationship Type="http://schemas.openxmlformats.org/officeDocument/2006/relationships/hyperlink" Target="https://pmt.physicsandmathstutor.com/download/Maths/A-level/Mechanics/Forces-and-Newtons-Laws-2/OCR-MEI-Set-A/Vector%20Treatment%20of%20Forces.pdf#page=1" TargetMode="External" Id="rId160" /><Relationship Type="http://schemas.openxmlformats.org/officeDocument/2006/relationships/hyperlink" Target="https://pmt.physicsandmathstutor.com/download/Maths/A-level/Mechanics/Forces-and-Newtons-Laws-2/OCR-MEI-Set-A/Vector%20Treatment%20of%20Forces.pdf#page=4" TargetMode="External" Id="rId161" /><Relationship Type="http://schemas.openxmlformats.org/officeDocument/2006/relationships/hyperlink" Target="https://mathsgenie.co.uk/a-level/maths/ocr/mei/equilibrium-condition-for-resultant-zero" TargetMode="External" Id="rId162" /><Relationship Type="http://schemas.openxmlformats.org/officeDocument/2006/relationships/hyperlink" Target="https://assets.mathsgenie.co.uk/content/worksheets/a_level_maths/forces-and-friction-a67d1967.pdf#page=2" TargetMode="External" Id="rId163" /><Relationship Type="http://schemas.openxmlformats.org/officeDocument/2006/relationships/hyperlink" Target="https://assets.mathsgenie.co.uk/content/worksheets/a_level_maths/forces-and-friction-ans-702dd276.pdf" TargetMode="External" Id="rId164" /><Relationship Type="http://schemas.openxmlformats.org/officeDocument/2006/relationships/hyperlink" Target="https://pmt.physicsandmathstutor.com/download/Maths/A-level/Mechanics/Forces-and-Newtons-Laws-2/Edexcel-Set-A/Statics%20-%20Equilibrium%20problems.pdf#page=4" TargetMode="External" Id="rId165" /><Relationship Type="http://schemas.openxmlformats.org/officeDocument/2006/relationships/hyperlink" Target="https://pmt.physicsandmathstutor.com/download/Maths/A-level/Mechanics/Forces-and-Newtons-Laws-2/OCR-MEI-Set-A/Vector%20Treatment%20of%20Forces.pdf#page=1" TargetMode="External" Id="rId166" /><Relationship Type="http://schemas.openxmlformats.org/officeDocument/2006/relationships/hyperlink" Target="https://pmt.physicsandmathstutor.com/download/Maths/A-level/Mechanics/Forces-and-Newtons-Laws-2/OCR-MEI-Set-A/Vector%20Treatment%20of%20Forces.pdf#page=4" TargetMode="External" Id="rId167" /><Relationship Type="http://schemas.openxmlformats.org/officeDocument/2006/relationships/hyperlink" Target="https://mathsgenie.co.uk/a-level/maths/ocr/mei/forces-in-equilibrium-sum-to-zero" TargetMode="External" Id="rId168" /><Relationship Type="http://schemas.openxmlformats.org/officeDocument/2006/relationships/hyperlink" Target="https://assets.mathsgenie.co.uk/content/worksheets/as_level_maths/forces-and-motion-44ac0226.pdf#page=12" TargetMode="External" Id="rId169" /><Relationship Type="http://schemas.openxmlformats.org/officeDocument/2006/relationships/hyperlink" Target="https://assets.mathsgenie.co.uk/content/worksheets/as_level_maths/forces-and-motion-ans-54858836.pdf" TargetMode="External" Id="rId170" /><Relationship Type="http://schemas.openxmlformats.org/officeDocument/2006/relationships/hyperlink" Target="https://pmt.physicsandmathstutor.com/download/Maths/A-level/Mechanics/Forces-and-Newtons-Laws-2/Edexcel-Set-A/Statics%20-%20Equilibrium%20problems.pdf#page=5" TargetMode="External" Id="rId171" /><Relationship Type="http://schemas.openxmlformats.org/officeDocument/2006/relationships/hyperlink" Target="https://pmt.physicsandmathstutor.com/download/Maths/A-level/Mechanics/Forces-and-Newtons-Laws-1/OCR-MEI-Set-A/Forces.pdf#page=1" TargetMode="External" Id="rId172" /><Relationship Type="http://schemas.openxmlformats.org/officeDocument/2006/relationships/hyperlink" Target="https://pmt.physicsandmathstutor.com/download/Maths/A-level/Mechanics/Forces-and-Newtons-Laws-1/OCR-MEI-Set-A/Forces.pdf#page=3" TargetMode="External" Id="rId173" /><Relationship Type="http://schemas.openxmlformats.org/officeDocument/2006/relationships/hyperlink" Target="https://mathsgenie.co.uk/a-level/maths/ocr/mei/equations-for-a-particle-in-equilibrium" TargetMode="External" Id="rId174" /><Relationship Type="http://schemas.openxmlformats.org/officeDocument/2006/relationships/hyperlink" Target="https://assets.mathsgenie.co.uk/content/worksheets/a_level_maths/forces-and-friction-a67d1967.pdf#page=2" TargetMode="External" Id="rId175" /><Relationship Type="http://schemas.openxmlformats.org/officeDocument/2006/relationships/hyperlink" Target="https://assets.mathsgenie.co.uk/content/worksheets/a_level_maths/forces-and-friction-ans-702dd276.pdf" TargetMode="External" Id="rId176" /><Relationship Type="http://schemas.openxmlformats.org/officeDocument/2006/relationships/hyperlink" Target="https://pmt.physicsandmathstutor.com/download/Maths/A-level/Mechanics/Forces-and-Newtons-Laws-2/Edexcel-Set-A/Statics%20-%20Equilibrium%20problems.pdf#page=4" TargetMode="External" Id="rId177" /><Relationship Type="http://schemas.openxmlformats.org/officeDocument/2006/relationships/hyperlink" Target="https://pmt.physicsandmathstutor.com/download/Maths/A-level/Mechanics/Forces-and-Newtons-Laws-2/OCR-MEI-Set-A/Vector%20Treatment%20of%20Forces.pdf#page=1" TargetMode="External" Id="rId178" /><Relationship Type="http://schemas.openxmlformats.org/officeDocument/2006/relationships/hyperlink" Target="https://pmt.physicsandmathstutor.com/download/Maths/A-level/Mechanics/Forces-and-Newtons-Laws-2/OCR-MEI-Set-A/Vector%20Treatment%20of%20Forces.pdf#page=4" TargetMode="External" Id="rId179" /><Relationship Type="http://schemas.openxmlformats.org/officeDocument/2006/relationships/hyperlink" Target="https://mathsgenie.co.uk/a-level/maths/ocr/mei/frictional-force-and-normal-contact-force" TargetMode="External" Id="rId180" /><Relationship Type="http://schemas.openxmlformats.org/officeDocument/2006/relationships/hyperlink" Target="https://assets.mathsgenie.co.uk/content/worksheets/a_level_maths/forces-and-friction-a67d1967.pdf#page=13" TargetMode="External" Id="rId181" /><Relationship Type="http://schemas.openxmlformats.org/officeDocument/2006/relationships/hyperlink" Target="https://assets.mathsgenie.co.uk/content/worksheets/a_level_maths/forces-and-friction-ans-702dd276.pdf" TargetMode="External" Id="rId182" /><Relationship Type="http://schemas.openxmlformats.org/officeDocument/2006/relationships/hyperlink" Target="https://pmt.physicsandmathstutor.com/download/Maths/A-level/Mechanics/Forces-and-Newtons-Laws-2/Edexcel-Set-A/Statics%20-%20Equilibrium%20problems.pdf#page=2" TargetMode="External" Id="rId183" /><Relationship Type="http://schemas.openxmlformats.org/officeDocument/2006/relationships/hyperlink" Target="https://pmt.physicsandmathstutor.com/download/Maths/A-level/Mechanics/Forces-and-Newtons-Laws-2/OCR-MEI-Set-A/Frictional%20Force%20and%20Normal%20Contact%20Force.pdf#page=1" TargetMode="External" Id="rId184" /><Relationship Type="http://schemas.openxmlformats.org/officeDocument/2006/relationships/hyperlink" Target="https://pmt.physicsandmathstutor.com/download/Maths/A-level/Mechanics/Forces-and-Newtons-Laws-2/OCR-MEI-Set-A/Frictional%20Force%20and%20Normal%20Contact%20Force.pdf#page=4" TargetMode="External" Id="rId185" /><Relationship Type="http://schemas.openxmlformats.org/officeDocument/2006/relationships/hyperlink" Target="https://mathsgenie.co.uk/a-level/maths/ocr/mei/model-friction-with-f-r" TargetMode="External" Id="rId186" /><Relationship Type="http://schemas.openxmlformats.org/officeDocument/2006/relationships/hyperlink" Target="https://assets.mathsgenie.co.uk/content/worksheets/a_level_maths/forces-and-friction-a67d1967.pdf#page=6" TargetMode="External" Id="rId187" /><Relationship Type="http://schemas.openxmlformats.org/officeDocument/2006/relationships/hyperlink" Target="https://assets.mathsgenie.co.uk/content/worksheets/a_level_maths/forces-and-friction-ans-702dd276.pdf" TargetMode="External" Id="rId188" /><Relationship Type="http://schemas.openxmlformats.org/officeDocument/2006/relationships/hyperlink" Target="https://pmt.physicsandmathstutor.com/download/Maths/A-level/Mechanics/Forces-and-Newtons-Laws-2/Edexcel-Set-A/Statics%20-%20Equilibrium%20problems.pdf#page=2" TargetMode="External" Id="rId189" /><Relationship Type="http://schemas.openxmlformats.org/officeDocument/2006/relationships/hyperlink" Target="https://pmt.physicsandmathstutor.com/download/Maths/A-level/Mechanics/Forces-and-Newtons-Laws-2/OCR-MEI-Set-A/Frictional%20Force%20and%20Normal%20Contact%20Force.pdf#page=2" TargetMode="External" Id="rId190" /><Relationship Type="http://schemas.openxmlformats.org/officeDocument/2006/relationships/hyperlink" Target="https://pmt.physicsandmathstutor.com/download/Maths/A-level/Mechanics/Forces-and-Newtons-Laws-2/OCR-MEI-Set-A/Frictional%20Force%20and%20Normal%20Contact%20Force.pdf#page=4" TargetMode="External" Id="rId191" /><Relationship Type="http://schemas.openxmlformats.org/officeDocument/2006/relationships/hyperlink" Target="https://mathsgenie.co.uk/a-level/maths/ocr/mei/apply-newton-s-laws-to-friction-problems" TargetMode="External" Id="rId192" /><Relationship Type="http://schemas.openxmlformats.org/officeDocument/2006/relationships/hyperlink" Target="https://assets.mathsgenie.co.uk/content/worksheets/a_level_maths/forces-and-friction-a67d1967.pdf#page=8" TargetMode="External" Id="rId193" /><Relationship Type="http://schemas.openxmlformats.org/officeDocument/2006/relationships/hyperlink" Target="https://assets.mathsgenie.co.uk/content/worksheets/a_level_maths/forces-and-friction-ans-702dd276.pdf" TargetMode="External" Id="rId194" /><Relationship Type="http://schemas.openxmlformats.org/officeDocument/2006/relationships/hyperlink" Target="https://pmt.physicsandmathstutor.com/download/Maths/A-level/Mechanics/Forces-and-Newtons-Laws-2/Edexcel-Set-A/Dynamics%20-%20F%20%3D%20ma%20on%20a%20slope.pdf#page=1" TargetMode="External" Id="rId195" /><Relationship Type="http://schemas.openxmlformats.org/officeDocument/2006/relationships/hyperlink" Target="https://pmt.physicsandmathstutor.com/download/Maths/A-level/Mechanics/Forces-and-Newtons-Laws-2/OCR-MEI-Set-A/Frictional%20Force%20and%20Normal%20Contact%20Force.pdf#page=1" TargetMode="External" Id="rId196" /><Relationship Type="http://schemas.openxmlformats.org/officeDocument/2006/relationships/hyperlink" Target="https://pmt.physicsandmathstutor.com/download/Maths/A-level/Mechanics/Forces-and-Newtons-Laws-2/OCR-MEI-Set-A/Frictional%20Force%20and%20Normal%20Contact%20Force.pdf#page=4" TargetMode="External" Id="rId197" /><Relationship Type="http://schemas.openxmlformats.org/officeDocument/2006/relationships/hyperlink" Target="https://mathsgenie.co.uk/a-level/maths/ocr/mei/meaning-of-newton-s-three-laws" TargetMode="External" Id="rId198" /><Relationship Type="http://schemas.openxmlformats.org/officeDocument/2006/relationships/hyperlink" Target="https://assets.mathsgenie.co.uk/content/worksheets/as_level_maths/forces-and-motion-44ac0226.pdf#page=6" TargetMode="External" Id="rId199" /><Relationship Type="http://schemas.openxmlformats.org/officeDocument/2006/relationships/hyperlink" Target="https://assets.mathsgenie.co.uk/content/worksheets/as_level_maths/forces-and-motion-ans-54858836.pdf" TargetMode="External" Id="rId200" /><Relationship Type="http://schemas.openxmlformats.org/officeDocument/2006/relationships/hyperlink" Target="https://pmt.physicsandmathstutor.com/download/Maths/A-level/Mechanics/Forces-and-Newtons-Laws-1/Edexcel-Set-C/QP/Forces%20and%20Newton%27s%20Laws%20of%20Motion%20QP.pdf#page=1" TargetMode="External" Id="rId201" /><Relationship Type="http://schemas.openxmlformats.org/officeDocument/2006/relationships/hyperlink" Target="https://pmt.physicsandmathstutor.com/download/Maths/A-level/Mechanics/Forces-and-Newtons-Laws-1/Edexcel-Set-C/MS/Forces%20and%20Newton%27s%20Laws%20of%20Motion%20MS.pdf" TargetMode="External" Id="rId202" /><Relationship Type="http://schemas.openxmlformats.org/officeDocument/2006/relationships/hyperlink" Target="https://pmt.physicsandmathstutor.com/download/Maths/A-level/Mechanics/Forces-and-Newtons-Laws-1/Edexcel-Set-C/MA/Forces%20and%20Newton%27s%20Laws%20of%20Motion%20MA.pdf" TargetMode="External" Id="rId203" /><Relationship Type="http://schemas.openxmlformats.org/officeDocument/2006/relationships/hyperlink" Target="https://pmt.physicsandmathstutor.com/download/Maths/A-level/Mechanics/Forces-and-Newtons-Laws-1/OCR-MEI-Set-A/Newton%27s%20Laws%20of%20Motion%20%28Yr.%201%29.pdf#page=2" TargetMode="External" Id="rId204" /><Relationship Type="http://schemas.openxmlformats.org/officeDocument/2006/relationships/hyperlink" Target="https://pmt.physicsandmathstutor.com/download/Maths/A-level/Mechanics/Forces-and-Newtons-Laws-1/OCR-MEI-Set-A/Newton%27s%20Laws%20of%20Motion%20%28Yr.%201%29.pdf#page=5" TargetMode="External" Id="rId205" /><Relationship Type="http://schemas.openxmlformats.org/officeDocument/2006/relationships/hyperlink" Target="https://mathsgenie.co.uk/a-level/maths/ocr/mei/equation-of-motion" TargetMode="External" Id="rId206" /><Relationship Type="http://schemas.openxmlformats.org/officeDocument/2006/relationships/hyperlink" Target="https://pmt.physicsandmathstutor.com/download/Maths/A-level/Mechanics/Forces-and-Newtons-Laws-2/Edexcel-Set-A/Dynamics%20-%20Connected%20particles.pdf#page=5" TargetMode="External" Id="rId207" /><Relationship Type="http://schemas.openxmlformats.org/officeDocument/2006/relationships/hyperlink" Target="https://pmt.physicsandmathstutor.com/download/Maths/A-level/Mechanics/Forces-and-Newtons-Laws-2/OCR-MEI-Set-A/Newton%27s%20Laws%20of%20Motion%20%28Yr.%202%29.pdf#page=4" TargetMode="External" Id="rId208" /><Relationship Type="http://schemas.openxmlformats.org/officeDocument/2006/relationships/hyperlink" Target="https://pmt.physicsandmathstutor.com/download/Maths/A-level/Mechanics/Forces-and-Newtons-Laws-2/OCR-MEI-Set-A/Newton%27s%20Laws%20of%20Motion%20%28Yr.%202%29.pdf#page=8" TargetMode="External" Id="rId209" /><Relationship Type="http://schemas.openxmlformats.org/officeDocument/2006/relationships/hyperlink" Target="https://mathsgenie.co.uk/a-level/maths/ocr/mei/equation-of-motion-for-a-particle-in-a-straight-line" TargetMode="External" Id="rId210" /><Relationship Type="http://schemas.openxmlformats.org/officeDocument/2006/relationships/hyperlink" Target="https://assets.mathsgenie.co.uk/content/worksheets/as_level_maths/forces-and-motion-44ac0226.pdf#page=6" TargetMode="External" Id="rId211" /><Relationship Type="http://schemas.openxmlformats.org/officeDocument/2006/relationships/hyperlink" Target="https://assets.mathsgenie.co.uk/content/worksheets/as_level_maths/forces-and-motion-ans-54858836.pdf" TargetMode="External" Id="rId212" /><Relationship Type="http://schemas.openxmlformats.org/officeDocument/2006/relationships/hyperlink" Target="https://pmt.physicsandmathstutor.com/download/Maths/A-level/Mechanics/Forces-and-Newtons-Laws-1/Edexcel-Set-A/Dynamics%20-%20F%20%3D%20ma%20horizontally.pdf#page=1" TargetMode="External" Id="rId213" /><Relationship Type="http://schemas.openxmlformats.org/officeDocument/2006/relationships/hyperlink" Target="https://pmt.physicsandmathstutor.com/download/Maths/A-level/Mechanics/Forces-and-Newtons-Laws-1/OCR-MEI-Set-A/Newton%27s%20Laws%20of%20Motion%20%28Yr.%201%29.pdf#page=1" TargetMode="External" Id="rId214" /><Relationship Type="http://schemas.openxmlformats.org/officeDocument/2006/relationships/hyperlink" Target="https://pmt.physicsandmathstutor.com/download/Maths/A-level/Mechanics/Forces-and-Newtons-Laws-1/OCR-MEI-Set-A/Newton%27s%20Laws%20of%20Motion%20%28Yr.%201%29.pdf#page=5" TargetMode="External" Id="rId215" /><Relationship Type="http://schemas.openxmlformats.org/officeDocument/2006/relationships/hyperlink" Target="https://mathsgenie.co.uk/a-level/maths/ocr/mei/model-a-system-of-connected-particles" TargetMode="External" Id="rId216" /><Relationship Type="http://schemas.openxmlformats.org/officeDocument/2006/relationships/hyperlink" Target="https://assets.mathsgenie.co.uk/content/worksheets/as_level_maths/forces-and-motion-44ac0226.pdf#page=2" TargetMode="External" Id="rId217" /><Relationship Type="http://schemas.openxmlformats.org/officeDocument/2006/relationships/hyperlink" Target="https://assets.mathsgenie.co.uk/content/worksheets/as_level_maths/forces-and-motion-ans-54858836.pdf" TargetMode="External" Id="rId218" /><Relationship Type="http://schemas.openxmlformats.org/officeDocument/2006/relationships/hyperlink" Target="https://pmt.physicsandmathstutor.com/download/Maths/A-level/Mechanics/Forces-and-Newtons-Laws-2/Edexcel-Set-A/Dynamics%20-%20Connected%20particles.pdf#page=1" TargetMode="External" Id="rId219" /><Relationship Type="http://schemas.openxmlformats.org/officeDocument/2006/relationships/hyperlink" Target="https://pmt.physicsandmathstutor.com/download/Maths/A-level/Mechanics/Forces-and-Newtons-Laws-1/OCR-MEI-Set-A/Newton%27s%20Laws%20of%20Motion%20%28Yr.%201%29.pdf#page=1" TargetMode="External" Id="rId220" /><Relationship Type="http://schemas.openxmlformats.org/officeDocument/2006/relationships/hyperlink" Target="https://pmt.physicsandmathstutor.com/download/Maths/A-level/Mechanics/Forces-and-Newtons-Laws-1/OCR-MEI-Set-A/Newton%27s%20Laws%20of%20Motion%20%28Yr.%201%29.pdf#page=5" TargetMode="External" Id="rId221" /><Relationship Type="http://schemas.openxmlformats.org/officeDocument/2006/relationships/hyperlink" Target="https://mathsgenie.co.uk/a-level/maths/ocr/mei/equations-of-motion-for-individual-particles" TargetMode="External" Id="rId222" /><Relationship Type="http://schemas.openxmlformats.org/officeDocument/2006/relationships/hyperlink" Target="https://assets.mathsgenie.co.uk/content/worksheets/as_level_maths/forces-and-motion-44ac0226.pdf#page=2" TargetMode="External" Id="rId223" /><Relationship Type="http://schemas.openxmlformats.org/officeDocument/2006/relationships/hyperlink" Target="https://assets.mathsgenie.co.uk/content/worksheets/as_level_maths/forces-and-motion-ans-54858836.pdf" TargetMode="External" Id="rId224" /><Relationship Type="http://schemas.openxmlformats.org/officeDocument/2006/relationships/hyperlink" Target="https://pmt.physicsandmathstutor.com/download/Maths/A-level/Mechanics/Forces-and-Newtons-Laws-2/Edexcel-Set-A/Dynamics%20-%20Connected%20particles.pdf#page=1" TargetMode="External" Id="rId225" /><Relationship Type="http://schemas.openxmlformats.org/officeDocument/2006/relationships/hyperlink" Target="https://pmt.physicsandmathstutor.com/download/Maths/A-level/Mechanics/Forces-and-Newtons-Laws-1/OCR-MEI-Set-A/Newton%27s%20Laws%20of%20Motion%20%28Yr.%201%29.pdf#page=1" TargetMode="External" Id="rId226" /><Relationship Type="http://schemas.openxmlformats.org/officeDocument/2006/relationships/hyperlink" Target="https://pmt.physicsandmathstutor.com/download/Maths/A-level/Mechanics/Forces-and-Newtons-Laws-1/OCR-MEI-Set-A/Newton%27s%20Laws%20of%20Motion%20%28Yr.%201%29.pdf#page=5" TargetMode="External" Id="rId227" /><Relationship Type="http://schemas.openxmlformats.org/officeDocument/2006/relationships/hyperlink" Target="https://mathsgenie.co.uk/a-level/maths/ocr/mei/system-with-no-relative-motion-as-a-single-particle" TargetMode="External" Id="rId228" /><Relationship Type="http://schemas.openxmlformats.org/officeDocument/2006/relationships/hyperlink" Target="https://assets.mathsgenie.co.uk/content/worksheets/as_level_maths/forces-and-motion-44ac0226.pdf#page=6" TargetMode="External" Id="rId229" /><Relationship Type="http://schemas.openxmlformats.org/officeDocument/2006/relationships/hyperlink" Target="https://assets.mathsgenie.co.uk/content/worksheets/as_level_maths/forces-and-motion-ans-54858836.pdf" TargetMode="External" Id="rId230" /><Relationship Type="http://schemas.openxmlformats.org/officeDocument/2006/relationships/hyperlink" Target="https://pmt.physicsandmathstutor.com/download/Maths/A-level/Mechanics/Forces-and-Newtons-Laws-2/Edexcel-Set-A/Dynamics%20-%20Connected%20particles.pdf#page=3" TargetMode="External" Id="rId231" /><Relationship Type="http://schemas.openxmlformats.org/officeDocument/2006/relationships/hyperlink" Target="https://pmt.physicsandmathstutor.com/download/Maths/A-level/Mechanics/Forces-and-Newtons-Laws-1/OCR-MEI-Set-A/Newton%27s%20Laws%20of%20Motion%20%28Yr.%201%29.pdf#page=2" TargetMode="External" Id="rId232" /><Relationship Type="http://schemas.openxmlformats.org/officeDocument/2006/relationships/hyperlink" Target="https://pmt.physicsandmathstutor.com/download/Maths/A-level/Mechanics/Forces-and-Newtons-Laws-1/OCR-MEI-Set-A/Newton%27s%20Laws%20of%20Motion%20%28Yr.%201%29.pdf#page=5" TargetMode="External" Id="rId233" /><Relationship Type="http://schemas.openxmlformats.org/officeDocument/2006/relationships/hyperlink" Target="https://mathsgenie.co.uk/a-level/maths/ocr/mei/equation-of-motion-in-a-straight-line-or-plane" TargetMode="External" Id="rId234" /><Relationship Type="http://schemas.openxmlformats.org/officeDocument/2006/relationships/hyperlink" Target="https://assets.mathsgenie.co.uk/content/worksheets/as_level_maths/forces-and-motion-44ac0226.pdf#page=13" TargetMode="External" Id="rId235" /><Relationship Type="http://schemas.openxmlformats.org/officeDocument/2006/relationships/hyperlink" Target="https://assets.mathsgenie.co.uk/content/worksheets/as_level_maths/forces-and-motion-ans-54858836.pdf" TargetMode="External" Id="rId236" /><Relationship Type="http://schemas.openxmlformats.org/officeDocument/2006/relationships/hyperlink" Target="https://pmt.physicsandmathstutor.com/download/Maths/A-level/Mechanics/Forces-and-Newtons-Laws-1/Edexcel-Set-A/Dynamics%20-%20F%20%3D%20ma%20horizontally.pdf#page=2" TargetMode="External" Id="rId237" /><Relationship Type="http://schemas.openxmlformats.org/officeDocument/2006/relationships/hyperlink" Target="https://pmt.physicsandmathstutor.com/download/Maths/A-level/Mechanics/Forces-and-Newtons-Laws-2/OCR-MEI-Set-A/Newton%27s%20Laws%20of%20Motion%20%28Yr.%202%29.pdf#page=1" TargetMode="External" Id="rId238" /><Relationship Type="http://schemas.openxmlformats.org/officeDocument/2006/relationships/hyperlink" Target="https://pmt.physicsandmathstutor.com/download/Maths/A-level/Mechanics/Forces-and-Newtons-Laws-2/OCR-MEI-Set-A/Newton%27s%20Laws%20of%20Motion%20%28Yr.%202%29.pdf#page=8" TargetMode="External" Id="rId239" /><Relationship Type="http://schemas.openxmlformats.org/officeDocument/2006/relationships/hyperlink" Target="https://mathsgenie.co.uk/a-level/maths/ocr/mei/moment-of-a-force" TargetMode="External" Id="rId240" /><Relationship Type="http://schemas.openxmlformats.org/officeDocument/2006/relationships/hyperlink" Target="https://assets.mathsgenie.co.uk/content/worksheets/a_level_maths/moments-2ce740de.pdf#page=1" TargetMode="External" Id="rId241" /><Relationship Type="http://schemas.openxmlformats.org/officeDocument/2006/relationships/hyperlink" Target="https://assets.mathsgenie.co.uk/content/worksheets/a_level_maths/moments-ans-221405b9.pdf" TargetMode="External" Id="rId242" /><Relationship Type="http://schemas.openxmlformats.org/officeDocument/2006/relationships/hyperlink" Target="https://pmt.physicsandmathstutor.com/download/Maths/A-level/Mechanics/Moments-2/Edexcel-Set-A/Moments%20-%20Moments%20about%20a%20point%201.pdf#page=3" TargetMode="External" Id="rId243" /><Relationship Type="http://schemas.openxmlformats.org/officeDocument/2006/relationships/hyperlink" Target="https://pmt.physicsandmathstutor.com/download/Maths/A-level/Mechanics/Forces-and-Newtons-Laws-2/OCR-MEI-Set-A/Rigid%20Bodies%20in%20Equilibrium.pdf#page=1" TargetMode="External" Id="rId244" /><Relationship Type="http://schemas.openxmlformats.org/officeDocument/2006/relationships/hyperlink" Target="https://pmt.physicsandmathstutor.com/download/Maths/A-level/Mechanics/Forces-and-Newtons-Laws-2/OCR-MEI-Set-A/Rigid%20Bodies%20in%20Equilibrium.pdf#page=4" TargetMode="External" Id="rId245" /><Relationship Type="http://schemas.openxmlformats.org/officeDocument/2006/relationships/hyperlink" Target="https://mathsgenie.co.uk/a-level/maths/ocr/mei/equilibrium-of-a-rigid-body" TargetMode="External" Id="rId246" /><Relationship Type="http://schemas.openxmlformats.org/officeDocument/2006/relationships/hyperlink" Target="https://assets.mathsgenie.co.uk/content/worksheets/a_level_maths/moments-2ce740de.pdf#page=2" TargetMode="External" Id="rId247" /><Relationship Type="http://schemas.openxmlformats.org/officeDocument/2006/relationships/hyperlink" Target="https://assets.mathsgenie.co.uk/content/worksheets/a_level_maths/moments-ans-221405b9.pdf" TargetMode="External" Id="rId248" /><Relationship Type="http://schemas.openxmlformats.org/officeDocument/2006/relationships/hyperlink" Target="https://pmt.physicsandmathstutor.com/download/Maths/A-level/Mechanics/Moments-2/Edexcel-Set-A/Moments%20-%20Moments%20about%20a%20point%201.pdf#page=1" TargetMode="External" Id="rId249" /><Relationship Type="http://schemas.openxmlformats.org/officeDocument/2006/relationships/hyperlink" Target="https://pmt.physicsandmathstutor.com/download/Maths/A-level/Mechanics/Forces-and-Newtons-Laws-2/OCR-MEI-Set-A/Rigid%20Bodies%20in%20Equilibrium.pdf#page=1" TargetMode="External" Id="rId250" /><Relationship Type="http://schemas.openxmlformats.org/officeDocument/2006/relationships/hyperlink" Target="https://pmt.physicsandmathstutor.com/download/Maths/A-level/Mechanics/Forces-and-Newtons-Laws-2/OCR-MEI-Set-A/Rigid%20Bodies%20in%20Equilibrium.pdf#page=4" TargetMode="External" Id="rId251" /><Relationship Type="http://schemas.openxmlformats.org/officeDocument/2006/relationships/hyperlink" Target="https://mathsgenie.co.uk/a-level/maths/ocr/mei/turning-effect-of-forces" TargetMode="External" Id="rId252" /><Relationship Type="http://schemas.openxmlformats.org/officeDocument/2006/relationships/hyperlink" Target="https://assets.mathsgenie.co.uk/content/worksheets/a_level_maths/moments-2ce740de.pdf#page=1" TargetMode="External" Id="rId253" /><Relationship Type="http://schemas.openxmlformats.org/officeDocument/2006/relationships/hyperlink" Target="https://assets.mathsgenie.co.uk/content/worksheets/a_level_maths/moments-ans-221405b9.pdf" TargetMode="External" Id="rId254" /><Relationship Type="http://schemas.openxmlformats.org/officeDocument/2006/relationships/hyperlink" Target="https://pmt.physicsandmathstutor.com/download/Maths/A-level/Mechanics/Moments-2/Edexcel-Set-A/Moments%20-%20Moments%20about%20a%20point%201.pdf#page=3" TargetMode="External" Id="rId255" /><Relationship Type="http://schemas.openxmlformats.org/officeDocument/2006/relationships/hyperlink" Target="https://pmt.physicsandmathstutor.com/download/Maths/A-level/Mechanics/Forces-and-Newtons-Laws-2/OCR-MEI-Set-A/Rigid%20Bodies%20in%20Equilibrium.pdf#page=1" TargetMode="External" Id="rId256" /><Relationship Type="http://schemas.openxmlformats.org/officeDocument/2006/relationships/hyperlink" Target="https://pmt.physicsandmathstutor.com/download/Maths/A-level/Mechanics/Forces-and-Newtons-Laws-2/OCR-MEI-Set-A/Rigid%20Bodies%20in%20Equilibrium.pdf#page=4" TargetMode="External" Id="rId257" /><Relationship Type="http://schemas.openxmlformats.org/officeDocument/2006/relationships/hyperlink" Target="https://mathsgenie.co.uk/a-level/maths/ocr/mei/weight-acting-through-a-point" TargetMode="External" Id="rId258" /><Relationship Type="http://schemas.openxmlformats.org/officeDocument/2006/relationships/hyperlink" Target="https://assets.mathsgenie.co.uk/content/worksheets/a_level_maths/moments-2ce740de.pdf#page=4" TargetMode="External" Id="rId259" /><Relationship Type="http://schemas.openxmlformats.org/officeDocument/2006/relationships/hyperlink" Target="https://assets.mathsgenie.co.uk/content/worksheets/a_level_maths/moments-ans-221405b9.pdf" TargetMode="External" Id="rId260" /><Relationship Type="http://schemas.openxmlformats.org/officeDocument/2006/relationships/hyperlink" Target="https://pmt.physicsandmathstutor.com/download/Maths/A-level/Mechanics/Moments-2/Edexcel-Set-A/Moments%20-%20Moments%20about%20a%20point%201.pdf#page=5" TargetMode="External" Id="rId261" /><Relationship Type="http://schemas.openxmlformats.org/officeDocument/2006/relationships/hyperlink" Target="https://pmt.physicsandmathstutor.com/download/Maths/A-level/Mechanics/Forces-and-Newtons-Laws-2/OCR-MEI-Set-A/Rigid%20Bodies%20in%20Equilibrium.pdf#page=1" TargetMode="External" Id="rId262" /><Relationship Type="http://schemas.openxmlformats.org/officeDocument/2006/relationships/hyperlink" Target="https://pmt.physicsandmathstutor.com/download/Maths/A-level/Mechanics/Forces-and-Newtons-Laws-2/OCR-MEI-Set-A/Rigid%20Bodies%20in%20Equilibrium.pdf#page=4" TargetMode="External" Id="rId26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pmt.physicsandmathstutor.com/download/Maths/A-level/Pure/Algebra-and-Functions-1/OCR-MEI-Set-A/Graphs%20%28Yr.%201%29.pdf" TargetMode="External" Id="rId1" /><Relationship Type="http://schemas.openxmlformats.org/officeDocument/2006/relationships/hyperlink" Target="https://pmt.physicsandmathstutor.com/download/Maths/A-level/Pure/Algebra-and-Functions-1/OCR-MEI-Set-A/Graphs%20%28Yr.%201%29.pdf#page=7" TargetMode="External" Id="rId2" /><Relationship Type="http://schemas.openxmlformats.org/officeDocument/2006/relationships/hyperlink" Target="https://pmt.physicsandmathstutor.com/download/Maths/A-level/Pure/Algebra-and-Functions-1/OCR-MEI-Set-A/Inequalitites.pdf" TargetMode="External" Id="rId3" /><Relationship Type="http://schemas.openxmlformats.org/officeDocument/2006/relationships/hyperlink" Target="https://pmt.physicsandmathstutor.com/download/Maths/A-level/Pure/Algebra-and-Functions-1/OCR-MEI-Set-A/Inequalitites.pdf#page=2" TargetMode="External" Id="rId4" /><Relationship Type="http://schemas.openxmlformats.org/officeDocument/2006/relationships/hyperlink" Target="https://pmt.physicsandmathstutor.com/download/Maths/A-level/Pure/Algebra-and-Functions-1/OCR-MEI-Set-A/Polynomials.pdf" TargetMode="External" Id="rId5" /><Relationship Type="http://schemas.openxmlformats.org/officeDocument/2006/relationships/hyperlink" Target="https://pmt.physicsandmathstutor.com/download/Maths/A-level/Pure/Algebra-and-Functions-1/OCR-MEI-Set-A/Polynomials.pdf#page=2" TargetMode="External" Id="rId6" /><Relationship Type="http://schemas.openxmlformats.org/officeDocument/2006/relationships/hyperlink" Target="https://pmt.physicsandmathstutor.com/download/Maths/A-level/Pure/Algebra-and-Functions-1/OCR-MEI-Set-A/Solution%20of%20Equations.pdf" TargetMode="External" Id="rId7" /><Relationship Type="http://schemas.openxmlformats.org/officeDocument/2006/relationships/hyperlink" Target="https://pmt.physicsandmathstutor.com/download/Maths/A-level/Pure/Algebra-and-Functions-1/OCR-MEI-Set-A/Solution%20of%20Equations.pdf#page=2" TargetMode="External" Id="rId8" /><Relationship Type="http://schemas.openxmlformats.org/officeDocument/2006/relationships/hyperlink" Target="https://pmt.physicsandmathstutor.com/download/Maths/A-level/Pure/Algebra-and-Functions-1/OCR-MEI-Set-A/Surds%20and%20Indices.pdf" TargetMode="External" Id="rId9" /><Relationship Type="http://schemas.openxmlformats.org/officeDocument/2006/relationships/hyperlink" Target="https://pmt.physicsandmathstutor.com/download/Maths/A-level/Pure/Algebra-and-Functions-1/OCR-MEI-Set-A/Surds%20and%20Indices.pdf#page=5" TargetMode="External" Id="rId10" /><Relationship Type="http://schemas.openxmlformats.org/officeDocument/2006/relationships/hyperlink" Target="https://pmt.physicsandmathstutor.com/download/Maths/A-level/Pure/Algebra-and-Functions-2/OCR-MEI-Set-A/Graphs%20%28Yr.%202%29.pdf" TargetMode="External" Id="rId11" /><Relationship Type="http://schemas.openxmlformats.org/officeDocument/2006/relationships/hyperlink" Target="https://pmt.physicsandmathstutor.com/download/Maths/A-level/Pure/Algebra-and-Functions-2/OCR-MEI-Set-A/Graphs%20%28Yr.%202%29.pdf#page=4" TargetMode="External" Id="rId12" /><Relationship Type="http://schemas.openxmlformats.org/officeDocument/2006/relationships/hyperlink" Target="https://pmt.physicsandmathstutor.com/download/Maths/A-level/Pure/Algebra-and-Functions-2/OCR-MEI-Set-A/Partial%20Fractions.pdf" TargetMode="External" Id="rId13" /><Relationship Type="http://schemas.openxmlformats.org/officeDocument/2006/relationships/hyperlink" Target="https://pmt.physicsandmathstutor.com/download/Maths/A-level/Pure/Algebra-and-Functions-2/OCR-MEI-Set-A/Partial%20Fractions.pdf#page=2" TargetMode="External" Id="rId14" /><Relationship Type="http://schemas.openxmlformats.org/officeDocument/2006/relationships/hyperlink" Target="https://pmt.physicsandmathstutor.com/download/Maths/A-level/Pure/Algebra-and-Functions-2/OCR-MEI-Set-A/Rational%20Expressions.pdf" TargetMode="External" Id="rId15" /><Relationship Type="http://schemas.openxmlformats.org/officeDocument/2006/relationships/hyperlink" Target="https://pmt.physicsandmathstutor.com/download/Maths/A-level/Pure/Algebra-and-Functions-2/OCR-MEI-Set-A/Rational%20Expressions.pdf#page=2" TargetMode="External" Id="rId16" /><Relationship Type="http://schemas.openxmlformats.org/officeDocument/2006/relationships/hyperlink" Target="https://pmt.physicsandmathstutor.com/download/Maths/A-level/Pure/Algebra-and-Functions-2/OCR-MEI-Set-A/The%20Language%20of%20Functions.pdf" TargetMode="External" Id="rId17" /><Relationship Type="http://schemas.openxmlformats.org/officeDocument/2006/relationships/hyperlink" Target="https://pmt.physicsandmathstutor.com/download/Maths/A-level/Pure/Algebra-and-Functions-2/OCR-MEI-Set-A/The%20Language%20of%20Functions.pdf#page=2" TargetMode="External" Id="rId18" /><Relationship Type="http://schemas.openxmlformats.org/officeDocument/2006/relationships/hyperlink" Target="https://pmt.physicsandmathstutor.com/download/Maths/A-level/Pure/Algebra-and-Functions-2/OCR-MEI-Set-A/The%20Modulus%20Function.pdf" TargetMode="External" Id="rId19" /><Relationship Type="http://schemas.openxmlformats.org/officeDocument/2006/relationships/hyperlink" Target="https://pmt.physicsandmathstutor.com/download/Maths/A-level/Pure/Algebra-and-Functions-2/OCR-MEI-Set-A/The%20Modulus%20Function.pdf#page=3" TargetMode="External" Id="rId20" /><Relationship Type="http://schemas.openxmlformats.org/officeDocument/2006/relationships/hyperlink" Target="https://pmt.physicsandmathstutor.com/download/Maths/A-level/Pure/Coordinate-Geometry-1/OCR-MEI-Set-A/Curves.pdf" TargetMode="External" Id="rId21" /><Relationship Type="http://schemas.openxmlformats.org/officeDocument/2006/relationships/hyperlink" Target="https://pmt.physicsandmathstutor.com/download/Maths/A-level/Pure/Coordinate-Geometry-1/OCR-MEI-Set-A/Curves.pdf#page=4" TargetMode="External" Id="rId22" /><Relationship Type="http://schemas.openxmlformats.org/officeDocument/2006/relationships/hyperlink" Target="https://pmt.physicsandmathstutor.com/download/Maths/A-level/Pure/Coordinate-Geometry-1/OCR-MEI-Set-A/Straight%20Lines.pdf" TargetMode="External" Id="rId23" /><Relationship Type="http://schemas.openxmlformats.org/officeDocument/2006/relationships/hyperlink" Target="https://pmt.physicsandmathstutor.com/download/Maths/A-level/Pure/Coordinate-Geometry-1/OCR-MEI-Set-A/Straight%20Lines.pdf#page=4" TargetMode="External" Id="rId24" /><Relationship Type="http://schemas.openxmlformats.org/officeDocument/2006/relationships/hyperlink" Target="https://pmt.physicsandmathstutor.com/download/Maths/A-level/Pure/Coordinate-Geometry-2/OCR-MEI-Set-A/Parametric%20Equations.pdf" TargetMode="External" Id="rId25" /><Relationship Type="http://schemas.openxmlformats.org/officeDocument/2006/relationships/hyperlink" Target="https://pmt.physicsandmathstutor.com/download/Maths/A-level/Pure/Coordinate-Geometry-2/OCR-MEI-Set-A/Parametric%20Equations.pdf#page=5" TargetMode="External" Id="rId26" /><Relationship Type="http://schemas.openxmlformats.org/officeDocument/2006/relationships/hyperlink" Target="https://pmt.physicsandmathstutor.com/download/Maths/A-level/Pure/Differentiation-1/OCR-MEI-Set-A/Applications%20of%20Differentiation%20to%20Functions%20and%20Graphs%20%28Yr.%201%29.pdf" TargetMode="External" Id="rId27" /><Relationship Type="http://schemas.openxmlformats.org/officeDocument/2006/relationships/hyperlink" Target="https://pmt.physicsandmathstutor.com/download/Maths/A-level/Pure/Differentiation-1/OCR-MEI-Set-A/Applications%20of%20Differentiation%20to%20Functions%20and%20Graphs%20%28Yr.%201%29.pdf#page=3" TargetMode="External" Id="rId28" /><Relationship Type="http://schemas.openxmlformats.org/officeDocument/2006/relationships/hyperlink" Target="https://pmt.physicsandmathstutor.com/download/Maths/A-level/Pure/Differentiation-1/OCR-MEI-Set-A/Basic%20Differentiation.pdf" TargetMode="External" Id="rId29" /><Relationship Type="http://schemas.openxmlformats.org/officeDocument/2006/relationships/hyperlink" Target="https://pmt.physicsandmathstutor.com/download/Maths/A-level/Pure/Differentiation-1/OCR-MEI-Set-A/Basic%20Differentiation.pdf#page=3" TargetMode="External" Id="rId30" /><Relationship Type="http://schemas.openxmlformats.org/officeDocument/2006/relationships/hyperlink" Target="https://pmt.physicsandmathstutor.com/download/Maths/A-level/Pure/Differentiation-2/OCR-MEI-Set-A/Applications%20of%20Differentiation%20to%20Functions%20and%20Graphs%20%28Yr.%202%29.pdf" TargetMode="External" Id="rId31" /><Relationship Type="http://schemas.openxmlformats.org/officeDocument/2006/relationships/hyperlink" Target="https://pmt.physicsandmathstutor.com/download/Maths/A-level/Pure/Differentiation-2/OCR-MEI-Set-A/Applications%20of%20Differentiation%20to%20Functions%20and%20Graphs%20%28Yr.%202%29.pdf#page=2" TargetMode="External" Id="rId32" /><Relationship Type="http://schemas.openxmlformats.org/officeDocument/2006/relationships/hyperlink" Target="https://pmt.physicsandmathstutor.com/download/Maths/A-level/Pure/Differentiation-2/OCR-MEI-Set-A/Implicit%20Differentiation.pdf" TargetMode="External" Id="rId33" /><Relationship Type="http://schemas.openxmlformats.org/officeDocument/2006/relationships/hyperlink" Target="https://pmt.physicsandmathstutor.com/download/Maths/A-level/Pure/Differentiation-2/OCR-MEI-Set-A/Implicit%20Differentiation.pdf#page=3" TargetMode="External" Id="rId34" /><Relationship Type="http://schemas.openxmlformats.org/officeDocument/2006/relationships/hyperlink" Target="https://pmt.physicsandmathstutor.com/download/Maths/A-level/Pure/Differentiation-2/OCR-MEI-Set-A/Product%2C%20Quotient%20and%20Chain%20Rules.pdf" TargetMode="External" Id="rId35" /><Relationship Type="http://schemas.openxmlformats.org/officeDocument/2006/relationships/hyperlink" Target="https://pmt.physicsandmathstutor.com/download/Maths/A-level/Pure/Differentiation-2/OCR-MEI-Set-A/Product%2C%20Quotient%20and%20Chain%20Rules.pdf#page=7" TargetMode="External" Id="rId36" /><Relationship Type="http://schemas.openxmlformats.org/officeDocument/2006/relationships/hyperlink" Target="https://pmt.physicsandmathstutor.com/download/Maths/A-level/Pure/Exponentials-and-Logarithms-1/OCR-MEI-Set-A/Exponentials%20and%20Logarithms%2C%20Exponential%20Growth%20and%20Decay.pdf" TargetMode="External" Id="rId37" /><Relationship Type="http://schemas.openxmlformats.org/officeDocument/2006/relationships/hyperlink" Target="https://pmt.physicsandmathstutor.com/download/Maths/A-level/Pure/Exponentials-and-Logarithms-1/OCR-MEI-Set-A/Exponentials%20and%20Logarithms%2C%20Exponential%20Growth%20and%20Decay.pdf#page=11" TargetMode="External" Id="rId38" /><Relationship Type="http://schemas.openxmlformats.org/officeDocument/2006/relationships/hyperlink" Target="https://pmt.physicsandmathstutor.com/download/Maths/A-level/Pure/Exponentials-and-Logarithms-1/OCR-MEI-Set-A/Exponentials%20and%20Natural%20Logarithms.pdf" TargetMode="External" Id="rId39" /><Relationship Type="http://schemas.openxmlformats.org/officeDocument/2006/relationships/hyperlink" Target="https://pmt.physicsandmathstutor.com/download/Maths/A-level/Pure/Exponentials-and-Logarithms-1/OCR-MEI-Set-A/Exponentials%20and%20Natural%20Logarithms.pdf#page=4" TargetMode="External" Id="rId40" /><Relationship Type="http://schemas.openxmlformats.org/officeDocument/2006/relationships/hyperlink" Target="https://pmt.physicsandmathstutor.com/download/Maths/A-level/Pure/Integration-1/OCR-MEI-Set-A/Integration%20as%20the%20Reverse%20of%20Differentiation%20and%20Area%20Under%20a%20Curve%20%28Yr.%201%29.pdf" TargetMode="External" Id="rId41" /><Relationship Type="http://schemas.openxmlformats.org/officeDocument/2006/relationships/hyperlink" Target="https://pmt.physicsandmathstutor.com/download/Maths/A-level/Pure/Integration-1/OCR-MEI-Set-A/Integration%20as%20the%20Reverse%20of%20Differentiation%20and%20Area%20Under%20a%20Curve%20%28Yr.%201%29.pdf#page=5" TargetMode="External" Id="rId42" /><Relationship Type="http://schemas.openxmlformats.org/officeDocument/2006/relationships/hyperlink" Target="https://pmt.physicsandmathstutor.com/download/Maths/A-level/Pure/Integration-2/OCR-MEI-Set-A/Differential%20Equations.pdf" TargetMode="External" Id="rId43" /><Relationship Type="http://schemas.openxmlformats.org/officeDocument/2006/relationships/hyperlink" Target="https://pmt.physicsandmathstutor.com/download/Maths/A-level/Pure/Integration-2/OCR-MEI-Set-A/Differential%20Equations.pdf#page=8" TargetMode="External" Id="rId44" /><Relationship Type="http://schemas.openxmlformats.org/officeDocument/2006/relationships/hyperlink" Target="https://pmt.physicsandmathstutor.com/download/Maths/A-level/Pure/Integration-2/OCR-MEI-Set-A/Integration%20as%20Inverse%20of%20Differentiation%20and%20to%20Find%20Area%20Under%20a%20Curve%20%28Yr.%202%29.pdf" TargetMode="External" Id="rId45" /><Relationship Type="http://schemas.openxmlformats.org/officeDocument/2006/relationships/hyperlink" Target="https://pmt.physicsandmathstutor.com/download/Maths/A-level/Pure/Integration-2/OCR-MEI-Set-A/Integration%20as%20Inverse%20of%20Differentiation%20and%20to%20Find%20Area%20Under%20a%20Curve%20%28Yr.%202%29.pdf#page=4" TargetMode="External" Id="rId46" /><Relationship Type="http://schemas.openxmlformats.org/officeDocument/2006/relationships/hyperlink" Target="https://pmt.physicsandmathstutor.com/download/Maths/A-level/Pure/Integration-2/OCR-MEI-Set-A/Integration%20by%20Parts.pdf" TargetMode="External" Id="rId47" /><Relationship Type="http://schemas.openxmlformats.org/officeDocument/2006/relationships/hyperlink" Target="https://pmt.physicsandmathstutor.com/download/Maths/A-level/Pure/Integration-2/OCR-MEI-Set-A/Integration%20by%20Parts.pdf#page=5" TargetMode="External" Id="rId48" /><Relationship Type="http://schemas.openxmlformats.org/officeDocument/2006/relationships/hyperlink" Target="https://pmt.physicsandmathstutor.com/download/Maths/A-level/Pure/Integration-2/OCR-MEI-Set-A/Integration%20by%20Substitution.pdf" TargetMode="External" Id="rId49" /><Relationship Type="http://schemas.openxmlformats.org/officeDocument/2006/relationships/hyperlink" Target="https://pmt.physicsandmathstutor.com/download/Maths/A-level/Pure/Integration-2/OCR-MEI-Set-A/Integration%20by%20Substitution.pdf#page=7" TargetMode="External" Id="rId50" /><Relationship Type="http://schemas.openxmlformats.org/officeDocument/2006/relationships/hyperlink" Target="https://pmt.physicsandmathstutor.com/download/Maths/A-level/Pure/Numerical-Methods-2/OCR-MEI-Set-A/Numerical%20Integration.pdf" TargetMode="External" Id="rId51" /><Relationship Type="http://schemas.openxmlformats.org/officeDocument/2006/relationships/hyperlink" Target="https://pmt.physicsandmathstutor.com/download/Maths/A-level/Pure/Numerical-Methods-2/OCR-MEI-Set-A/Numerical%20Integration.pdf#page=6" TargetMode="External" Id="rId52" /><Relationship Type="http://schemas.openxmlformats.org/officeDocument/2006/relationships/hyperlink" Target="https://pmt.physicsandmathstutor.com/download/Maths/A-level/Pure/Numerical-Methods-2/OCR-MEI-Set-A/Solution%20of%20Equations.pdf" TargetMode="External" Id="rId53" /><Relationship Type="http://schemas.openxmlformats.org/officeDocument/2006/relationships/hyperlink" Target="https://pmt.physicsandmathstutor.com/download/Maths/A-level/Pure/Numerical-Methods-2/OCR-MEI-Set-A/Solution%20of%20Equations.pdf#page=5" TargetMode="External" Id="rId54" /><Relationship Type="http://schemas.openxmlformats.org/officeDocument/2006/relationships/hyperlink" Target="https://pmt.physicsandmathstutor.com/download/Maths/A-level/Pure/Proof-1/OCR-MEI-Set-A/Proof%20%28Yr.%201%29.pdf" TargetMode="External" Id="rId55" /><Relationship Type="http://schemas.openxmlformats.org/officeDocument/2006/relationships/hyperlink" Target="https://pmt.physicsandmathstutor.com/download/Maths/A-level/Pure/Proof-1/OCR-MEI-Set-A/Proof%20%28Yr.%201%29.pdf#page=3" TargetMode="External" Id="rId56" /><Relationship Type="http://schemas.openxmlformats.org/officeDocument/2006/relationships/hyperlink" Target="https://pmt.physicsandmathstutor.com/download/Maths/A-level/Pure/Proof-2/OCR-MEI-Set-A/Proof%20%28Yr.%202%29.pdf" TargetMode="External" Id="rId57" /><Relationship Type="http://schemas.openxmlformats.org/officeDocument/2006/relationships/hyperlink" Target="https://pmt.physicsandmathstutor.com/download/Maths/A-level/Pure/Proof-2/OCR-MEI-Set-A/Proof%20%28Yr.%202%29.pdf#page=3" TargetMode="External" Id="rId58" /><Relationship Type="http://schemas.openxmlformats.org/officeDocument/2006/relationships/hyperlink" Target="https://pmt.physicsandmathstutor.com/download/Maths/A-level/Pure/Sequences-and-Series-1/OCR-MEI-Set-A/Binomial%20Expansions%20%28Yr.%201%29.pdf" TargetMode="External" Id="rId59" /><Relationship Type="http://schemas.openxmlformats.org/officeDocument/2006/relationships/hyperlink" Target="https://pmt.physicsandmathstutor.com/download/Maths/A-level/Pure/Sequences-and-Series-1/OCR-MEI-Set-A/Binomial%20Expansions%20%28Yr.%201%29.pdf#page=2" TargetMode="External" Id="rId60" /><Relationship Type="http://schemas.openxmlformats.org/officeDocument/2006/relationships/hyperlink" Target="https://pmt.physicsandmathstutor.com/download/Maths/A-level/Pure/Sequences-and-Series-2/OCR-MEI-Set-A/Arithmetic%20Series.pdf" TargetMode="External" Id="rId61" /><Relationship Type="http://schemas.openxmlformats.org/officeDocument/2006/relationships/hyperlink" Target="https://pmt.physicsandmathstutor.com/download/Maths/A-level/Pure/Sequences-and-Series-2/OCR-MEI-Set-A/Arithmetic%20Series.pdf#page=3" TargetMode="External" Id="rId62" /><Relationship Type="http://schemas.openxmlformats.org/officeDocument/2006/relationships/hyperlink" Target="https://pmt.physicsandmathstutor.com/download/Maths/A-level/Pure/Sequences-and-Series-2/OCR-MEI-Set-A/Binomial%20Expansions%20%28Yr.%202%29.pdf" TargetMode="External" Id="rId63" /><Relationship Type="http://schemas.openxmlformats.org/officeDocument/2006/relationships/hyperlink" Target="https://pmt.physicsandmathstutor.com/download/Maths/A-level/Pure/Sequences-and-Series-2/OCR-MEI-Set-A/Binomial%20Expansions%20%28Yr.%202%29.pdf#page=4" TargetMode="External" Id="rId64" /><Relationship Type="http://schemas.openxmlformats.org/officeDocument/2006/relationships/hyperlink" Target="https://pmt.physicsandmathstutor.com/download/Maths/A-level/Pure/Sequences-and-Series-2/OCR-MEI-Set-A/Geometric%20Series.pdf" TargetMode="External" Id="rId65" /><Relationship Type="http://schemas.openxmlformats.org/officeDocument/2006/relationships/hyperlink" Target="https://pmt.physicsandmathstutor.com/download/Maths/A-level/Pure/Sequences-and-Series-2/OCR-MEI-Set-A/Geometric%20Series.pdf#page=4" TargetMode="External" Id="rId66" /><Relationship Type="http://schemas.openxmlformats.org/officeDocument/2006/relationships/hyperlink" Target="https://pmt.physicsandmathstutor.com/download/Maths/A-level/Pure/Sequences-and-Series-2/OCR-MEI-Set-A/Sequences.pdf" TargetMode="External" Id="rId67" /><Relationship Type="http://schemas.openxmlformats.org/officeDocument/2006/relationships/hyperlink" Target="https://pmt.physicsandmathstutor.com/download/Maths/A-level/Pure/Sequences-and-Series-2/OCR-MEI-Set-A/Sequences.pdf#page=3" TargetMode="External" Id="rId68" /><Relationship Type="http://schemas.openxmlformats.org/officeDocument/2006/relationships/hyperlink" Target="https://pmt.physicsandmathstutor.com/download/Maths/A-level/Pure/Trigonometry-1/OCR-MEI-Set-A/Area%20of%20Triangles%20-%20Sine%20and%20Cosine%20Rules.pdf" TargetMode="External" Id="rId69" /><Relationship Type="http://schemas.openxmlformats.org/officeDocument/2006/relationships/hyperlink" Target="https://pmt.physicsandmathstutor.com/download/Maths/A-level/Pure/Trigonometry-1/OCR-MEI-Set-A/Area%20of%20Triangles%20-%20Sine%20and%20Cosine%20Rules.pdf#page=4" TargetMode="External" Id="rId70" /><Relationship Type="http://schemas.openxmlformats.org/officeDocument/2006/relationships/hyperlink" Target="https://pmt.physicsandmathstutor.com/download/Maths/A-level/Pure/Trigonometry-1/OCR-MEI-Set-A/Equations.pdf" TargetMode="External" Id="rId71" /><Relationship Type="http://schemas.openxmlformats.org/officeDocument/2006/relationships/hyperlink" Target="https://pmt.physicsandmathstutor.com/download/Maths/A-level/Pure/Trigonometry-1/OCR-MEI-Set-A/Equations.pdf#page=2" TargetMode="External" Id="rId72" /><Relationship Type="http://schemas.openxmlformats.org/officeDocument/2006/relationships/hyperlink" Target="https://pmt.physicsandmathstutor.com/download/Maths/A-level/Pure/Trigonometry-1/OCR-MEI-Set-A/Identities.pdf" TargetMode="External" Id="rId73" /><Relationship Type="http://schemas.openxmlformats.org/officeDocument/2006/relationships/hyperlink" Target="https://pmt.physicsandmathstutor.com/download/Maths/A-level/Pure/Trigonometry-1/OCR-MEI-Set-A/Identities.pdf#page=2" TargetMode="External" Id="rId74" /><Relationship Type="http://schemas.openxmlformats.org/officeDocument/2006/relationships/hyperlink" Target="https://pmt.physicsandmathstutor.com/download/Maths/A-level/Pure/Trigonometry-2/OCR-MEI-Set-A/Compound%20Angle%20Formulae.pdf" TargetMode="External" Id="rId75" /><Relationship Type="http://schemas.openxmlformats.org/officeDocument/2006/relationships/hyperlink" Target="https://pmt.physicsandmathstutor.com/download/Maths/A-level/Pure/Trigonometry-2/OCR-MEI-Set-A/Compound%20Angle%20Formulae.pdf#page=5" TargetMode="External" Id="rId76" /><Relationship Type="http://schemas.openxmlformats.org/officeDocument/2006/relationships/hyperlink" Target="https://pmt.physicsandmathstutor.com/download/Maths/A-level/Pure/Trigonometry-2/OCR-MEI-Set-A/Proofs%20and%20Problems.pdf" TargetMode="External" Id="rId77" /><Relationship Type="http://schemas.openxmlformats.org/officeDocument/2006/relationships/hyperlink" Target="https://pmt.physicsandmathstutor.com/download/Maths/A-level/Pure/Trigonometry-2/OCR-MEI-Set-A/Proofs%20and%20Problems.pdf#page=3" TargetMode="External" Id="rId78" /><Relationship Type="http://schemas.openxmlformats.org/officeDocument/2006/relationships/hyperlink" Target="https://pmt.physicsandmathstutor.com/download/Maths/A-level/Pure/Trigonometry-2/OCR-MEI-Set-A/Radians.pdf" TargetMode="External" Id="rId79" /><Relationship Type="http://schemas.openxmlformats.org/officeDocument/2006/relationships/hyperlink" Target="https://pmt.physicsandmathstutor.com/download/Maths/A-level/Pure/Trigonometry-2/OCR-MEI-Set-A/Radians.pdf#page=5" TargetMode="External" Id="rId80" /><Relationship Type="http://schemas.openxmlformats.org/officeDocument/2006/relationships/hyperlink" Target="https://pmt.physicsandmathstutor.com/download/Maths/A-level/Pure/Trigonometry-2/OCR-MEI-Set-A/Secant%2C%20Cosecant%2C%20Cotangenet.pdf" TargetMode="External" Id="rId81" /><Relationship Type="http://schemas.openxmlformats.org/officeDocument/2006/relationships/hyperlink" Target="https://pmt.physicsandmathstutor.com/download/Maths/A-level/Pure/Trigonometry-2/OCR-MEI-Set-A/Secant%2C%20Cosecant%2C%20Cotangenet.pdf#page=2" TargetMode="External" Id="rId82" /><Relationship Type="http://schemas.openxmlformats.org/officeDocument/2006/relationships/hyperlink" Target="https://pmt.physicsandmathstutor.com/download/Maths/A-level/Pure/Vectors-1/OCR-MEI-Set-A/Vectors%20%28Yr.%201%29.pdf" TargetMode="External" Id="rId83" /><Relationship Type="http://schemas.openxmlformats.org/officeDocument/2006/relationships/hyperlink" Target="https://pmt.physicsandmathstutor.com/download/Maths/A-level/Pure/Vectors-1/OCR-MEI-Set-A/Vectors%20%28Yr.%201%29.pdf#page=2" TargetMode="External" Id="rId84" /><Relationship Type="http://schemas.openxmlformats.org/officeDocument/2006/relationships/hyperlink" Target="https://pmt.physicsandmathstutor.com/download/Maths/A-level/Pure/Vectors-2/OCR-MEI-Set-A/Vectors%20%28Yr.%202%29.pdf" TargetMode="External" Id="rId85" /><Relationship Type="http://schemas.openxmlformats.org/officeDocument/2006/relationships/hyperlink" Target="https://pmt.physicsandmathstutor.com/download/Maths/A-level/Pure/Vectors-2/OCR-MEI-Set-A/Vectors%20%28Yr.%202%29.pdf#page=3" TargetMode="External" Id="rId86" /><Relationship Type="http://schemas.openxmlformats.org/officeDocument/2006/relationships/hyperlink" Target="https://pmt.physicsandmathstutor.com/download/Maths/A-level/Statistics/Data-Presentation-and-Interpretation-1/OCR-MEI-Set-A/Data%20Presentation%20and%20Interpretation.pdf" TargetMode="External" Id="rId87" /><Relationship Type="http://schemas.openxmlformats.org/officeDocument/2006/relationships/hyperlink" Target="https://pmt.physicsandmathstutor.com/download/Maths/A-level/Statistics/Data-Presentation-and-Interpretation-1/OCR-MEI-Set-A/Data%20Presentation%20and%20Interpretation.pdf#page=28" TargetMode="External" Id="rId88" /><Relationship Type="http://schemas.openxmlformats.org/officeDocument/2006/relationships/hyperlink" Target="https://pmt.physicsandmathstutor.com/download/Maths/A-level/Statistics/Hypothesis-Testing-1/OCR-MEI-Set-A/Hypothesis%20Testing%20for%20Binomial%20Probabilities.pdf" TargetMode="External" Id="rId89" /><Relationship Type="http://schemas.openxmlformats.org/officeDocument/2006/relationships/hyperlink" Target="https://pmt.physicsandmathstutor.com/download/Maths/A-level/Statistics/Hypothesis-Testing-1/OCR-MEI-Set-A/Hypothesis%20Testing%20for%20Binomial%20Probabilities.pdf#page=11" TargetMode="External" Id="rId90" /><Relationship Type="http://schemas.openxmlformats.org/officeDocument/2006/relationships/hyperlink" Target="https://pmt.physicsandmathstutor.com/download/Maths/A-level/Statistics/Hypothesis-Testing-2/OCR-MEI-Set-A/Hypothesis%20Testing%20for%20Correlation%20and%20Association.pdf" TargetMode="External" Id="rId91" /><Relationship Type="http://schemas.openxmlformats.org/officeDocument/2006/relationships/hyperlink" Target="https://pmt.physicsandmathstutor.com/download/Maths/A-level/Statistics/Hypothesis-Testing-2/OCR-MEI-Set-A/Hypothesis%20Testing%20for%20Correlation%20and%20Association.pdf#page=6" TargetMode="External" Id="rId92" /><Relationship Type="http://schemas.openxmlformats.org/officeDocument/2006/relationships/hyperlink" Target="https://pmt.physicsandmathstutor.com/download/Maths/A-level/Statistics/Hypothesis-Testing-2/OCR-MEI-Set-A/Hypothesis%20Testing%20for%20Normal%20Mean.pdf" TargetMode="External" Id="rId93" /><Relationship Type="http://schemas.openxmlformats.org/officeDocument/2006/relationships/hyperlink" Target="https://pmt.physicsandmathstutor.com/download/Maths/A-level/Statistics/Hypothesis-Testing-2/OCR-MEI-Set-A/Hypothesis%20Testing%20for%20Normal%20Mean.pdf#page=7" TargetMode="External" Id="rId94" /><Relationship Type="http://schemas.openxmlformats.org/officeDocument/2006/relationships/hyperlink" Target="https://pmt.physicsandmathstutor.com/download/Maths/A-level/Statistics/Probability-1/OCR-MEI-Set-A/Probability%20%28Yr.%201%29.pdf" TargetMode="External" Id="rId95" /><Relationship Type="http://schemas.openxmlformats.org/officeDocument/2006/relationships/hyperlink" Target="https://pmt.physicsandmathstutor.com/download/Maths/A-level/Statistics/Probability-1/OCR-MEI-Set-A/Probability%20%28Yr.%201%29.pdf#page=5" TargetMode="External" Id="rId96" /><Relationship Type="http://schemas.openxmlformats.org/officeDocument/2006/relationships/hyperlink" Target="https://pmt.physicsandmathstutor.com/download/Maths/A-level/Statistics/Probability-2/OCR-MEI-Set-A/Probability%20%28Yr.%202%29.pdf" TargetMode="External" Id="rId97" /><Relationship Type="http://schemas.openxmlformats.org/officeDocument/2006/relationships/hyperlink" Target="https://pmt.physicsandmathstutor.com/download/Maths/A-level/Statistics/Probability-2/OCR-MEI-Set-A/Probability%20%28Yr.%202%29.pdf#page=5" TargetMode="External" Id="rId98" /><Relationship Type="http://schemas.openxmlformats.org/officeDocument/2006/relationships/hyperlink" Target="https://pmt.physicsandmathstutor.com/download/Maths/A-level/Statistics/Statistical-Distributions-1/OCR-MEI-Set-A/Binomial%20Distribution.pdf" TargetMode="External" Id="rId99" /><Relationship Type="http://schemas.openxmlformats.org/officeDocument/2006/relationships/hyperlink" Target="https://pmt.physicsandmathstutor.com/download/Maths/A-level/Statistics/Statistical-Distributions-1/OCR-MEI-Set-A/Binomial%20Distribution.pdf#page=5" TargetMode="External" Id="rId100" /><Relationship Type="http://schemas.openxmlformats.org/officeDocument/2006/relationships/hyperlink" Target="https://pmt.physicsandmathstutor.com/download/Maths/A-level/Statistics/Statistical-Distributions-1/OCR-MEI-Set-A/Discrete%20Probability%20Distributions.pdf" TargetMode="External" Id="rId101" /><Relationship Type="http://schemas.openxmlformats.org/officeDocument/2006/relationships/hyperlink" Target="https://pmt.physicsandmathstutor.com/download/Maths/A-level/Statistics/Statistical-Distributions-1/OCR-MEI-Set-A/Discrete%20Probability%20Distributions.pdf#page=3" TargetMode="External" Id="rId102" /><Relationship Type="http://schemas.openxmlformats.org/officeDocument/2006/relationships/hyperlink" Target="https://pmt.physicsandmathstutor.com/download/Maths/A-level/Statistics/Statistical-Distributions-2/OCR-MEI-Set-A/Normal%20Distribution.pdf" TargetMode="External" Id="rId103" /><Relationship Type="http://schemas.openxmlformats.org/officeDocument/2006/relationships/hyperlink" Target="https://pmt.physicsandmathstutor.com/download/Maths/A-level/Statistics/Statistical-Distributions-2/OCR-MEI-Set-A/Normal%20Distribution.pdf#page=8" TargetMode="External" Id="rId104" /><Relationship Type="http://schemas.openxmlformats.org/officeDocument/2006/relationships/hyperlink" Target="https://pmt.physicsandmathstutor.com/download/Maths/A-level/Statistics/Statistical-Sampling-1/OCR-MEI-Set-A/Sampling.pdf" TargetMode="External" Id="rId105" /><Relationship Type="http://schemas.openxmlformats.org/officeDocument/2006/relationships/hyperlink" Target="https://pmt.physicsandmathstutor.com/download/Maths/A-level/Statistics/Statistical-Sampling-1/OCR-MEI-Set-A/Sampling.pdf#page=2" TargetMode="External" Id="rId106" /><Relationship Type="http://schemas.openxmlformats.org/officeDocument/2006/relationships/hyperlink" Target="https://pmt.physicsandmathstutor.com/download/Maths/A-level/Mechanics/Forces-and-Newtons-Laws-1/OCR-MEI-Set-A/Forces.pdf" TargetMode="External" Id="rId107" /><Relationship Type="http://schemas.openxmlformats.org/officeDocument/2006/relationships/hyperlink" Target="https://pmt.physicsandmathstutor.com/download/Maths/A-level/Mechanics/Forces-and-Newtons-Laws-1/OCR-MEI-Set-A/Forces.pdf#page=3" TargetMode="External" Id="rId108" /><Relationship Type="http://schemas.openxmlformats.org/officeDocument/2006/relationships/hyperlink" Target="https://pmt.physicsandmathstutor.com/download/Maths/A-level/Mechanics/Forces-and-Newtons-Laws-1/OCR-MEI-Set-A/Newton%27s%20Laws%20of%20Motion%20%28Yr.%201%29.pdf" TargetMode="External" Id="rId109" /><Relationship Type="http://schemas.openxmlformats.org/officeDocument/2006/relationships/hyperlink" Target="https://pmt.physicsandmathstutor.com/download/Maths/A-level/Mechanics/Forces-and-Newtons-Laws-1/OCR-MEI-Set-A/Newton%27s%20Laws%20of%20Motion%20%28Yr.%201%29.pdf#page=5" TargetMode="External" Id="rId110" /><Relationship Type="http://schemas.openxmlformats.org/officeDocument/2006/relationships/hyperlink" Target="https://pmt.physicsandmathstutor.com/download/Maths/A-level/Mechanics/Forces-and-Newtons-Laws-2/OCR-MEI-Set-A/Frictional%20Force%20and%20Normal%20Contact%20Force.pdf" TargetMode="External" Id="rId111" /><Relationship Type="http://schemas.openxmlformats.org/officeDocument/2006/relationships/hyperlink" Target="https://pmt.physicsandmathstutor.com/download/Maths/A-level/Mechanics/Forces-and-Newtons-Laws-2/OCR-MEI-Set-A/Frictional%20Force%20and%20Normal%20Contact%20Force.pdf#page=4" TargetMode="External" Id="rId112" /><Relationship Type="http://schemas.openxmlformats.org/officeDocument/2006/relationships/hyperlink" Target="https://pmt.physicsandmathstutor.com/download/Maths/A-level/Mechanics/Forces-and-Newtons-Laws-2/OCR-MEI-Set-A/Newton%27s%20Laws%20of%20Motion%20%28Yr.%202%29.pdf" TargetMode="External" Id="rId113" /><Relationship Type="http://schemas.openxmlformats.org/officeDocument/2006/relationships/hyperlink" Target="https://pmt.physicsandmathstutor.com/download/Maths/A-level/Mechanics/Forces-and-Newtons-Laws-2/OCR-MEI-Set-A/Newton%27s%20Laws%20of%20Motion%20%28Yr.%202%29.pdf#page=8" TargetMode="External" Id="rId114" /><Relationship Type="http://schemas.openxmlformats.org/officeDocument/2006/relationships/hyperlink" Target="https://pmt.physicsandmathstutor.com/download/Maths/A-level/Mechanics/Forces-and-Newtons-Laws-2/OCR-MEI-Set-A/Rigid%20Bodies%20in%20Equilibrium.pdf" TargetMode="External" Id="rId115" /><Relationship Type="http://schemas.openxmlformats.org/officeDocument/2006/relationships/hyperlink" Target="https://pmt.physicsandmathstutor.com/download/Maths/A-level/Mechanics/Forces-and-Newtons-Laws-2/OCR-MEI-Set-A/Rigid%20Bodies%20in%20Equilibrium.pdf#page=4" TargetMode="External" Id="rId116" /><Relationship Type="http://schemas.openxmlformats.org/officeDocument/2006/relationships/hyperlink" Target="https://pmt.physicsandmathstutor.com/download/Maths/A-level/Mechanics/Forces-and-Newtons-Laws-2/OCR-MEI-Set-A/Vector%20Treatment%20of%20Forces.pdf" TargetMode="External" Id="rId117" /><Relationship Type="http://schemas.openxmlformats.org/officeDocument/2006/relationships/hyperlink" Target="https://pmt.physicsandmathstutor.com/download/Maths/A-level/Mechanics/Forces-and-Newtons-Laws-2/OCR-MEI-Set-A/Vector%20Treatment%20of%20Forces.pdf#page=4" TargetMode="External" Id="rId118" /><Relationship Type="http://schemas.openxmlformats.org/officeDocument/2006/relationships/hyperlink" Target="https://pmt.physicsandmathstutor.com/download/Maths/A-level/Mechanics/Kinematics-1/OCR-MEI-Set-A/Calculus%20in%20Kinematics.pdf" TargetMode="External" Id="rId119" /><Relationship Type="http://schemas.openxmlformats.org/officeDocument/2006/relationships/hyperlink" Target="https://pmt.physicsandmathstutor.com/download/Maths/A-level/Mechanics/Kinematics-1/OCR-MEI-Set-A/Calculus%20in%20Kinematics.pdf#page=5" TargetMode="External" Id="rId120" /><Relationship Type="http://schemas.openxmlformats.org/officeDocument/2006/relationships/hyperlink" Target="https://pmt.physicsandmathstutor.com/download/Maths/A-level/Mechanics/Kinematics-1/OCR-MEI-Set-A/Motion%20in%201%20Dimension%2C%20Kinematics%20Graphs%20and%20Constant%20Acceleration%20Formulae.pdf" TargetMode="External" Id="rId121" /><Relationship Type="http://schemas.openxmlformats.org/officeDocument/2006/relationships/hyperlink" Target="https://pmt.physicsandmathstutor.com/download/Maths/A-level/Mechanics/Kinematics-1/OCR-MEI-Set-A/Motion%20in%201%20Dimension%2C%20Kinematics%20Graphs%20and%20Constant%20Acceleration%20Formulae.pdf#page=7" TargetMode="External" Id="rId122" /><Relationship Type="http://schemas.openxmlformats.org/officeDocument/2006/relationships/hyperlink" Target="https://pmt.physicsandmathstutor.com/download/Maths/A-level/Mechanics/Kinematics-2/OCR-MEI-Set-A/Motion%20Under%20Gravity%20in%20Two%20Dimensions.pdf" TargetMode="External" Id="rId123" /><Relationship Type="http://schemas.openxmlformats.org/officeDocument/2006/relationships/hyperlink" Target="https://pmt.physicsandmathstutor.com/download/Maths/A-level/Mechanics/Kinematics-2/OCR-MEI-Set-A/Motion%20Under%20Gravity%20in%20Two%20Dimensions.pdf#page=9" TargetMode="External" Id="rId124" /><Relationship Type="http://schemas.openxmlformats.org/officeDocument/2006/relationships/hyperlink" Target="https://pmt.physicsandmathstutor.com/download/Maths/A-level/Mechanics/Kinematics-2/OCR-MEI-Set-A/Motion%20in%202%20Dimensions.pdf" TargetMode="External" Id="rId125" /><Relationship Type="http://schemas.openxmlformats.org/officeDocument/2006/relationships/hyperlink" Target="https://pmt.physicsandmathstutor.com/download/Maths/A-level/Mechanics/Kinematics-2/OCR-MEI-Set-A/Motion%20in%202%20Dimensions.pdf#page=5" TargetMode="External" Id="rId126"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2937"/>
    <outlinePr summaryBelow="1" summaryRight="1"/>
    <pageSetUpPr fitToPage="1"/>
  </sheetPr>
  <dimension ref="A1:C33"/>
  <sheetViews>
    <sheetView showGridLines="0" zoomScale="110" workbookViewId="0">
      <selection activeCell="A1" sqref="A1"/>
    </sheetView>
  </sheetViews>
  <sheetFormatPr baseColWidth="8" defaultRowHeight="15"/>
  <cols>
    <col width="5" customWidth="1" min="1" max="1"/>
    <col width="24" customWidth="1" min="2" max="2"/>
    <col width="64" customWidth="1" min="3" max="3"/>
    <col width="4" customWidth="1" min="4" max="4"/>
    <col width="4" customWidth="1" min="5" max="5"/>
  </cols>
  <sheetData>
    <row r="1" ht="38" customHeight="1">
      <c r="B1" s="1" t="inlineStr">
        <is>
          <t>OCR MEI A Level Maths</t>
        </is>
      </c>
    </row>
    <row r="2">
      <c r="B2" s="2" t="inlineStr">
        <is>
          <t>OCR A Level Mathematics B (MEI), H640. A quick check of how confident you feel on every topic, so revision goes where it's needed most.</t>
        </is>
      </c>
    </row>
    <row r="4">
      <c r="B4" s="3" t="inlineStr">
        <is>
          <t>How it works</t>
        </is>
      </c>
    </row>
    <row r="5" ht="36" customHeight="1">
      <c r="A5" s="4" t="n">
        <v>1</v>
      </c>
      <c r="B5" s="5" t="inlineStr">
        <is>
          <t>Open the Pure / Statistics / Mechanics tabs</t>
        </is>
      </c>
      <c r="C5" s="6" t="inlineStr">
        <is>
          <t>Each topic has a yellow Rating box. Click it and pick R, A or G. That's the only thing to fill in (Notes are optional).</t>
        </is>
      </c>
    </row>
    <row r="6" ht="6" customHeight="1"/>
    <row r="7" ht="36" customHeight="1">
      <c r="A7" s="4" t="n">
        <v>2</v>
      </c>
      <c r="B7" s="5" t="inlineStr">
        <is>
          <t>Be honest, not kind</t>
        </is>
      </c>
      <c r="C7" s="6" t="inlineStr">
        <is>
          <t>If you're torn between two colours, pick the lower one. A Green topic gets almost no time, so only use it when you're sure.</t>
        </is>
      </c>
    </row>
    <row r="8" ht="6" customHeight="1"/>
    <row r="9" ht="36" customHeight="1">
      <c r="A9" s="4" t="n">
        <v>3</v>
      </c>
      <c r="B9" s="5" t="inlineStr">
        <is>
          <t>Take your time</t>
        </is>
      </c>
      <c r="C9" s="6" t="inlineStr">
        <is>
          <t>245 topics, most take a glance. About 45 minutes, and it's fine to do one tab at a time.</t>
        </is>
      </c>
    </row>
    <row r="10" ht="6" customHeight="1"/>
    <row r="12">
      <c r="B12" s="3" t="inlineStr">
        <is>
          <t>What the colours mean</t>
        </is>
      </c>
    </row>
    <row r="13" ht="26" customHeight="1">
      <c r="B13" s="7" t="inlineStr">
        <is>
          <t>R  ·  Red</t>
        </is>
      </c>
      <c r="C13" s="8" t="inlineStr">
        <is>
          <t>I can't do this yet, or I'd probably get it wrong.</t>
        </is>
      </c>
    </row>
    <row r="14" ht="26" customHeight="1">
      <c r="B14" s="9" t="inlineStr">
        <is>
          <t>A  ·  Amber</t>
        </is>
      </c>
      <c r="C14" s="8" t="inlineStr">
        <is>
          <t>I can do some of it, or I'm slow and make mistakes.</t>
        </is>
      </c>
    </row>
    <row r="15" ht="26" customHeight="1">
      <c r="B15" s="10" t="inlineStr">
        <is>
          <t>G  ·  Green</t>
        </is>
      </c>
      <c r="C15" s="8" t="inlineStr">
        <is>
          <t>I can do this confidently in exam conditions.</t>
        </is>
      </c>
    </row>
    <row r="17">
      <c r="B17" s="3" t="inlineStr">
        <is>
          <t>The tabs</t>
        </is>
      </c>
    </row>
    <row r="18" ht="24" customHeight="1">
      <c r="B18" s="11" t="inlineStr">
        <is>
          <t>Pure</t>
        </is>
      </c>
      <c r="C18" s="8" t="inlineStr">
        <is>
          <t>149 topics, examined on Papers 1, 2 and 3.</t>
        </is>
      </c>
    </row>
    <row r="19" ht="24" customHeight="1">
      <c r="B19" s="12" t="inlineStr">
        <is>
          <t>Statistics</t>
        </is>
      </c>
      <c r="C19" s="8" t="inlineStr">
        <is>
          <t>51 topics, examined on Paper 2.</t>
        </is>
      </c>
    </row>
    <row r="20" ht="24" customHeight="1">
      <c r="B20" s="13" t="inlineStr">
        <is>
          <t>Mechanics</t>
        </is>
      </c>
      <c r="C20" s="8" t="inlineStr">
        <is>
          <t>45 topics, examined on Paper 1.</t>
        </is>
      </c>
    </row>
    <row r="21" ht="24" customHeight="1">
      <c r="B21" s="14" t="inlineStr">
        <is>
          <t>OCR MEI sheets</t>
        </is>
      </c>
      <c r="C21" s="8" t="inlineStr">
        <is>
          <t>63 sheets of real OCR MEI exam questions by topic. Mark them Done as you go.</t>
        </is>
      </c>
    </row>
    <row r="22" ht="24" customHeight="1">
      <c r="B22" s="15" t="inlineStr">
        <is>
          <t>Progress</t>
        </is>
      </c>
      <c r="C22" s="8" t="inlineStr">
        <is>
          <t>Fills itself in: your Red / Amber / Green totals and a practice plan.</t>
        </is>
      </c>
    </row>
    <row r="24">
      <c r="B24" s="3" t="inlineStr">
        <is>
          <t>Want to check a topic first?</t>
        </is>
      </c>
    </row>
    <row r="25" ht="40" customHeight="1">
      <c r="B25" s="16" t="inlineStr">
        <is>
          <t>▶ Watch / Topic page</t>
        </is>
      </c>
      <c r="C25" s="17" t="inlineStr">
        <is>
          <t>The Maths Genie OCR MEI page for that exact learning outcome ('▶ Watch' when it has a video lesson).</t>
        </is>
      </c>
    </row>
    <row r="26" ht="88" customHeight="1">
      <c r="B26" s="16" t="inlineStr">
        <is>
          <t>Questions links</t>
        </is>
      </c>
      <c r="C26" s="17" t="inlineStr">
        <is>
          <t>Each link lists the questions on that topic. 'Q 3, 7' means questions 3 and 7; 'Q 4–11' means questions 4 to 11. Past-paper sheets use pages instead, e.g. 'Pages 2, 5'. Click to open the PDF at the first one; hover to see which parts. 'none on this topic' means that source has no question on it.</t>
        </is>
      </c>
    </row>
    <row r="27" ht="56" customHeight="1">
      <c r="B27" s="16" t="inlineStr">
        <is>
          <t>Maths Genie</t>
        </is>
      </c>
      <c r="C27" s="17" t="inlineStr">
        <is>
          <t>Maths Genie exam-style questions with worked answers: its OCR MEI booklets where one covers the topic, otherwise its booklet questions on the same skill.</t>
        </is>
      </c>
    </row>
    <row r="28" ht="56" customHeight="1">
      <c r="B28" s="16" t="inlineStr">
        <is>
          <t>PMT practice</t>
        </is>
      </c>
      <c r="C28" s="17" t="inlineStr">
        <is>
          <t>Physics &amp; Maths Tutor sheets: a Solomon topic worksheet (with answers) or Edexcel past-paper questions on the same topic (with mark scheme), for extra practice.</t>
        </is>
      </c>
    </row>
    <row r="29" ht="40" customHeight="1">
      <c r="B29" s="16" t="inlineStr">
        <is>
          <t>OCR MEI past papers</t>
        </is>
      </c>
      <c r="C29" s="17" t="inlineStr">
        <is>
          <t>Real OCR MEI exam questions on the topic. 'Marks' opens the mark scheme at the back of the same PDF.</t>
        </is>
      </c>
    </row>
    <row r="30" ht="56" customHeight="1">
      <c r="B30" s="16" t="inlineStr">
        <is>
          <t>Ref and Year</t>
        </is>
      </c>
      <c r="C30" s="17" t="inlineStr">
        <is>
          <t>The official H640 learning-outcome code (e.g. Mc14 = chain rule). Y1 = also in the AS specification (H630); Y2 = A Level only. LDS = the large data set.</t>
        </is>
      </c>
    </row>
    <row r="32">
      <c r="B32" s="3" t="inlineStr">
        <is>
          <t>The exams</t>
        </is>
      </c>
    </row>
    <row r="33" ht="88" customHeight="1">
      <c r="C33" s="18" t="inlineStr">
        <is>
          <t>Three 2-hour papers. Paper 1: Pure Mathematics and Mechanics (100 marks, 36.4%). Paper 2: Pure Mathematics and Statistics (100 marks, 36.4%), including questions on the large data set. Paper 3: Pure Mathematics and Comprehension (75 marks, 27.3%), where mechanics and statistics are assumed knowledge. Any paper can test Year 1 content.</t>
        </is>
      </c>
    </row>
  </sheetData>
  <pageMargins left="0.75" right="0.75" top="1" bottom="1" header="0.5" footer="0.5"/>
  <pageSetup fitToHeight="0" fitToWidth="1"/>
</worksheet>
</file>

<file path=xl/worksheets/sheet2.xml><?xml version="1.0" encoding="utf-8"?>
<worksheet xmlns="http://schemas.openxmlformats.org/spreadsheetml/2006/main">
  <sheetPr>
    <tabColor rgb="003B5BDB"/>
    <outlinePr summaryBelow="0"/>
    <pageSetUpPr fitToPage="1"/>
  </sheetPr>
  <dimension ref="A1:P181"/>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1" customWidth="1" min="6" max="6"/>
    <col width="23" customWidth="1" min="7" max="7"/>
    <col width="10" customWidth="1" min="8" max="8"/>
    <col width="30" customWidth="1" min="9" max="9"/>
    <col width="23" customWidth="1" min="10" max="10"/>
    <col width="11" customWidth="1" min="11" max="11"/>
    <col width="9" customWidth="1" min="12" max="12"/>
    <col width="30" customWidth="1" min="13" max="13"/>
    <col width="23" customWidth="1" min="14" max="14"/>
    <col width="11" customWidth="1" min="15" max="15"/>
    <col hidden="1" width="13" customWidth="1" min="16" max="16"/>
  </cols>
  <sheetData>
    <row r="1" ht="34" customHeight="1">
      <c r="A1" s="19" t="inlineStr">
        <is>
          <t>Pure maths</t>
        </is>
      </c>
    </row>
    <row r="2">
      <c r="A2" s="20" t="inlineStr">
        <is>
          <t>OCR MEI Papers 1, 2 and 3  ·  149 topics  ·  pick R, A or G in the yellow Rating column for each one</t>
        </is>
      </c>
    </row>
    <row r="3">
      <c r="A3" s="21">
        <f>"Rated so far: "&amp;(COUNTIF($D$7:$D$181,"R")+COUNTIF($D$7:$D$181,"A")+COUNTIF($D$7:$D$181,"G"))&amp;" of 149     Red "&amp;COUNTIF($D$7:$D$181,"R")&amp;"   ·   Amber "&amp;COUNTIF($D$7:$D$181,"A")&amp;"   ·   Green "&amp;COUNTIF($D$7:$D$181,"G")</f>
        <v/>
      </c>
    </row>
    <row r="4" ht="8" customHeight="1"/>
    <row r="5">
      <c r="A5" s="22" t="inlineStr">
        <is>
          <t>Your check</t>
        </is>
      </c>
      <c r="B5" s="23" t="n"/>
      <c r="C5" s="23" t="n"/>
      <c r="D5" s="23" t="n"/>
      <c r="E5" s="23" t="n"/>
      <c r="F5" s="24" t="inlineStr">
        <is>
          <t>Maths Genie</t>
        </is>
      </c>
      <c r="G5" s="23" t="n"/>
      <c r="H5" s="23" t="n"/>
      <c r="I5" s="24" t="inlineStr">
        <is>
          <t>PMT practice</t>
        </is>
      </c>
      <c r="J5" s="23" t="n"/>
      <c r="K5" s="23" t="n"/>
      <c r="L5" s="23" t="n"/>
      <c r="M5" s="24" t="inlineStr">
        <is>
          <t>OCR MEI past-paper questions</t>
        </is>
      </c>
      <c r="N5" s="23" t="n"/>
      <c r="O5" s="23" t="n"/>
    </row>
    <row r="6" ht="22" customHeight="1">
      <c r="A6" s="25" t="inlineStr">
        <is>
          <t>Ref</t>
        </is>
      </c>
      <c r="B6" s="26" t="inlineStr">
        <is>
          <t>Topic</t>
        </is>
      </c>
      <c r="C6" s="25" t="inlineStr">
        <is>
          <t>Year</t>
        </is>
      </c>
      <c r="D6" s="25" t="inlineStr">
        <is>
          <t>Rating</t>
        </is>
      </c>
      <c r="E6" s="26" t="inlineStr">
        <is>
          <t>Notes</t>
        </is>
      </c>
      <c r="F6" s="25" t="inlineStr">
        <is>
          <t>Video</t>
        </is>
      </c>
      <c r="G6" s="25" t="inlineStr">
        <is>
          <t>Questions</t>
        </is>
      </c>
      <c r="H6" s="25" t="inlineStr">
        <is>
          <t>Answers</t>
        </is>
      </c>
      <c r="I6" s="26" t="inlineStr">
        <is>
          <t>Worksheet</t>
        </is>
      </c>
      <c r="J6" s="25" t="inlineStr">
        <is>
          <t>Questions</t>
        </is>
      </c>
      <c r="K6" s="25" t="inlineStr">
        <is>
          <t>Mark scheme</t>
        </is>
      </c>
      <c r="L6" s="25" t="inlineStr">
        <is>
          <t>Answers</t>
        </is>
      </c>
      <c r="M6" s="26" t="inlineStr">
        <is>
          <t>OCR MEI sheet</t>
        </is>
      </c>
      <c r="N6" s="25" t="inlineStr">
        <is>
          <t>Questions</t>
        </is>
      </c>
      <c r="O6" s="25" t="inlineStr">
        <is>
          <t>Mark scheme</t>
        </is>
      </c>
    </row>
    <row r="7" ht="10" customHeight="1"/>
    <row r="8" ht="26" customHeight="1">
      <c r="A8" s="27" t="n">
        <v>1</v>
      </c>
      <c r="B8" s="28" t="inlineStr">
        <is>
          <t>Proof</t>
        </is>
      </c>
      <c r="C8" s="29" t="n"/>
      <c r="D8" s="29" t="n"/>
      <c r="E8" s="30" t="inlineStr">
        <is>
          <t>3 topics  ·  Year 1: 2  ·  Year 2: 1</t>
        </is>
      </c>
      <c r="F8" s="29" t="n"/>
      <c r="G8" s="29" t="n"/>
      <c r="H8" s="29" t="n"/>
      <c r="I8" s="29" t="n"/>
      <c r="J8" s="29" t="n"/>
      <c r="K8" s="29" t="n"/>
      <c r="L8" s="29" t="n"/>
      <c r="M8" s="29" t="n"/>
      <c r="N8" s="29" t="n"/>
      <c r="O8" s="29" t="n"/>
    </row>
    <row r="9" outlineLevel="1" ht="32" customHeight="1">
      <c r="A9" s="31" t="inlineStr">
        <is>
          <t>Mp1</t>
        </is>
      </c>
      <c r="B9" s="32" t="inlineStr">
        <is>
          <t>Structure of mathematical proof</t>
        </is>
      </c>
      <c r="C9" s="33" t="n">
        <v>1</v>
      </c>
      <c r="D9" s="34" t="n"/>
      <c r="E9" s="35" t="n"/>
      <c r="F9" s="36" t="inlineStr">
        <is>
          <t>Topic page</t>
        </is>
      </c>
      <c r="G9" s="36" t="inlineStr">
        <is>
          <t>Q 11, 12, 14, 15, 17, 18, 28, 32</t>
        </is>
      </c>
      <c r="H9" s="36" t="inlineStr">
        <is>
          <t>Answers</t>
        </is>
      </c>
      <c r="I9" s="35" t="inlineStr">
        <is>
          <t>Edexcel: Proof</t>
        </is>
      </c>
      <c r="J9" s="36" t="inlineStr">
        <is>
          <t>Pages 1–5</t>
        </is>
      </c>
      <c r="K9" s="36" t="inlineStr">
        <is>
          <t>Marks</t>
        </is>
      </c>
      <c r="L9" s="36" t="inlineStr">
        <is>
          <t>Answers</t>
        </is>
      </c>
      <c r="M9" s="35" t="inlineStr">
        <is>
          <t>Proof (Yr. 1)</t>
        </is>
      </c>
      <c r="N9" s="36" t="inlineStr">
        <is>
          <t>Pages 1, 2</t>
        </is>
      </c>
      <c r="O9" s="36" t="inlineStr">
        <is>
          <t>Marks</t>
        </is>
      </c>
      <c r="P9" t="inlineStr">
        <is>
          <t>P1</t>
        </is>
      </c>
    </row>
    <row r="10" outlineLevel="1" ht="32" customHeight="1">
      <c r="A10" s="31" t="inlineStr">
        <is>
          <t>Mp2</t>
        </is>
      </c>
      <c r="B10" s="32" t="inlineStr">
        <is>
          <t>Disproof by counter example</t>
        </is>
      </c>
      <c r="C10" s="33" t="n">
        <v>1</v>
      </c>
      <c r="D10" s="34" t="n"/>
      <c r="E10" s="35" t="n"/>
      <c r="F10" s="36" t="inlineStr">
        <is>
          <t>Topic page</t>
        </is>
      </c>
      <c r="G10" s="36" t="inlineStr">
        <is>
          <t>Q 8, 11, 13, 17, 18, 24, 32, 35</t>
        </is>
      </c>
      <c r="H10" s="36" t="inlineStr">
        <is>
          <t>Answers</t>
        </is>
      </c>
      <c r="I10" s="35" t="inlineStr">
        <is>
          <t>Solomon: Mixed exam-style questions on proof</t>
        </is>
      </c>
      <c r="J10" s="36" t="inlineStr">
        <is>
          <t>Q 1, 3, 7, 8</t>
        </is>
      </c>
      <c r="K10" s="37" t="inlineStr">
        <is>
          <t>none</t>
        </is>
      </c>
      <c r="L10" s="36" t="inlineStr">
        <is>
          <t>Answers</t>
        </is>
      </c>
      <c r="M10" s="35" t="inlineStr">
        <is>
          <t>Proof (Yr. 1)</t>
        </is>
      </c>
      <c r="N10" s="36" t="inlineStr">
        <is>
          <t>Pages 1, 2</t>
        </is>
      </c>
      <c r="O10" s="36" t="inlineStr">
        <is>
          <t>Marks</t>
        </is>
      </c>
      <c r="P10" t="inlineStr">
        <is>
          <t>P1</t>
        </is>
      </c>
    </row>
    <row r="11" outlineLevel="1" ht="32" customHeight="1">
      <c r="A11" s="31" t="inlineStr">
        <is>
          <t>Mp3</t>
        </is>
      </c>
      <c r="B11" s="32" t="inlineStr">
        <is>
          <t>Proof by contradiction</t>
        </is>
      </c>
      <c r="C11" s="38" t="n">
        <v>2</v>
      </c>
      <c r="D11" s="34" t="n"/>
      <c r="E11" s="35" t="n"/>
      <c r="F11" s="36" t="inlineStr">
        <is>
          <t>▶ Watch</t>
        </is>
      </c>
      <c r="G11" s="36" t="inlineStr">
        <is>
          <t>Q 13–18</t>
        </is>
      </c>
      <c r="H11" s="36" t="inlineStr">
        <is>
          <t>Answers</t>
        </is>
      </c>
      <c r="I11" s="35" t="inlineStr">
        <is>
          <t>Solomon: Mixed exam-style questions on proof</t>
        </is>
      </c>
      <c r="J11" s="36" t="inlineStr">
        <is>
          <t>Q 2, 4, 6, 8</t>
        </is>
      </c>
      <c r="K11" s="37" t="inlineStr">
        <is>
          <t>none</t>
        </is>
      </c>
      <c r="L11" s="36" t="inlineStr">
        <is>
          <t>Answers</t>
        </is>
      </c>
      <c r="M11" s="35" t="inlineStr">
        <is>
          <t>Proof (Yr. 2)</t>
        </is>
      </c>
      <c r="N11" s="36" t="inlineStr">
        <is>
          <t>Pages 1, 2</t>
        </is>
      </c>
      <c r="O11" s="36" t="inlineStr">
        <is>
          <t>Marks</t>
        </is>
      </c>
      <c r="P11" t="inlineStr">
        <is>
          <t>P1</t>
        </is>
      </c>
    </row>
    <row r="12" ht="10" customHeight="1"/>
    <row r="13" ht="26" customHeight="1">
      <c r="A13" s="27" t="n">
        <v>2</v>
      </c>
      <c r="B13" s="28" t="inlineStr">
        <is>
          <t>Algebra</t>
        </is>
      </c>
      <c r="C13" s="29" t="n"/>
      <c r="D13" s="29" t="n"/>
      <c r="E13" s="30" t="inlineStr">
        <is>
          <t>16 topics  ·  Year 1: 14  ·  Year 2: 2</t>
        </is>
      </c>
      <c r="F13" s="29" t="n"/>
      <c r="G13" s="29" t="n"/>
      <c r="H13" s="29" t="n"/>
      <c r="I13" s="29" t="n"/>
      <c r="J13" s="29" t="n"/>
      <c r="K13" s="29" t="n"/>
      <c r="L13" s="29" t="n"/>
      <c r="M13" s="29" t="n"/>
      <c r="N13" s="29" t="n"/>
      <c r="O13" s="29" t="n"/>
    </row>
    <row r="14" outlineLevel="1" ht="20" customHeight="1">
      <c r="A14" s="31" t="inlineStr">
        <is>
          <t>Ma1</t>
        </is>
      </c>
      <c r="B14" s="32" t="inlineStr">
        <is>
          <t>Algebraic vocabulary and notation</t>
        </is>
      </c>
      <c r="C14" s="33" t="n">
        <v>1</v>
      </c>
      <c r="D14" s="34" t="n"/>
      <c r="E14" s="35" t="n"/>
      <c r="F14" s="36" t="inlineStr">
        <is>
          <t>Topic page</t>
        </is>
      </c>
      <c r="G14" s="37" t="inlineStr">
        <is>
          <t>none on this topic</t>
        </is>
      </c>
      <c r="H14" s="39" t="n"/>
      <c r="I14" s="40" t="inlineStr">
        <is>
          <t>none for this topic</t>
        </is>
      </c>
      <c r="J14" s="37" t="inlineStr">
        <is>
          <t>none on this topic</t>
        </is>
      </c>
      <c r="K14" s="39" t="n"/>
      <c r="L14" s="39" t="n"/>
      <c r="M14" s="40" t="inlineStr">
        <is>
          <t>none for this topic</t>
        </is>
      </c>
      <c r="N14" s="37" t="inlineStr">
        <is>
          <t>none on this topic</t>
        </is>
      </c>
      <c r="O14" s="39" t="n"/>
      <c r="P14" t="inlineStr">
        <is>
          <t>P2</t>
        </is>
      </c>
    </row>
    <row r="15" outlineLevel="1" ht="32" customHeight="1">
      <c r="A15" s="31" t="inlineStr">
        <is>
          <t>Ma2</t>
        </is>
      </c>
      <c r="B15" s="32" t="inlineStr">
        <is>
          <t>Solve quadratic equations</t>
        </is>
      </c>
      <c r="C15" s="33" t="n">
        <v>1</v>
      </c>
      <c r="D15" s="34" t="n"/>
      <c r="E15" s="35" t="n"/>
      <c r="F15" s="36" t="inlineStr">
        <is>
          <t>▶ Watch</t>
        </is>
      </c>
      <c r="G15" s="36" t="inlineStr">
        <is>
          <t>Q 6, 7, 9</t>
        </is>
      </c>
      <c r="H15" s="36" t="inlineStr">
        <is>
          <t>Answers</t>
        </is>
      </c>
      <c r="I15" s="35" t="inlineStr">
        <is>
          <t>Solomon: Quadratics – factorising</t>
        </is>
      </c>
      <c r="J15" s="36" t="inlineStr">
        <is>
          <t>Q 3, 6</t>
        </is>
      </c>
      <c r="K15" s="37" t="inlineStr">
        <is>
          <t>none</t>
        </is>
      </c>
      <c r="L15" s="36" t="inlineStr">
        <is>
          <t>Answers</t>
        </is>
      </c>
      <c r="M15" s="35" t="inlineStr">
        <is>
          <t>Graphs (Yr. 1)</t>
        </is>
      </c>
      <c r="N15" s="36" t="inlineStr">
        <is>
          <t>Pages 3, 5, 6</t>
        </is>
      </c>
      <c r="O15" s="36" t="inlineStr">
        <is>
          <t>Marks</t>
        </is>
      </c>
      <c r="P15" t="inlineStr">
        <is>
          <t>P2</t>
        </is>
      </c>
    </row>
    <row r="16" outlineLevel="1" ht="20" customHeight="1">
      <c r="A16" s="31" t="inlineStr">
        <is>
          <t>Ma3</t>
        </is>
      </c>
      <c r="B16" s="32" t="inlineStr">
        <is>
          <t>Discriminant of a quadratic</t>
        </is>
      </c>
      <c r="C16" s="33" t="n">
        <v>1</v>
      </c>
      <c r="D16" s="34" t="n"/>
      <c r="E16" s="35" t="n"/>
      <c r="F16" s="36" t="inlineStr">
        <is>
          <t>▶ Watch</t>
        </is>
      </c>
      <c r="G16" s="36" t="inlineStr">
        <is>
          <t>Q 1–4, 6–8, 22</t>
        </is>
      </c>
      <c r="H16" s="36" t="inlineStr">
        <is>
          <t>Answers</t>
        </is>
      </c>
      <c r="I16" s="35" t="inlineStr">
        <is>
          <t>Edexcel: Inequalities</t>
        </is>
      </c>
      <c r="J16" s="36" t="inlineStr">
        <is>
          <t>Pages 1–3</t>
        </is>
      </c>
      <c r="K16" s="37" t="inlineStr">
        <is>
          <t>in the PDF</t>
        </is>
      </c>
      <c r="L16" s="37" t="inlineStr">
        <is>
          <t>in the PDF</t>
        </is>
      </c>
      <c r="M16" s="35" t="inlineStr">
        <is>
          <t>Graphs (Yr. 1)</t>
        </is>
      </c>
      <c r="N16" s="36" t="inlineStr">
        <is>
          <t>Pages 2, 3, 6</t>
        </is>
      </c>
      <c r="O16" s="36" t="inlineStr">
        <is>
          <t>Marks</t>
        </is>
      </c>
      <c r="P16" t="inlineStr">
        <is>
          <t>P2</t>
        </is>
      </c>
    </row>
    <row r="17" outlineLevel="1" ht="32" customHeight="1">
      <c r="A17" s="31" t="inlineStr">
        <is>
          <t>Ma4</t>
        </is>
      </c>
      <c r="B17" s="32" t="inlineStr">
        <is>
          <t>Linear simultaneous equations</t>
        </is>
      </c>
      <c r="C17" s="33" t="n">
        <v>1</v>
      </c>
      <c r="D17" s="34" t="n"/>
      <c r="E17" s="35" t="n"/>
      <c r="F17" s="36" t="inlineStr">
        <is>
          <t>▶ Watch</t>
        </is>
      </c>
      <c r="G17" s="36" t="inlineStr">
        <is>
          <t>Q 7, 10, 18</t>
        </is>
      </c>
      <c r="H17" s="36" t="inlineStr">
        <is>
          <t>Answers</t>
        </is>
      </c>
      <c r="I17" s="35" t="inlineStr">
        <is>
          <t>Solomon: Simultaneous equations</t>
        </is>
      </c>
      <c r="J17" s="36" t="inlineStr">
        <is>
          <t>Q 1</t>
        </is>
      </c>
      <c r="K17" s="37" t="inlineStr">
        <is>
          <t>none</t>
        </is>
      </c>
      <c r="L17" s="36" t="inlineStr">
        <is>
          <t>Answers</t>
        </is>
      </c>
      <c r="M17" s="35" t="inlineStr">
        <is>
          <t>Solution of Equations</t>
        </is>
      </c>
      <c r="N17" s="36" t="inlineStr">
        <is>
          <t>Page 1</t>
        </is>
      </c>
      <c r="O17" s="36" t="inlineStr">
        <is>
          <t>Marks</t>
        </is>
      </c>
      <c r="P17" t="inlineStr">
        <is>
          <t>P2</t>
        </is>
      </c>
    </row>
    <row r="18" outlineLevel="1" ht="32" customHeight="1">
      <c r="A18" s="31" t="inlineStr">
        <is>
          <t>Ma5</t>
        </is>
      </c>
      <c r="B18" s="32" t="inlineStr">
        <is>
          <t>One linear one quadratic simultaneous equations</t>
        </is>
      </c>
      <c r="C18" s="33" t="n">
        <v>1</v>
      </c>
      <c r="D18" s="34" t="n"/>
      <c r="E18" s="35" t="n"/>
      <c r="F18" s="36" t="inlineStr">
        <is>
          <t>▶ Watch</t>
        </is>
      </c>
      <c r="G18" s="36" t="inlineStr">
        <is>
          <t>Q 3, 5–7, 12</t>
        </is>
      </c>
      <c r="H18" s="36" t="inlineStr">
        <is>
          <t>Answers</t>
        </is>
      </c>
      <c r="I18" s="35" t="inlineStr">
        <is>
          <t>Edexcel: Simultaneous Equations</t>
        </is>
      </c>
      <c r="J18" s="36" t="inlineStr">
        <is>
          <t>Pages 1–4</t>
        </is>
      </c>
      <c r="K18" s="37" t="inlineStr">
        <is>
          <t>in the PDF</t>
        </is>
      </c>
      <c r="L18" s="37" t="inlineStr">
        <is>
          <t>in the PDF</t>
        </is>
      </c>
      <c r="M18" s="35" t="inlineStr">
        <is>
          <t>Curves</t>
        </is>
      </c>
      <c r="N18" s="36" t="inlineStr">
        <is>
          <t>Page 2</t>
        </is>
      </c>
      <c r="O18" s="36" t="inlineStr">
        <is>
          <t>Marks</t>
        </is>
      </c>
      <c r="P18" t="inlineStr">
        <is>
          <t>P2</t>
        </is>
      </c>
    </row>
    <row r="19" outlineLevel="1" ht="32" customHeight="1">
      <c r="A19" s="31" t="inlineStr">
        <is>
          <t>Ma6</t>
        </is>
      </c>
      <c r="B19" s="32" t="inlineStr">
        <is>
          <t>Points of intersection and solutions</t>
        </is>
      </c>
      <c r="C19" s="33" t="n">
        <v>1</v>
      </c>
      <c r="D19" s="34" t="n"/>
      <c r="E19" s="35" t="n"/>
      <c r="F19" s="36" t="inlineStr">
        <is>
          <t>▶ Watch</t>
        </is>
      </c>
      <c r="G19" s="36" t="inlineStr">
        <is>
          <t>Q 2, 23</t>
        </is>
      </c>
      <c r="H19" s="36" t="inlineStr">
        <is>
          <t>Answers</t>
        </is>
      </c>
      <c r="I19" s="35" t="inlineStr">
        <is>
          <t>Edexcel: Transformations and Graphs</t>
        </is>
      </c>
      <c r="J19" s="36" t="inlineStr">
        <is>
          <t>Pages 3, 4</t>
        </is>
      </c>
      <c r="K19" s="36" t="inlineStr">
        <is>
          <t>Marks</t>
        </is>
      </c>
      <c r="L19" s="36" t="inlineStr">
        <is>
          <t>Answers</t>
        </is>
      </c>
      <c r="M19" s="35" t="inlineStr">
        <is>
          <t>Graphs (Yr. 1)</t>
        </is>
      </c>
      <c r="N19" s="36" t="inlineStr">
        <is>
          <t>Pages 2, 3, 5, 6</t>
        </is>
      </c>
      <c r="O19" s="36" t="inlineStr">
        <is>
          <t>Marks</t>
        </is>
      </c>
      <c r="P19" t="inlineStr">
        <is>
          <t>P2</t>
        </is>
      </c>
    </row>
    <row r="20" outlineLevel="1" ht="20" customHeight="1">
      <c r="A20" s="31" t="inlineStr">
        <is>
          <t>Ma7</t>
        </is>
      </c>
      <c r="B20" s="32" t="inlineStr">
        <is>
          <t>Linear inequalities</t>
        </is>
      </c>
      <c r="C20" s="33" t="n">
        <v>1</v>
      </c>
      <c r="D20" s="34" t="n"/>
      <c r="E20" s="35" t="n"/>
      <c r="F20" s="36" t="inlineStr">
        <is>
          <t>▶ Watch</t>
        </is>
      </c>
      <c r="G20" s="36" t="inlineStr">
        <is>
          <t>Q 8, 13</t>
        </is>
      </c>
      <c r="H20" s="36" t="inlineStr">
        <is>
          <t>Answers</t>
        </is>
      </c>
      <c r="I20" s="35" t="inlineStr">
        <is>
          <t>Edexcel: Inequalities</t>
        </is>
      </c>
      <c r="J20" s="36" t="inlineStr">
        <is>
          <t>Pages 1–4</t>
        </is>
      </c>
      <c r="K20" s="37" t="inlineStr">
        <is>
          <t>in the PDF</t>
        </is>
      </c>
      <c r="L20" s="37" t="inlineStr">
        <is>
          <t>in the PDF</t>
        </is>
      </c>
      <c r="M20" s="35" t="inlineStr">
        <is>
          <t>Inequalities</t>
        </is>
      </c>
      <c r="N20" s="36" t="inlineStr">
        <is>
          <t>Page 1</t>
        </is>
      </c>
      <c r="O20" s="36" t="inlineStr">
        <is>
          <t>Marks</t>
        </is>
      </c>
      <c r="P20" t="inlineStr">
        <is>
          <t>P2</t>
        </is>
      </c>
    </row>
    <row r="21" outlineLevel="1" ht="20" customHeight="1">
      <c r="A21" s="31" t="inlineStr">
        <is>
          <t>Ma8</t>
        </is>
      </c>
      <c r="B21" s="32" t="inlineStr">
        <is>
          <t>Quadratic inequalities</t>
        </is>
      </c>
      <c r="C21" s="33" t="n">
        <v>1</v>
      </c>
      <c r="D21" s="34" t="n"/>
      <c r="E21" s="35" t="n"/>
      <c r="F21" s="36" t="inlineStr">
        <is>
          <t>▶ Watch</t>
        </is>
      </c>
      <c r="G21" s="36" t="inlineStr">
        <is>
          <t>Q 1, 2, 4, 8–11, 15</t>
        </is>
      </c>
      <c r="H21" s="36" t="inlineStr">
        <is>
          <t>Answers</t>
        </is>
      </c>
      <c r="I21" s="35" t="inlineStr">
        <is>
          <t>Edexcel: Inequalities</t>
        </is>
      </c>
      <c r="J21" s="36" t="inlineStr">
        <is>
          <t>Pages 1–4</t>
        </is>
      </c>
      <c r="K21" s="37" t="inlineStr">
        <is>
          <t>in the PDF</t>
        </is>
      </c>
      <c r="L21" s="37" t="inlineStr">
        <is>
          <t>in the PDF</t>
        </is>
      </c>
      <c r="M21" s="35" t="inlineStr">
        <is>
          <t>Inequalities</t>
        </is>
      </c>
      <c r="N21" s="36" t="inlineStr">
        <is>
          <t>Page 1</t>
        </is>
      </c>
      <c r="O21" s="36" t="inlineStr">
        <is>
          <t>Marks</t>
        </is>
      </c>
      <c r="P21" t="inlineStr">
        <is>
          <t>P2</t>
        </is>
      </c>
    </row>
    <row r="22" outlineLevel="1" ht="32" customHeight="1">
      <c r="A22" s="31" t="inlineStr">
        <is>
          <t>Ma9</t>
        </is>
      </c>
      <c r="B22" s="32" t="inlineStr">
        <is>
          <t>Writing inequality solutions with 'and', 'or' or set notation</t>
        </is>
      </c>
      <c r="C22" s="33" t="n">
        <v>1</v>
      </c>
      <c r="D22" s="34" t="n"/>
      <c r="E22" s="35" t="n"/>
      <c r="F22" s="36" t="inlineStr">
        <is>
          <t>Topic page</t>
        </is>
      </c>
      <c r="G22" s="36" t="inlineStr">
        <is>
          <t>Q 1, 8, 9, 11, 15</t>
        </is>
      </c>
      <c r="H22" s="36" t="inlineStr">
        <is>
          <t>Answers</t>
        </is>
      </c>
      <c r="I22" s="35" t="inlineStr">
        <is>
          <t>Edexcel: Inequalities</t>
        </is>
      </c>
      <c r="J22" s="36" t="inlineStr">
        <is>
          <t>Pages 1–4</t>
        </is>
      </c>
      <c r="K22" s="37" t="inlineStr">
        <is>
          <t>in the PDF</t>
        </is>
      </c>
      <c r="L22" s="37" t="inlineStr">
        <is>
          <t>in the PDF</t>
        </is>
      </c>
      <c r="M22" s="35" t="inlineStr">
        <is>
          <t>Inequalities</t>
        </is>
      </c>
      <c r="N22" s="36" t="inlineStr">
        <is>
          <t>Page 1</t>
        </is>
      </c>
      <c r="O22" s="36" t="inlineStr">
        <is>
          <t>Marks</t>
        </is>
      </c>
      <c r="P22" t="inlineStr">
        <is>
          <t>P2</t>
        </is>
      </c>
    </row>
    <row r="23" outlineLevel="1" ht="20" customHeight="1">
      <c r="A23" s="31" t="inlineStr">
        <is>
          <t>Ma10</t>
        </is>
      </c>
      <c r="B23" s="32" t="inlineStr">
        <is>
          <t>Use and manipulate surds</t>
        </is>
      </c>
      <c r="C23" s="33" t="n">
        <v>1</v>
      </c>
      <c r="D23" s="34" t="n"/>
      <c r="E23" s="35" t="n"/>
      <c r="F23" s="36" t="inlineStr">
        <is>
          <t>▶ Watch</t>
        </is>
      </c>
      <c r="G23" s="36" t="inlineStr">
        <is>
          <t>Q 3, 5</t>
        </is>
      </c>
      <c r="H23" s="36" t="inlineStr">
        <is>
          <t>Answers</t>
        </is>
      </c>
      <c r="I23" s="35" t="inlineStr">
        <is>
          <t>Solomon: Surds</t>
        </is>
      </c>
      <c r="J23" s="36" t="inlineStr">
        <is>
          <t>Q 2–7, 9</t>
        </is>
      </c>
      <c r="K23" s="37" t="inlineStr">
        <is>
          <t>none</t>
        </is>
      </c>
      <c r="L23" s="36" t="inlineStr">
        <is>
          <t>Answers</t>
        </is>
      </c>
      <c r="M23" s="35" t="inlineStr">
        <is>
          <t>Surds and Indices</t>
        </is>
      </c>
      <c r="N23" s="36" t="inlineStr">
        <is>
          <t>Pages 1–4</t>
        </is>
      </c>
      <c r="O23" s="36" t="inlineStr">
        <is>
          <t>Marks</t>
        </is>
      </c>
      <c r="P23" t="inlineStr">
        <is>
          <t>P2</t>
        </is>
      </c>
    </row>
    <row r="24" outlineLevel="1" ht="20" customHeight="1">
      <c r="A24" s="31" t="inlineStr">
        <is>
          <t>Ma11</t>
        </is>
      </c>
      <c r="B24" s="32" t="inlineStr">
        <is>
          <t>Rationalise the denominator</t>
        </is>
      </c>
      <c r="C24" s="33" t="n">
        <v>1</v>
      </c>
      <c r="D24" s="34" t="n"/>
      <c r="E24" s="35" t="n"/>
      <c r="F24" s="36" t="inlineStr">
        <is>
          <t>Topic page</t>
        </is>
      </c>
      <c r="G24" s="36" t="inlineStr">
        <is>
          <t>Q 6, 8, 9, 11</t>
        </is>
      </c>
      <c r="H24" s="36" t="inlineStr">
        <is>
          <t>Answers</t>
        </is>
      </c>
      <c r="I24" s="35" t="inlineStr">
        <is>
          <t>Solomon: Surds</t>
        </is>
      </c>
      <c r="J24" s="36" t="inlineStr">
        <is>
          <t>Q 8, 12, 15</t>
        </is>
      </c>
      <c r="K24" s="37" t="inlineStr">
        <is>
          <t>none</t>
        </is>
      </c>
      <c r="L24" s="36" t="inlineStr">
        <is>
          <t>Answers</t>
        </is>
      </c>
      <c r="M24" s="35" t="inlineStr">
        <is>
          <t>Surds and Indices</t>
        </is>
      </c>
      <c r="N24" s="36" t="inlineStr">
        <is>
          <t>Pages 1–4</t>
        </is>
      </c>
      <c r="O24" s="36" t="inlineStr">
        <is>
          <t>Marks</t>
        </is>
      </c>
      <c r="P24" t="inlineStr">
        <is>
          <t>P2</t>
        </is>
      </c>
    </row>
    <row r="25" outlineLevel="1" ht="32" customHeight="1">
      <c r="A25" s="31" t="inlineStr">
        <is>
          <t>Ma12</t>
        </is>
      </c>
      <c r="B25" s="32" t="inlineStr">
        <is>
          <t>Laws of indices</t>
        </is>
      </c>
      <c r="C25" s="33" t="n">
        <v>1</v>
      </c>
      <c r="D25" s="34" t="n"/>
      <c r="E25" s="35" t="n"/>
      <c r="F25" s="36" t="inlineStr">
        <is>
          <t>▶ Watch</t>
        </is>
      </c>
      <c r="G25" s="36" t="inlineStr">
        <is>
          <t>Q 2, 4, 5, 8, 10</t>
        </is>
      </c>
      <c r="H25" s="36" t="inlineStr">
        <is>
          <t>Answers</t>
        </is>
      </c>
      <c r="I25" s="35" t="inlineStr">
        <is>
          <t>Solomon: Indices</t>
        </is>
      </c>
      <c r="J25" s="36" t="inlineStr">
        <is>
          <t>Q 2, 3, 7, 11, 12, 14, 15, 17</t>
        </is>
      </c>
      <c r="K25" s="37" t="inlineStr">
        <is>
          <t>none</t>
        </is>
      </c>
      <c r="L25" s="36" t="inlineStr">
        <is>
          <t>Answers</t>
        </is>
      </c>
      <c r="M25" s="35" t="inlineStr">
        <is>
          <t>Surds and Indices</t>
        </is>
      </c>
      <c r="N25" s="36" t="inlineStr">
        <is>
          <t>Pages 1–3</t>
        </is>
      </c>
      <c r="O25" s="36" t="inlineStr">
        <is>
          <t>Marks</t>
        </is>
      </c>
      <c r="P25" t="inlineStr">
        <is>
          <t>P2</t>
        </is>
      </c>
    </row>
    <row r="26" outlineLevel="1" ht="20" customHeight="1">
      <c r="A26" s="31" t="inlineStr">
        <is>
          <t>Ma13</t>
        </is>
      </c>
      <c r="B26" s="32" t="inlineStr">
        <is>
          <t>Negative, fractional and zero indices</t>
        </is>
      </c>
      <c r="C26" s="33" t="n">
        <v>1</v>
      </c>
      <c r="D26" s="34" t="n"/>
      <c r="E26" s="35" t="n"/>
      <c r="F26" s="36" t="inlineStr">
        <is>
          <t>▶ Watch</t>
        </is>
      </c>
      <c r="G26" s="36" t="inlineStr">
        <is>
          <t>Q 1–3</t>
        </is>
      </c>
      <c r="H26" s="36" t="inlineStr">
        <is>
          <t>Answers</t>
        </is>
      </c>
      <c r="I26" s="35" t="inlineStr">
        <is>
          <t>Solomon: Indices</t>
        </is>
      </c>
      <c r="J26" s="36" t="inlineStr">
        <is>
          <t>Q 1, 4–6, 9, 10</t>
        </is>
      </c>
      <c r="K26" s="37" t="inlineStr">
        <is>
          <t>none</t>
        </is>
      </c>
      <c r="L26" s="36" t="inlineStr">
        <is>
          <t>Answers</t>
        </is>
      </c>
      <c r="M26" s="35" t="inlineStr">
        <is>
          <t>Surds and Indices</t>
        </is>
      </c>
      <c r="N26" s="36" t="inlineStr">
        <is>
          <t>Pages 1–3</t>
        </is>
      </c>
      <c r="O26" s="36" t="inlineStr">
        <is>
          <t>Marks</t>
        </is>
      </c>
      <c r="P26" t="inlineStr">
        <is>
          <t>P2</t>
        </is>
      </c>
    </row>
    <row r="27" outlineLevel="1" ht="20" customHeight="1">
      <c r="A27" s="31" t="inlineStr">
        <is>
          <t>Ma14</t>
        </is>
      </c>
      <c r="B27" s="32" t="inlineStr">
        <is>
          <t>Proportional relationships</t>
        </is>
      </c>
      <c r="C27" s="33" t="n">
        <v>1</v>
      </c>
      <c r="D27" s="34" t="n"/>
      <c r="E27" s="35" t="n"/>
      <c r="F27" s="36" t="inlineStr">
        <is>
          <t>Topic page</t>
        </is>
      </c>
      <c r="G27" s="36" t="inlineStr">
        <is>
          <t>Q 6</t>
        </is>
      </c>
      <c r="H27" s="36" t="inlineStr">
        <is>
          <t>Answers</t>
        </is>
      </c>
      <c r="I27" s="40" t="inlineStr">
        <is>
          <t>none for this topic</t>
        </is>
      </c>
      <c r="J27" s="37" t="inlineStr">
        <is>
          <t>none on this topic</t>
        </is>
      </c>
      <c r="K27" s="39" t="n"/>
      <c r="L27" s="39" t="n"/>
      <c r="M27" s="40" t="inlineStr">
        <is>
          <t>none for this topic</t>
        </is>
      </c>
      <c r="N27" s="37" t="inlineStr">
        <is>
          <t>none on this topic</t>
        </is>
      </c>
      <c r="O27" s="39" t="n"/>
      <c r="P27" t="inlineStr">
        <is>
          <t>P2</t>
        </is>
      </c>
    </row>
    <row r="28" outlineLevel="1" ht="20" customHeight="1">
      <c r="A28" s="31" t="inlineStr">
        <is>
          <t>Ma15</t>
        </is>
      </c>
      <c r="B28" s="32" t="inlineStr">
        <is>
          <t>Partial fractions</t>
        </is>
      </c>
      <c r="C28" s="38" t="n">
        <v>2</v>
      </c>
      <c r="D28" s="34" t="n"/>
      <c r="E28" s="35" t="n"/>
      <c r="F28" s="36" t="inlineStr">
        <is>
          <t>▶ Watch</t>
        </is>
      </c>
      <c r="G28" s="36" t="inlineStr">
        <is>
          <t>Q 1–4, 10, 12</t>
        </is>
      </c>
      <c r="H28" s="36" t="inlineStr">
        <is>
          <t>Answers</t>
        </is>
      </c>
      <c r="I28" s="35" t="inlineStr">
        <is>
          <t>Edexcel: Partial Fractions</t>
        </is>
      </c>
      <c r="J28" s="36" t="inlineStr">
        <is>
          <t>Pages 1–3</t>
        </is>
      </c>
      <c r="K28" s="36" t="inlineStr">
        <is>
          <t>Marks</t>
        </is>
      </c>
      <c r="L28" s="36" t="inlineStr">
        <is>
          <t>Answers</t>
        </is>
      </c>
      <c r="M28" s="35" t="inlineStr">
        <is>
          <t>Partial Fractions</t>
        </is>
      </c>
      <c r="N28" s="36" t="inlineStr">
        <is>
          <t>Page 1</t>
        </is>
      </c>
      <c r="O28" s="36" t="inlineStr">
        <is>
          <t>Marks</t>
        </is>
      </c>
      <c r="P28" t="inlineStr">
        <is>
          <t>P2</t>
        </is>
      </c>
    </row>
    <row r="29" outlineLevel="1" ht="32" customHeight="1">
      <c r="A29" s="31" t="inlineStr">
        <is>
          <t>Ma16</t>
        </is>
      </c>
      <c r="B29" s="32" t="inlineStr">
        <is>
          <t>Simplify rational expressions</t>
        </is>
      </c>
      <c r="C29" s="38" t="n">
        <v>2</v>
      </c>
      <c r="D29" s="34" t="n"/>
      <c r="E29" s="35" t="n"/>
      <c r="F29" s="36" t="inlineStr">
        <is>
          <t>▶ Watch</t>
        </is>
      </c>
      <c r="G29" s="36" t="inlineStr">
        <is>
          <t>Q 18, 19</t>
        </is>
      </c>
      <c r="H29" s="36" t="inlineStr">
        <is>
          <t>Answers</t>
        </is>
      </c>
      <c r="I29" s="35" t="inlineStr">
        <is>
          <t>Solomon: Mixed exam-style questions on rational expressions</t>
        </is>
      </c>
      <c r="J29" s="36" t="inlineStr">
        <is>
          <t>Q 1–4</t>
        </is>
      </c>
      <c r="K29" s="37" t="inlineStr">
        <is>
          <t>none</t>
        </is>
      </c>
      <c r="L29" s="36" t="inlineStr">
        <is>
          <t>Answers</t>
        </is>
      </c>
      <c r="M29" s="35" t="inlineStr">
        <is>
          <t>Rational Expressions</t>
        </is>
      </c>
      <c r="N29" s="36" t="inlineStr">
        <is>
          <t>Page 1</t>
        </is>
      </c>
      <c r="O29" s="36" t="inlineStr">
        <is>
          <t>Marks</t>
        </is>
      </c>
      <c r="P29" t="inlineStr">
        <is>
          <t>P2</t>
        </is>
      </c>
    </row>
    <row r="30" ht="10" customHeight="1"/>
    <row r="31" ht="26" customHeight="1">
      <c r="A31" s="27" t="n">
        <v>3</v>
      </c>
      <c r="B31" s="28" t="inlineStr">
        <is>
          <t>Functions</t>
        </is>
      </c>
      <c r="C31" s="29" t="n"/>
      <c r="D31" s="29" t="n"/>
      <c r="E31" s="30" t="inlineStr">
        <is>
          <t>8 topics  ·  Year 1: 2  ·  Year 2: 6</t>
        </is>
      </c>
      <c r="F31" s="29" t="n"/>
      <c r="G31" s="29" t="n"/>
      <c r="H31" s="29" t="n"/>
      <c r="I31" s="29" t="n"/>
      <c r="J31" s="29" t="n"/>
      <c r="K31" s="29" t="n"/>
      <c r="L31" s="29" t="n"/>
      <c r="M31" s="29" t="n"/>
      <c r="N31" s="29" t="n"/>
      <c r="O31" s="29" t="n"/>
    </row>
    <row r="32" outlineLevel="1" ht="20" customHeight="1">
      <c r="A32" s="31" t="inlineStr">
        <is>
          <t>Mf1</t>
        </is>
      </c>
      <c r="B32" s="32" t="inlineStr">
        <is>
          <t>Add, subtract, multiply and divide polynomials</t>
        </is>
      </c>
      <c r="C32" s="33" t="n">
        <v>1</v>
      </c>
      <c r="D32" s="34" t="n"/>
      <c r="E32" s="35" t="n"/>
      <c r="F32" s="36" t="inlineStr">
        <is>
          <t>▶ Watch</t>
        </is>
      </c>
      <c r="G32" s="36" t="inlineStr">
        <is>
          <t>Q 1, 2, 25, 29, 33</t>
        </is>
      </c>
      <c r="H32" s="36" t="inlineStr">
        <is>
          <t>Answers</t>
        </is>
      </c>
      <c r="I32" s="35" t="inlineStr">
        <is>
          <t>Solomon: Polynomials</t>
        </is>
      </c>
      <c r="J32" s="36" t="inlineStr">
        <is>
          <t>Q 1–6</t>
        </is>
      </c>
      <c r="K32" s="37" t="inlineStr">
        <is>
          <t>none</t>
        </is>
      </c>
      <c r="L32" s="36" t="inlineStr">
        <is>
          <t>Answers</t>
        </is>
      </c>
      <c r="M32" s="35" t="inlineStr">
        <is>
          <t>Polynomials</t>
        </is>
      </c>
      <c r="N32" s="36" t="inlineStr">
        <is>
          <t>Page 1</t>
        </is>
      </c>
      <c r="O32" s="36" t="inlineStr">
        <is>
          <t>Marks</t>
        </is>
      </c>
      <c r="P32" t="inlineStr">
        <is>
          <t>P3</t>
        </is>
      </c>
    </row>
    <row r="33" outlineLevel="1" ht="20" customHeight="1">
      <c r="A33" s="31" t="inlineStr">
        <is>
          <t>Mf2</t>
        </is>
      </c>
      <c r="B33" s="32" t="inlineStr">
        <is>
          <t>Factor theorem</t>
        </is>
      </c>
      <c r="C33" s="33" t="n">
        <v>1</v>
      </c>
      <c r="D33" s="34" t="n"/>
      <c r="E33" s="35" t="n"/>
      <c r="F33" s="36" t="inlineStr">
        <is>
          <t>▶ Watch</t>
        </is>
      </c>
      <c r="G33" s="36" t="inlineStr">
        <is>
          <t>Q 1–6, 21, 33</t>
        </is>
      </c>
      <c r="H33" s="36" t="inlineStr">
        <is>
          <t>Answers</t>
        </is>
      </c>
      <c r="I33" s="35" t="inlineStr">
        <is>
          <t>Edexcel: Factor Theorem</t>
        </is>
      </c>
      <c r="J33" s="36" t="inlineStr">
        <is>
          <t>Pages 1–5</t>
        </is>
      </c>
      <c r="K33" s="36" t="inlineStr">
        <is>
          <t>Marks</t>
        </is>
      </c>
      <c r="L33" s="36" t="inlineStr">
        <is>
          <t>Answers</t>
        </is>
      </c>
      <c r="M33" s="35" t="inlineStr">
        <is>
          <t>Polynomials</t>
        </is>
      </c>
      <c r="N33" s="36" t="inlineStr">
        <is>
          <t>Page 1</t>
        </is>
      </c>
      <c r="O33" s="36" t="inlineStr">
        <is>
          <t>Marks</t>
        </is>
      </c>
      <c r="P33" t="inlineStr">
        <is>
          <t>P3</t>
        </is>
      </c>
    </row>
    <row r="34" outlineLevel="1" ht="32" customHeight="1">
      <c r="A34" s="31" t="inlineStr">
        <is>
          <t>Mf3</t>
        </is>
      </c>
      <c r="B34" s="32" t="inlineStr">
        <is>
          <t>Definition of a function</t>
        </is>
      </c>
      <c r="C34" s="38" t="n">
        <v>2</v>
      </c>
      <c r="D34" s="34" t="n"/>
      <c r="E34" s="35" t="n"/>
      <c r="F34" s="36" t="inlineStr">
        <is>
          <t>▶ Watch</t>
        </is>
      </c>
      <c r="G34" s="36" t="inlineStr">
        <is>
          <t>Q 6, 11, 20, 21, 23, 24, 29</t>
        </is>
      </c>
      <c r="H34" s="36" t="inlineStr">
        <is>
          <t>Answers</t>
        </is>
      </c>
      <c r="I34" s="35" t="inlineStr">
        <is>
          <t>Solomon: Domain, range and values of functions</t>
        </is>
      </c>
      <c r="J34" s="36" t="inlineStr">
        <is>
          <t>Q 3–5, 7</t>
        </is>
      </c>
      <c r="K34" s="37" t="inlineStr">
        <is>
          <t>none</t>
        </is>
      </c>
      <c r="L34" s="36" t="inlineStr">
        <is>
          <t>Answers</t>
        </is>
      </c>
      <c r="M34" s="35" t="inlineStr">
        <is>
          <t>The Language of Functions</t>
        </is>
      </c>
      <c r="N34" s="36" t="inlineStr">
        <is>
          <t>Page 1</t>
        </is>
      </c>
      <c r="O34" s="36" t="inlineStr">
        <is>
          <t>Marks</t>
        </is>
      </c>
      <c r="P34" t="inlineStr">
        <is>
          <t>P3</t>
        </is>
      </c>
    </row>
    <row r="35" outlineLevel="1" ht="32" customHeight="1">
      <c r="A35" s="31" t="inlineStr">
        <is>
          <t>Mf4</t>
        </is>
      </c>
      <c r="B35" s="32" t="inlineStr">
        <is>
          <t>Composite functions</t>
        </is>
      </c>
      <c r="C35" s="38" t="n">
        <v>2</v>
      </c>
      <c r="D35" s="34" t="n"/>
      <c r="E35" s="35" t="n"/>
      <c r="F35" s="36" t="inlineStr">
        <is>
          <t>▶ Watch</t>
        </is>
      </c>
      <c r="G35" s="36" t="inlineStr">
        <is>
          <t>Q 1, 4, 8, 12, 26, 29, 32</t>
        </is>
      </c>
      <c r="H35" s="36" t="inlineStr">
        <is>
          <t>Answers</t>
        </is>
      </c>
      <c r="I35" s="35" t="inlineStr">
        <is>
          <t>Solomon: Composite functions</t>
        </is>
      </c>
      <c r="J35" s="36" t="inlineStr">
        <is>
          <t>Q 1, 3–5, 7, 8, 10</t>
        </is>
      </c>
      <c r="K35" s="37" t="inlineStr">
        <is>
          <t>none</t>
        </is>
      </c>
      <c r="L35" s="36" t="inlineStr">
        <is>
          <t>Answers</t>
        </is>
      </c>
      <c r="M35" s="35" t="inlineStr">
        <is>
          <t>The Language of Functions</t>
        </is>
      </c>
      <c r="N35" s="36" t="inlineStr">
        <is>
          <t>Page 1</t>
        </is>
      </c>
      <c r="O35" s="36" t="inlineStr">
        <is>
          <t>Marks</t>
        </is>
      </c>
      <c r="P35" t="inlineStr">
        <is>
          <t>P3</t>
        </is>
      </c>
    </row>
    <row r="36" outlineLevel="1" ht="32" customHeight="1">
      <c r="A36" s="31" t="inlineStr">
        <is>
          <t>Mf5</t>
        </is>
      </c>
      <c r="B36" s="32" t="inlineStr">
        <is>
          <t>Inverse functions and their graphs</t>
        </is>
      </c>
      <c r="C36" s="38" t="n">
        <v>2</v>
      </c>
      <c r="D36" s="34" t="n"/>
      <c r="E36" s="35" t="n"/>
      <c r="F36" s="36" t="inlineStr">
        <is>
          <t>▶ Watch</t>
        </is>
      </c>
      <c r="G36" s="36" t="inlineStr">
        <is>
          <t>Q 2, 5, 8, 13, 19, 31, 33</t>
        </is>
      </c>
      <c r="H36" s="36" t="inlineStr">
        <is>
          <t>Answers</t>
        </is>
      </c>
      <c r="I36" s="35" t="inlineStr">
        <is>
          <t>Solomon: Inverse of a function</t>
        </is>
      </c>
      <c r="J36" s="36" t="inlineStr">
        <is>
          <t>Q 1–3, 5–8</t>
        </is>
      </c>
      <c r="K36" s="37" t="inlineStr">
        <is>
          <t>none</t>
        </is>
      </c>
      <c r="L36" s="36" t="inlineStr">
        <is>
          <t>Answers</t>
        </is>
      </c>
      <c r="M36" s="35" t="inlineStr">
        <is>
          <t>The Language of Functions</t>
        </is>
      </c>
      <c r="N36" s="36" t="inlineStr">
        <is>
          <t>Page 1</t>
        </is>
      </c>
      <c r="O36" s="36" t="inlineStr">
        <is>
          <t>Marks</t>
        </is>
      </c>
      <c r="P36" t="inlineStr">
        <is>
          <t>P3</t>
        </is>
      </c>
    </row>
    <row r="37" outlineLevel="1" ht="20" customHeight="1">
      <c r="A37" s="31" t="inlineStr">
        <is>
          <t>Mf6</t>
        </is>
      </c>
      <c r="B37" s="32" t="inlineStr">
        <is>
          <t>The modulus function</t>
        </is>
      </c>
      <c r="C37" s="38" t="n">
        <v>2</v>
      </c>
      <c r="D37" s="34" t="n"/>
      <c r="E37" s="35" t="n"/>
      <c r="F37" s="36" t="inlineStr">
        <is>
          <t>▶ Watch</t>
        </is>
      </c>
      <c r="G37" s="36" t="inlineStr">
        <is>
          <t>Q 7, 16–18, 22, 30</t>
        </is>
      </c>
      <c r="H37" s="36" t="inlineStr">
        <is>
          <t>Answers</t>
        </is>
      </c>
      <c r="I37" s="35" t="inlineStr">
        <is>
          <t>Edexcel: Modulus of Functions</t>
        </is>
      </c>
      <c r="J37" s="36" t="inlineStr">
        <is>
          <t>Pages 1, 2</t>
        </is>
      </c>
      <c r="K37" s="36" t="inlineStr">
        <is>
          <t>Marks</t>
        </is>
      </c>
      <c r="L37" s="36" t="inlineStr">
        <is>
          <t>Answers</t>
        </is>
      </c>
      <c r="M37" s="35" t="inlineStr">
        <is>
          <t>The Modulus Function</t>
        </is>
      </c>
      <c r="N37" s="36" t="inlineStr">
        <is>
          <t>Pages 1, 2</t>
        </is>
      </c>
      <c r="O37" s="36" t="inlineStr">
        <is>
          <t>Marks</t>
        </is>
      </c>
      <c r="P37" t="inlineStr">
        <is>
          <t>P3</t>
        </is>
      </c>
    </row>
    <row r="38" outlineLevel="1" ht="20" customHeight="1">
      <c r="A38" s="31" t="inlineStr">
        <is>
          <t>Mf7</t>
        </is>
      </c>
      <c r="B38" s="32" t="inlineStr">
        <is>
          <t>Inequalities with a modulus sign</t>
        </is>
      </c>
      <c r="C38" s="38" t="n">
        <v>2</v>
      </c>
      <c r="D38" s="34" t="n"/>
      <c r="E38" s="35" t="n"/>
      <c r="F38" s="36" t="inlineStr">
        <is>
          <t>Topic page</t>
        </is>
      </c>
      <c r="G38" s="36" t="inlineStr">
        <is>
          <t>Q 7, 22, 34</t>
        </is>
      </c>
      <c r="H38" s="36" t="inlineStr">
        <is>
          <t>Answers</t>
        </is>
      </c>
      <c r="I38" s="35" t="inlineStr">
        <is>
          <t>Solomon: The modulus function</t>
        </is>
      </c>
      <c r="J38" s="36" t="inlineStr">
        <is>
          <t>Q 6</t>
        </is>
      </c>
      <c r="K38" s="37" t="inlineStr">
        <is>
          <t>none</t>
        </is>
      </c>
      <c r="L38" s="36" t="inlineStr">
        <is>
          <t>Answers</t>
        </is>
      </c>
      <c r="M38" s="35" t="inlineStr">
        <is>
          <t>The Modulus Function</t>
        </is>
      </c>
      <c r="N38" s="36" t="inlineStr">
        <is>
          <t>Pages 1, 2</t>
        </is>
      </c>
      <c r="O38" s="36" t="inlineStr">
        <is>
          <t>Marks</t>
        </is>
      </c>
      <c r="P38" t="inlineStr">
        <is>
          <t>P3</t>
        </is>
      </c>
    </row>
    <row r="39" outlineLevel="1" ht="20" customHeight="1">
      <c r="A39" s="31" t="inlineStr">
        <is>
          <t>Mf8</t>
        </is>
      </c>
      <c r="B39" s="32" t="inlineStr">
        <is>
          <t>Functions in modelling</t>
        </is>
      </c>
      <c r="C39" s="38" t="n">
        <v>2</v>
      </c>
      <c r="D39" s="34" t="n"/>
      <c r="E39" s="35" t="n"/>
      <c r="F39" s="36" t="inlineStr">
        <is>
          <t>▶ Watch</t>
        </is>
      </c>
      <c r="G39" s="36" t="inlineStr">
        <is>
          <t>Q 17, 21, 25</t>
        </is>
      </c>
      <c r="H39" s="36" t="inlineStr">
        <is>
          <t>Answers</t>
        </is>
      </c>
      <c r="I39" s="35" t="inlineStr">
        <is>
          <t>Edexcel: Quadratics</t>
        </is>
      </c>
      <c r="J39" s="36" t="inlineStr">
        <is>
          <t>Pages 7, 8</t>
        </is>
      </c>
      <c r="K39" s="36" t="inlineStr">
        <is>
          <t>Marks</t>
        </is>
      </c>
      <c r="L39" s="36" t="inlineStr">
        <is>
          <t>Answers</t>
        </is>
      </c>
      <c r="M39" s="35" t="inlineStr">
        <is>
          <t>Graphs (Yr. 1)</t>
        </is>
      </c>
      <c r="N39" s="36" t="inlineStr">
        <is>
          <t>Page 1</t>
        </is>
      </c>
      <c r="O39" s="36" t="inlineStr">
        <is>
          <t>Marks</t>
        </is>
      </c>
      <c r="P39" t="inlineStr">
        <is>
          <t>P3</t>
        </is>
      </c>
    </row>
    <row r="40" ht="10" customHeight="1"/>
    <row r="41" ht="26" customHeight="1">
      <c r="A41" s="27" t="n">
        <v>4</v>
      </c>
      <c r="B41" s="28" t="inlineStr">
        <is>
          <t>Graphs</t>
        </is>
      </c>
      <c r="C41" s="29" t="n"/>
      <c r="D41" s="29" t="n"/>
      <c r="E41" s="30" t="inlineStr">
        <is>
          <t>9 topics  ·  Year 1: 7  ·  Year 2: 2</t>
        </is>
      </c>
      <c r="F41" s="29" t="n"/>
      <c r="G41" s="29" t="n"/>
      <c r="H41" s="29" t="n"/>
      <c r="I41" s="29" t="n"/>
      <c r="J41" s="29" t="n"/>
      <c r="K41" s="29" t="n"/>
      <c r="L41" s="29" t="n"/>
      <c r="M41" s="29" t="n"/>
      <c r="N41" s="29" t="n"/>
      <c r="O41" s="29" t="n"/>
    </row>
    <row r="42" outlineLevel="1" ht="20" customHeight="1">
      <c r="A42" s="31" t="inlineStr">
        <is>
          <t>MC1</t>
        </is>
      </c>
      <c r="B42" s="32" t="inlineStr">
        <is>
          <t>Graphs of functions and sketching curves</t>
        </is>
      </c>
      <c r="C42" s="33" t="n">
        <v>1</v>
      </c>
      <c r="D42" s="34" t="n"/>
      <c r="E42" s="35" t="n"/>
      <c r="F42" s="36" t="inlineStr">
        <is>
          <t>Topic page</t>
        </is>
      </c>
      <c r="G42" s="36" t="inlineStr">
        <is>
          <t>Q 2, 15, 21</t>
        </is>
      </c>
      <c r="H42" s="36" t="inlineStr">
        <is>
          <t>Answers</t>
        </is>
      </c>
      <c r="I42" s="35" t="inlineStr">
        <is>
          <t>Solomon: Graphs of functions</t>
        </is>
      </c>
      <c r="J42" s="36" t="inlineStr">
        <is>
          <t>Q 1, 8–10</t>
        </is>
      </c>
      <c r="K42" s="37" t="inlineStr">
        <is>
          <t>none</t>
        </is>
      </c>
      <c r="L42" s="36" t="inlineStr">
        <is>
          <t>Answers</t>
        </is>
      </c>
      <c r="M42" s="35" t="inlineStr">
        <is>
          <t>Graphs (Yr. 1)</t>
        </is>
      </c>
      <c r="N42" s="36" t="inlineStr">
        <is>
          <t>Pages 1, 3–6</t>
        </is>
      </c>
      <c r="O42" s="36" t="inlineStr">
        <is>
          <t>Marks</t>
        </is>
      </c>
      <c r="P42" t="inlineStr">
        <is>
          <t>P4</t>
        </is>
      </c>
    </row>
    <row r="43" outlineLevel="1" ht="20" customHeight="1">
      <c r="A43" s="31" t="inlineStr">
        <is>
          <t>MC2</t>
        </is>
      </c>
      <c r="B43" s="32" t="inlineStr">
        <is>
          <t>Intersection points with axes</t>
        </is>
      </c>
      <c r="C43" s="33" t="n">
        <v>1</v>
      </c>
      <c r="D43" s="34" t="n"/>
      <c r="E43" s="35" t="n"/>
      <c r="F43" s="36" t="inlineStr">
        <is>
          <t>Topic page</t>
        </is>
      </c>
      <c r="G43" s="36" t="inlineStr">
        <is>
          <t>Q 1, 8, 18, 22, 24</t>
        </is>
      </c>
      <c r="H43" s="36" t="inlineStr">
        <is>
          <t>Answers</t>
        </is>
      </c>
      <c r="I43" s="35" t="inlineStr">
        <is>
          <t>Solomon: Graphs of functions</t>
        </is>
      </c>
      <c r="J43" s="36" t="inlineStr">
        <is>
          <t>Q 2–5, 7</t>
        </is>
      </c>
      <c r="K43" s="37" t="inlineStr">
        <is>
          <t>none</t>
        </is>
      </c>
      <c r="L43" s="36" t="inlineStr">
        <is>
          <t>Answers</t>
        </is>
      </c>
      <c r="M43" s="35" t="inlineStr">
        <is>
          <t>Graphs (Yr. 1)</t>
        </is>
      </c>
      <c r="N43" s="36" t="inlineStr">
        <is>
          <t>Pages 1, 2, 5, 6</t>
        </is>
      </c>
      <c r="O43" s="36" t="inlineStr">
        <is>
          <t>Marks</t>
        </is>
      </c>
      <c r="P43" t="inlineStr">
        <is>
          <t>P4</t>
        </is>
      </c>
    </row>
    <row r="44" outlineLevel="1" ht="32" customHeight="1">
      <c r="A44" s="31" t="inlineStr">
        <is>
          <t>MC3</t>
        </is>
      </c>
      <c r="B44" s="32" t="inlineStr">
        <is>
          <t>Completing the square for a quadratic curve</t>
        </is>
      </c>
      <c r="C44" s="33" t="n">
        <v>1</v>
      </c>
      <c r="D44" s="34" t="n"/>
      <c r="E44" s="35" t="n"/>
      <c r="F44" s="36" t="inlineStr">
        <is>
          <t>▶ Watch</t>
        </is>
      </c>
      <c r="G44" s="36" t="inlineStr">
        <is>
          <t>Q 12–14, 17–19, 24</t>
        </is>
      </c>
      <c r="H44" s="36" t="inlineStr">
        <is>
          <t>Answers</t>
        </is>
      </c>
      <c r="I44" s="35" t="inlineStr">
        <is>
          <t>Solomon: Quadratics – completing the square</t>
        </is>
      </c>
      <c r="J44" s="36" t="inlineStr">
        <is>
          <t>Q 1, 2, 4–6</t>
        </is>
      </c>
      <c r="K44" s="37" t="inlineStr">
        <is>
          <t>none</t>
        </is>
      </c>
      <c r="L44" s="36" t="inlineStr">
        <is>
          <t>Answers</t>
        </is>
      </c>
      <c r="M44" s="35" t="inlineStr">
        <is>
          <t>Graphs (Yr. 1)</t>
        </is>
      </c>
      <c r="N44" s="36" t="inlineStr">
        <is>
          <t>Pages 1, 2, 6</t>
        </is>
      </c>
      <c r="O44" s="36" t="inlineStr">
        <is>
          <t>Marks</t>
        </is>
      </c>
      <c r="P44" t="inlineStr">
        <is>
          <t>P4</t>
        </is>
      </c>
    </row>
    <row r="45" outlineLevel="1" ht="32" customHeight="1">
      <c r="A45" s="31" t="inlineStr">
        <is>
          <t>MC4</t>
        </is>
      </c>
      <c r="B45" s="32" t="inlineStr">
        <is>
          <t>Sketch graphs of simple functions</t>
        </is>
      </c>
      <c r="C45" s="33" t="n">
        <v>1</v>
      </c>
      <c r="D45" s="34" t="n"/>
      <c r="E45" s="35" t="n"/>
      <c r="F45" s="36" t="inlineStr">
        <is>
          <t>▶ Watch</t>
        </is>
      </c>
      <c r="G45" s="36" t="inlineStr">
        <is>
          <t>Q 8, 15, 16, 18, 20–22, 24</t>
        </is>
      </c>
      <c r="H45" s="36" t="inlineStr">
        <is>
          <t>Answers</t>
        </is>
      </c>
      <c r="I45" s="35" t="inlineStr">
        <is>
          <t>Edexcel: Transformations and Graphs</t>
        </is>
      </c>
      <c r="J45" s="36" t="inlineStr">
        <is>
          <t>Pages 2, 4, 9, 12</t>
        </is>
      </c>
      <c r="K45" s="37" t="inlineStr">
        <is>
          <t>in the PDF</t>
        </is>
      </c>
      <c r="L45" s="37" t="inlineStr">
        <is>
          <t>in the PDF</t>
        </is>
      </c>
      <c r="M45" s="35" t="inlineStr">
        <is>
          <t>Graphs (Yr. 1)</t>
        </is>
      </c>
      <c r="N45" s="36" t="inlineStr">
        <is>
          <t>Pages 1, 4–6</t>
        </is>
      </c>
      <c r="O45" s="36" t="inlineStr">
        <is>
          <t>Marks</t>
        </is>
      </c>
      <c r="P45" t="inlineStr">
        <is>
          <t>P4</t>
        </is>
      </c>
    </row>
    <row r="46" outlineLevel="1" ht="32" customHeight="1">
      <c r="A46" s="31" t="inlineStr">
        <is>
          <t>MC5</t>
        </is>
      </c>
      <c r="B46" s="32" t="inlineStr">
        <is>
          <t>Stationary points when curve sketching</t>
        </is>
      </c>
      <c r="C46" s="33" t="n">
        <v>1</v>
      </c>
      <c r="D46" s="34" t="n"/>
      <c r="E46" s="35" t="n"/>
      <c r="F46" s="36" t="inlineStr">
        <is>
          <t>Topic page</t>
        </is>
      </c>
      <c r="G46" s="36" t="inlineStr">
        <is>
          <t>Q 7</t>
        </is>
      </c>
      <c r="H46" s="36" t="inlineStr">
        <is>
          <t>Answers</t>
        </is>
      </c>
      <c r="I46" s="35" t="inlineStr">
        <is>
          <t>Solomon: Increasing and decreasing functions and stationary points</t>
        </is>
      </c>
      <c r="J46" s="36" t="inlineStr">
        <is>
          <t>Q 6, 8</t>
        </is>
      </c>
      <c r="K46" s="37" t="inlineStr">
        <is>
          <t>none</t>
        </is>
      </c>
      <c r="L46" s="36" t="inlineStr">
        <is>
          <t>Answers</t>
        </is>
      </c>
      <c r="M46" s="35" t="inlineStr">
        <is>
          <t>Applications of Differentiation to Functions and Graphs (Yr. 1)</t>
        </is>
      </c>
      <c r="N46" s="36" t="inlineStr">
        <is>
          <t>Page 1</t>
        </is>
      </c>
      <c r="O46" s="36" t="inlineStr">
        <is>
          <t>Marks</t>
        </is>
      </c>
      <c r="P46" t="inlineStr">
        <is>
          <t>P4</t>
        </is>
      </c>
    </row>
    <row r="47" outlineLevel="1" ht="32" customHeight="1">
      <c r="A47" s="31" t="inlineStr">
        <is>
          <t>MC6</t>
        </is>
      </c>
      <c r="B47" s="32" t="inlineStr">
        <is>
          <t>Graphs of y = a/x and y = a/x² (asymptotes)</t>
        </is>
      </c>
      <c r="C47" s="33" t="n">
        <v>1</v>
      </c>
      <c r="D47" s="34" t="n"/>
      <c r="E47" s="35" t="n"/>
      <c r="F47" s="36" t="inlineStr">
        <is>
          <t>▶ Watch</t>
        </is>
      </c>
      <c r="G47" s="36" t="inlineStr">
        <is>
          <t>Q 2, 6, 13, 14, 16, 23</t>
        </is>
      </c>
      <c r="H47" s="36" t="inlineStr">
        <is>
          <t>Answers</t>
        </is>
      </c>
      <c r="I47" s="35" t="inlineStr">
        <is>
          <t>Edexcel: Transformations and Graphs</t>
        </is>
      </c>
      <c r="J47" s="36" t="inlineStr">
        <is>
          <t>Page 8</t>
        </is>
      </c>
      <c r="K47" s="37" t="inlineStr">
        <is>
          <t>in the PDF</t>
        </is>
      </c>
      <c r="L47" s="37" t="inlineStr">
        <is>
          <t>in the PDF</t>
        </is>
      </c>
      <c r="M47" s="35" t="inlineStr">
        <is>
          <t>Graphs (Yr. 1)</t>
        </is>
      </c>
      <c r="N47" s="36" t="inlineStr">
        <is>
          <t>Page 2</t>
        </is>
      </c>
      <c r="O47" s="36" t="inlineStr">
        <is>
          <t>Marks</t>
        </is>
      </c>
      <c r="P47" t="inlineStr">
        <is>
          <t>P4</t>
        </is>
      </c>
    </row>
    <row r="48" outlineLevel="1" ht="32" customHeight="1">
      <c r="A48" s="31" t="inlineStr">
        <is>
          <t>MC7</t>
        </is>
      </c>
      <c r="B48" s="32" t="inlineStr">
        <is>
          <t>Single transformations of graphs: y = af(x), f(x) + a, f(x + a), f(ax)</t>
        </is>
      </c>
      <c r="C48" s="33" t="n">
        <v>1</v>
      </c>
      <c r="D48" s="34" t="n"/>
      <c r="E48" s="35" t="n"/>
      <c r="F48" s="36" t="inlineStr">
        <is>
          <t>▶ Watch</t>
        </is>
      </c>
      <c r="G48" s="36" t="inlineStr">
        <is>
          <t>Q 1, 3–5, 7, 9, 19, 20</t>
        </is>
      </c>
      <c r="H48" s="36" t="inlineStr">
        <is>
          <t>Answers</t>
        </is>
      </c>
      <c r="I48" s="35" t="inlineStr">
        <is>
          <t>Edexcel: Transformations and Graphs</t>
        </is>
      </c>
      <c r="J48" s="36" t="inlineStr">
        <is>
          <t>Pages 1, 3, 5–7, 10–12</t>
        </is>
      </c>
      <c r="K48" s="37" t="inlineStr">
        <is>
          <t>in the PDF</t>
        </is>
      </c>
      <c r="L48" s="37" t="inlineStr">
        <is>
          <t>in the PDF</t>
        </is>
      </c>
      <c r="M48" s="35" t="inlineStr">
        <is>
          <t>Graphs (Yr. 1)</t>
        </is>
      </c>
      <c r="N48" s="36" t="inlineStr">
        <is>
          <t>Pages 4, 6</t>
        </is>
      </c>
      <c r="O48" s="36" t="inlineStr">
        <is>
          <t>Marks</t>
        </is>
      </c>
      <c r="P48" t="inlineStr">
        <is>
          <t>P4</t>
        </is>
      </c>
    </row>
    <row r="49" outlineLevel="1" ht="32" customHeight="1">
      <c r="A49" s="31" t="inlineStr">
        <is>
          <t>MC8</t>
        </is>
      </c>
      <c r="B49" s="32" t="inlineStr">
        <is>
          <t>Combined transformations of graphs</t>
        </is>
      </c>
      <c r="C49" s="38" t="n">
        <v>2</v>
      </c>
      <c r="D49" s="34" t="n"/>
      <c r="E49" s="35" t="n"/>
      <c r="F49" s="36" t="inlineStr">
        <is>
          <t>▶ Watch</t>
        </is>
      </c>
      <c r="G49" s="36" t="inlineStr">
        <is>
          <t>Q 28, 35, 36</t>
        </is>
      </c>
      <c r="H49" s="36" t="inlineStr">
        <is>
          <t>Answers</t>
        </is>
      </c>
      <c r="I49" s="35" t="inlineStr">
        <is>
          <t>Solomon: Transformations of functions</t>
        </is>
      </c>
      <c r="J49" s="36" t="inlineStr">
        <is>
          <t>Q 1–7, 9</t>
        </is>
      </c>
      <c r="K49" s="37" t="inlineStr">
        <is>
          <t>none</t>
        </is>
      </c>
      <c r="L49" s="36" t="inlineStr">
        <is>
          <t>Answers</t>
        </is>
      </c>
      <c r="M49" s="35" t="inlineStr">
        <is>
          <t>Integration by Substitution</t>
        </is>
      </c>
      <c r="N49" s="36" t="inlineStr">
        <is>
          <t>Page 1</t>
        </is>
      </c>
      <c r="O49" s="36" t="inlineStr">
        <is>
          <t>Marks</t>
        </is>
      </c>
      <c r="P49" t="inlineStr">
        <is>
          <t>P4</t>
        </is>
      </c>
    </row>
    <row r="50" outlineLevel="1" ht="32" customHeight="1">
      <c r="A50" s="31" t="inlineStr">
        <is>
          <t>MC9</t>
        </is>
      </c>
      <c r="B50" s="32" t="inlineStr">
        <is>
          <t>Stationary points of inflection</t>
        </is>
      </c>
      <c r="C50" s="38" t="n">
        <v>2</v>
      </c>
      <c r="D50" s="34" t="n"/>
      <c r="E50" s="35" t="n"/>
      <c r="F50" s="36" t="inlineStr">
        <is>
          <t>Topic page</t>
        </is>
      </c>
      <c r="G50" s="36" t="inlineStr">
        <is>
          <t>Q 11</t>
        </is>
      </c>
      <c r="H50" s="36" t="inlineStr">
        <is>
          <t>Answers</t>
        </is>
      </c>
      <c r="I50" s="35" t="inlineStr">
        <is>
          <t>Solomon: Increasing and decreasing functions and stationary points</t>
        </is>
      </c>
      <c r="J50" s="36" t="inlineStr">
        <is>
          <t>Q 7, 8</t>
        </is>
      </c>
      <c r="K50" s="37" t="inlineStr">
        <is>
          <t>none</t>
        </is>
      </c>
      <c r="L50" s="36" t="inlineStr">
        <is>
          <t>Answers</t>
        </is>
      </c>
      <c r="M50" s="40" t="inlineStr">
        <is>
          <t>none for this topic</t>
        </is>
      </c>
      <c r="N50" s="37" t="inlineStr">
        <is>
          <t>none on this topic</t>
        </is>
      </c>
      <c r="O50" s="39" t="n"/>
      <c r="P50" t="inlineStr">
        <is>
          <t>P4</t>
        </is>
      </c>
    </row>
    <row r="51" ht="10" customHeight="1"/>
    <row r="52" ht="26" customHeight="1">
      <c r="A52" s="27" t="n">
        <v>5</v>
      </c>
      <c r="B52" s="28" t="inlineStr">
        <is>
          <t>Coordinate geometry</t>
        </is>
      </c>
      <c r="C52" s="29" t="n"/>
      <c r="D52" s="29" t="n"/>
      <c r="E52" s="30" t="inlineStr">
        <is>
          <t>16 topics  ·  Year 1: 11  ·  Year 2: 5</t>
        </is>
      </c>
      <c r="F52" s="29" t="n"/>
      <c r="G52" s="29" t="n"/>
      <c r="H52" s="29" t="n"/>
      <c r="I52" s="29" t="n"/>
      <c r="J52" s="29" t="n"/>
      <c r="K52" s="29" t="n"/>
      <c r="L52" s="29" t="n"/>
      <c r="M52" s="29" t="n"/>
      <c r="N52" s="29" t="n"/>
      <c r="O52" s="29" t="n"/>
    </row>
    <row r="53" outlineLevel="1" ht="32" customHeight="1">
      <c r="A53" s="31" t="inlineStr">
        <is>
          <t>Mg1</t>
        </is>
      </c>
      <c r="B53" s="32" t="inlineStr">
        <is>
          <t>Gradients of parallel and perpendicular lines</t>
        </is>
      </c>
      <c r="C53" s="33" t="n">
        <v>1</v>
      </c>
      <c r="D53" s="34" t="n"/>
      <c r="E53" s="35" t="n"/>
      <c r="F53" s="36" t="inlineStr">
        <is>
          <t>▶ Watch</t>
        </is>
      </c>
      <c r="G53" s="36" t="inlineStr">
        <is>
          <t>Q 2, 6, 8, 10, 13, 15, 17, 18</t>
        </is>
      </c>
      <c r="H53" s="36" t="inlineStr">
        <is>
          <t>Answers</t>
        </is>
      </c>
      <c r="I53" s="35" t="inlineStr">
        <is>
          <t>Solomon: Parallel and perpendicular lines</t>
        </is>
      </c>
      <c r="J53" s="36" t="inlineStr">
        <is>
          <t>Q 1–8</t>
        </is>
      </c>
      <c r="K53" s="37" t="inlineStr">
        <is>
          <t>none</t>
        </is>
      </c>
      <c r="L53" s="36" t="inlineStr">
        <is>
          <t>Answers</t>
        </is>
      </c>
      <c r="M53" s="35" t="inlineStr">
        <is>
          <t>Straight Lines</t>
        </is>
      </c>
      <c r="N53" s="36" t="inlineStr">
        <is>
          <t>Pages 1–3</t>
        </is>
      </c>
      <c r="O53" s="36" t="inlineStr">
        <is>
          <t>Marks</t>
        </is>
      </c>
      <c r="P53" t="inlineStr">
        <is>
          <t>P5</t>
        </is>
      </c>
    </row>
    <row r="54" outlineLevel="1" ht="32" customHeight="1">
      <c r="A54" s="31" t="inlineStr">
        <is>
          <t>Mg2</t>
        </is>
      </c>
      <c r="B54" s="32" t="inlineStr">
        <is>
          <t>Distance between two points</t>
        </is>
      </c>
      <c r="C54" s="33" t="n">
        <v>1</v>
      </c>
      <c r="D54" s="34" t="n"/>
      <c r="E54" s="35" t="n"/>
      <c r="F54" s="36" t="inlineStr">
        <is>
          <t>Topic page</t>
        </is>
      </c>
      <c r="G54" s="36" t="inlineStr">
        <is>
          <t>Q 5, 9, 17</t>
        </is>
      </c>
      <c r="H54" s="36" t="inlineStr">
        <is>
          <t>Answers</t>
        </is>
      </c>
      <c r="I54" s="35" t="inlineStr">
        <is>
          <t>Solomon: Equations of straight lines</t>
        </is>
      </c>
      <c r="J54" s="36" t="inlineStr">
        <is>
          <t>Q 14–17</t>
        </is>
      </c>
      <c r="K54" s="37" t="inlineStr">
        <is>
          <t>none</t>
        </is>
      </c>
      <c r="L54" s="36" t="inlineStr">
        <is>
          <t>Answers</t>
        </is>
      </c>
      <c r="M54" s="35" t="inlineStr">
        <is>
          <t>Straight Lines</t>
        </is>
      </c>
      <c r="N54" s="36" t="inlineStr">
        <is>
          <t>Pages 2, 3</t>
        </is>
      </c>
      <c r="O54" s="36" t="inlineStr">
        <is>
          <t>Marks</t>
        </is>
      </c>
      <c r="P54" t="inlineStr">
        <is>
          <t>P5</t>
        </is>
      </c>
    </row>
    <row r="55" outlineLevel="1" ht="32" customHeight="1">
      <c r="A55" s="31" t="inlineStr">
        <is>
          <t>Mg3</t>
        </is>
      </c>
      <c r="B55" s="32" t="inlineStr">
        <is>
          <t>Midpoint of a line segment</t>
        </is>
      </c>
      <c r="C55" s="33" t="n">
        <v>1</v>
      </c>
      <c r="D55" s="34" t="n"/>
      <c r="E55" s="35" t="n"/>
      <c r="F55" s="36" t="inlineStr">
        <is>
          <t>Topic page</t>
        </is>
      </c>
      <c r="G55" s="36" t="inlineStr">
        <is>
          <t>Q 4, 5, 14, 16, 22</t>
        </is>
      </c>
      <c r="H55" s="36" t="inlineStr">
        <is>
          <t>Answers</t>
        </is>
      </c>
      <c r="I55" s="35" t="inlineStr">
        <is>
          <t>Solomon: Equations of straight lines</t>
        </is>
      </c>
      <c r="J55" s="36" t="inlineStr">
        <is>
          <t>Q 18, 19</t>
        </is>
      </c>
      <c r="K55" s="37" t="inlineStr">
        <is>
          <t>none</t>
        </is>
      </c>
      <c r="L55" s="36" t="inlineStr">
        <is>
          <t>Answers</t>
        </is>
      </c>
      <c r="M55" s="35" t="inlineStr">
        <is>
          <t>Curves</t>
        </is>
      </c>
      <c r="N55" s="36" t="inlineStr">
        <is>
          <t>Page 1</t>
        </is>
      </c>
      <c r="O55" s="36" t="inlineStr">
        <is>
          <t>Marks</t>
        </is>
      </c>
      <c r="P55" t="inlineStr">
        <is>
          <t>P5</t>
        </is>
      </c>
    </row>
    <row r="56" outlineLevel="1" ht="32" customHeight="1">
      <c r="A56" s="31" t="inlineStr">
        <is>
          <t>Mg4</t>
        </is>
      </c>
      <c r="B56" s="32" t="inlineStr">
        <is>
          <t>Form the equation of a straight line</t>
        </is>
      </c>
      <c r="C56" s="33" t="n">
        <v>1</v>
      </c>
      <c r="D56" s="34" t="n"/>
      <c r="E56" s="35" t="n"/>
      <c r="F56" s="36" t="inlineStr">
        <is>
          <t>▶ Watch</t>
        </is>
      </c>
      <c r="G56" s="36" t="inlineStr">
        <is>
          <t>Q 1, 3, 4, 6, 8–11</t>
        </is>
      </c>
      <c r="H56" s="36" t="inlineStr">
        <is>
          <t>Answers</t>
        </is>
      </c>
      <c r="I56" s="35" t="inlineStr">
        <is>
          <t>Solomon: Equations of straight lines</t>
        </is>
      </c>
      <c r="J56" s="36" t="inlineStr">
        <is>
          <t>Q 4–9, 19</t>
        </is>
      </c>
      <c r="K56" s="37" t="inlineStr">
        <is>
          <t>none</t>
        </is>
      </c>
      <c r="L56" s="36" t="inlineStr">
        <is>
          <t>Answers</t>
        </is>
      </c>
      <c r="M56" s="35" t="inlineStr">
        <is>
          <t>Straight Lines</t>
        </is>
      </c>
      <c r="N56" s="36" t="inlineStr">
        <is>
          <t>Pages 1–3</t>
        </is>
      </c>
      <c r="O56" s="36" t="inlineStr">
        <is>
          <t>Marks</t>
        </is>
      </c>
      <c r="P56" t="inlineStr">
        <is>
          <t>P5</t>
        </is>
      </c>
    </row>
    <row r="57" outlineLevel="1" ht="32" customHeight="1">
      <c r="A57" s="31" t="inlineStr">
        <is>
          <t>Mg5</t>
        </is>
      </c>
      <c r="B57" s="32" t="inlineStr">
        <is>
          <t>Draw a line given its equation</t>
        </is>
      </c>
      <c r="C57" s="33" t="n">
        <v>1</v>
      </c>
      <c r="D57" s="34" t="n"/>
      <c r="E57" s="35" t="n"/>
      <c r="F57" s="36" t="inlineStr">
        <is>
          <t>Topic page</t>
        </is>
      </c>
      <c r="G57" s="37" t="inlineStr">
        <is>
          <t>none on this topic</t>
        </is>
      </c>
      <c r="H57" s="39" t="n"/>
      <c r="I57" s="35" t="inlineStr">
        <is>
          <t>Solomon: Coordinate geometry – further questions</t>
        </is>
      </c>
      <c r="J57" s="36" t="inlineStr">
        <is>
          <t>Q 5</t>
        </is>
      </c>
      <c r="K57" s="37" t="inlineStr">
        <is>
          <t>none</t>
        </is>
      </c>
      <c r="L57" s="36" t="inlineStr">
        <is>
          <t>Answers</t>
        </is>
      </c>
      <c r="M57" s="35" t="inlineStr">
        <is>
          <t>Straight Lines</t>
        </is>
      </c>
      <c r="N57" s="36" t="inlineStr">
        <is>
          <t>Page 1</t>
        </is>
      </c>
      <c r="O57" s="36" t="inlineStr">
        <is>
          <t>Marks</t>
        </is>
      </c>
      <c r="P57" t="inlineStr">
        <is>
          <t>P5</t>
        </is>
      </c>
    </row>
    <row r="58" outlineLevel="1" ht="32" customHeight="1">
      <c r="A58" s="31" t="inlineStr">
        <is>
          <t>Mg6</t>
        </is>
      </c>
      <c r="B58" s="32" t="inlineStr">
        <is>
          <t>Point of intersection of two lines</t>
        </is>
      </c>
      <c r="C58" s="33" t="n">
        <v>1</v>
      </c>
      <c r="D58" s="34" t="n"/>
      <c r="E58" s="35" t="n"/>
      <c r="F58" s="36" t="inlineStr">
        <is>
          <t>Topic page</t>
        </is>
      </c>
      <c r="G58" s="36" t="inlineStr">
        <is>
          <t>Q 7, 10, 13, 16, 18</t>
        </is>
      </c>
      <c r="H58" s="36" t="inlineStr">
        <is>
          <t>Answers</t>
        </is>
      </c>
      <c r="I58" s="35" t="inlineStr">
        <is>
          <t>Solomon: Equations of straight lines</t>
        </is>
      </c>
      <c r="J58" s="36" t="inlineStr">
        <is>
          <t>Q 20, 21</t>
        </is>
      </c>
      <c r="K58" s="37" t="inlineStr">
        <is>
          <t>none</t>
        </is>
      </c>
      <c r="L58" s="36" t="inlineStr">
        <is>
          <t>Answers</t>
        </is>
      </c>
      <c r="M58" s="35" t="inlineStr">
        <is>
          <t>Straight Lines</t>
        </is>
      </c>
      <c r="N58" s="36" t="inlineStr">
        <is>
          <t>Pages 1, 3</t>
        </is>
      </c>
      <c r="O58" s="36" t="inlineStr">
        <is>
          <t>Marks</t>
        </is>
      </c>
      <c r="P58" t="inlineStr">
        <is>
          <t>P5</t>
        </is>
      </c>
    </row>
    <row r="59" outlineLevel="1" ht="20" customHeight="1">
      <c r="A59" s="31" t="inlineStr">
        <is>
          <t>Mg7</t>
        </is>
      </c>
      <c r="B59" s="32" t="inlineStr">
        <is>
          <t>Straight line models</t>
        </is>
      </c>
      <c r="C59" s="33" t="n">
        <v>1</v>
      </c>
      <c r="D59" s="34" t="n"/>
      <c r="E59" s="35" t="n"/>
      <c r="F59" s="36" t="inlineStr">
        <is>
          <t>▶ Watch</t>
        </is>
      </c>
      <c r="G59" s="36" t="inlineStr">
        <is>
          <t>Q 19, 21</t>
        </is>
      </c>
      <c r="H59" s="36" t="inlineStr">
        <is>
          <t>Answers</t>
        </is>
      </c>
      <c r="I59" s="35" t="inlineStr">
        <is>
          <t>Edexcel: Linear Models</t>
        </is>
      </c>
      <c r="J59" s="36" t="inlineStr">
        <is>
          <t>Pages 2, 4</t>
        </is>
      </c>
      <c r="K59" s="36" t="inlineStr">
        <is>
          <t>Marks</t>
        </is>
      </c>
      <c r="L59" s="36" t="inlineStr">
        <is>
          <t>Answers</t>
        </is>
      </c>
      <c r="M59" s="40" t="inlineStr">
        <is>
          <t>none for this topic</t>
        </is>
      </c>
      <c r="N59" s="37" t="inlineStr">
        <is>
          <t>none on this topic</t>
        </is>
      </c>
      <c r="O59" s="39" t="n"/>
      <c r="P59" t="inlineStr">
        <is>
          <t>P5</t>
        </is>
      </c>
    </row>
    <row r="60" outlineLevel="1" ht="20" customHeight="1">
      <c r="A60" s="31" t="inlineStr">
        <is>
          <t>Mg8</t>
        </is>
      </c>
      <c r="B60" s="32" t="inlineStr">
        <is>
          <t>Intersection of a line and a curve</t>
        </is>
      </c>
      <c r="C60" s="33" t="n">
        <v>1</v>
      </c>
      <c r="D60" s="34" t="n"/>
      <c r="E60" s="35" t="n"/>
      <c r="F60" s="36" t="inlineStr">
        <is>
          <t>▶ Watch</t>
        </is>
      </c>
      <c r="G60" s="36" t="inlineStr">
        <is>
          <t>Q 3, 6, 7, 12, 14</t>
        </is>
      </c>
      <c r="H60" s="36" t="inlineStr">
        <is>
          <t>Answers</t>
        </is>
      </c>
      <c r="I60" s="35" t="inlineStr">
        <is>
          <t>Solomon: Graphs of functions</t>
        </is>
      </c>
      <c r="J60" s="36" t="inlineStr">
        <is>
          <t>Q 11–16</t>
        </is>
      </c>
      <c r="K60" s="37" t="inlineStr">
        <is>
          <t>none</t>
        </is>
      </c>
      <c r="L60" s="36" t="inlineStr">
        <is>
          <t>Answers</t>
        </is>
      </c>
      <c r="M60" s="35" t="inlineStr">
        <is>
          <t>Graphs (Yr. 1)</t>
        </is>
      </c>
      <c r="N60" s="36" t="inlineStr">
        <is>
          <t>Pages 2, 3, 5, 6</t>
        </is>
      </c>
      <c r="O60" s="36" t="inlineStr">
        <is>
          <t>Marks</t>
        </is>
      </c>
      <c r="P60" t="inlineStr">
        <is>
          <t>P5</t>
        </is>
      </c>
    </row>
    <row r="61" outlineLevel="1" ht="32" customHeight="1">
      <c r="A61" s="31" t="inlineStr">
        <is>
          <t>Mg9</t>
        </is>
      </c>
      <c r="B61" s="32" t="inlineStr">
        <is>
          <t>Intersection of a line and a circle</t>
        </is>
      </c>
      <c r="C61" s="33" t="n">
        <v>1</v>
      </c>
      <c r="D61" s="34" t="n"/>
      <c r="E61" s="35" t="n"/>
      <c r="F61" s="36" t="inlineStr">
        <is>
          <t>▶ Watch</t>
        </is>
      </c>
      <c r="G61" s="36" t="inlineStr">
        <is>
          <t>Q 4, 7, 11, 15, 16, 18, 27, 28</t>
        </is>
      </c>
      <c r="H61" s="36" t="inlineStr">
        <is>
          <t>Answers</t>
        </is>
      </c>
      <c r="I61" s="35" t="inlineStr">
        <is>
          <t>Solomon: Circles</t>
        </is>
      </c>
      <c r="J61" s="36" t="inlineStr">
        <is>
          <t>Q 16–23</t>
        </is>
      </c>
      <c r="K61" s="37" t="inlineStr">
        <is>
          <t>none</t>
        </is>
      </c>
      <c r="L61" s="36" t="inlineStr">
        <is>
          <t>Answers</t>
        </is>
      </c>
      <c r="M61" s="35" t="inlineStr">
        <is>
          <t>Curves</t>
        </is>
      </c>
      <c r="N61" s="36" t="inlineStr">
        <is>
          <t>Pages 1, 3</t>
        </is>
      </c>
      <c r="O61" s="36" t="inlineStr">
        <is>
          <t>Marks</t>
        </is>
      </c>
      <c r="P61" t="inlineStr">
        <is>
          <t>P5</t>
        </is>
      </c>
    </row>
    <row r="62" outlineLevel="1" ht="20" customHeight="1">
      <c r="A62" s="31" t="inlineStr">
        <is>
          <t>Mg10</t>
        </is>
      </c>
      <c r="B62" s="32" t="inlineStr">
        <is>
          <t>Equation of a circle</t>
        </is>
      </c>
      <c r="C62" s="33" t="n">
        <v>1</v>
      </c>
      <c r="D62" s="34" t="n"/>
      <c r="E62" s="35" t="n"/>
      <c r="F62" s="36" t="inlineStr">
        <is>
          <t>▶ Watch</t>
        </is>
      </c>
      <c r="G62" s="36" t="inlineStr">
        <is>
          <t>Q 2–8</t>
        </is>
      </c>
      <c r="H62" s="36" t="inlineStr">
        <is>
          <t>Answers</t>
        </is>
      </c>
      <c r="I62" s="35" t="inlineStr">
        <is>
          <t>Solomon: Circles</t>
        </is>
      </c>
      <c r="J62" s="36" t="inlineStr">
        <is>
          <t>Q 1–5, 7, 9, 10</t>
        </is>
      </c>
      <c r="K62" s="37" t="inlineStr">
        <is>
          <t>none</t>
        </is>
      </c>
      <c r="L62" s="36" t="inlineStr">
        <is>
          <t>Answers</t>
        </is>
      </c>
      <c r="M62" s="35" t="inlineStr">
        <is>
          <t>Curves</t>
        </is>
      </c>
      <c r="N62" s="36" t="inlineStr">
        <is>
          <t>Pages 1–3</t>
        </is>
      </c>
      <c r="O62" s="36" t="inlineStr">
        <is>
          <t>Marks</t>
        </is>
      </c>
      <c r="P62" t="inlineStr">
        <is>
          <t>P5</t>
        </is>
      </c>
    </row>
    <row r="63" outlineLevel="1" ht="32" customHeight="1">
      <c r="A63" s="31" t="inlineStr">
        <is>
          <t>Mg11</t>
        </is>
      </c>
      <c r="B63" s="32" t="inlineStr">
        <is>
          <t>Circle properties</t>
        </is>
      </c>
      <c r="C63" s="33" t="n">
        <v>1</v>
      </c>
      <c r="D63" s="34" t="n"/>
      <c r="E63" s="35" t="n"/>
      <c r="F63" s="36" t="inlineStr">
        <is>
          <t>▶ Watch</t>
        </is>
      </c>
      <c r="G63" s="36" t="inlineStr">
        <is>
          <t>Q 3, 5, 6, 9, 10, 13, 17, 24</t>
        </is>
      </c>
      <c r="H63" s="36" t="inlineStr">
        <is>
          <t>Answers</t>
        </is>
      </c>
      <c r="I63" s="35" t="inlineStr">
        <is>
          <t>Solomon: Circles</t>
        </is>
      </c>
      <c r="J63" s="36" t="inlineStr">
        <is>
          <t>Q 6, 11–15, 23</t>
        </is>
      </c>
      <c r="K63" s="37" t="inlineStr">
        <is>
          <t>none</t>
        </is>
      </c>
      <c r="L63" s="36" t="inlineStr">
        <is>
          <t>Answers</t>
        </is>
      </c>
      <c r="M63" s="35" t="inlineStr">
        <is>
          <t>Curves</t>
        </is>
      </c>
      <c r="N63" s="36" t="inlineStr">
        <is>
          <t>Pages 1–3</t>
        </is>
      </c>
      <c r="O63" s="36" t="inlineStr">
        <is>
          <t>Marks</t>
        </is>
      </c>
      <c r="P63" t="inlineStr">
        <is>
          <t>P5</t>
        </is>
      </c>
    </row>
    <row r="64" outlineLevel="1" ht="20" customHeight="1">
      <c r="A64" s="31" t="inlineStr">
        <is>
          <t>Mg12</t>
        </is>
      </c>
      <c r="B64" s="32" t="inlineStr">
        <is>
          <t>Parameter and parametric equations</t>
        </is>
      </c>
      <c r="C64" s="38" t="n">
        <v>2</v>
      </c>
      <c r="D64" s="34" t="n"/>
      <c r="E64" s="35" t="n"/>
      <c r="F64" s="36" t="inlineStr">
        <is>
          <t>Topic page</t>
        </is>
      </c>
      <c r="G64" s="36" t="inlineStr">
        <is>
          <t>Q 2, 6</t>
        </is>
      </c>
      <c r="H64" s="36" t="inlineStr">
        <is>
          <t>Answers</t>
        </is>
      </c>
      <c r="I64" s="35" t="inlineStr">
        <is>
          <t>Solomon: Parametric equations</t>
        </is>
      </c>
      <c r="J64" s="36" t="inlineStr">
        <is>
          <t>Q 1, 2</t>
        </is>
      </c>
      <c r="K64" s="37" t="inlineStr">
        <is>
          <t>none</t>
        </is>
      </c>
      <c r="L64" s="36" t="inlineStr">
        <is>
          <t>Answers</t>
        </is>
      </c>
      <c r="M64" s="35" t="inlineStr">
        <is>
          <t>Parametric Equations</t>
        </is>
      </c>
      <c r="N64" s="36" t="inlineStr">
        <is>
          <t>Page 4</t>
        </is>
      </c>
      <c r="O64" s="36" t="inlineStr">
        <is>
          <t>Marks</t>
        </is>
      </c>
      <c r="P64" t="inlineStr">
        <is>
          <t>P5</t>
        </is>
      </c>
    </row>
    <row r="65" outlineLevel="1" ht="20" customHeight="1">
      <c r="A65" s="31" t="inlineStr">
        <is>
          <t>Mg13</t>
        </is>
      </c>
      <c r="B65" s="32" t="inlineStr">
        <is>
          <t>Convert between cartesian and parametric forms</t>
        </is>
      </c>
      <c r="C65" s="38" t="n">
        <v>2</v>
      </c>
      <c r="D65" s="34" t="n"/>
      <c r="E65" s="35" t="n"/>
      <c r="F65" s="36" t="inlineStr">
        <is>
          <t>▶ Watch</t>
        </is>
      </c>
      <c r="G65" s="36" t="inlineStr">
        <is>
          <t>Q 1, 4–8</t>
        </is>
      </c>
      <c r="H65" s="36" t="inlineStr">
        <is>
          <t>Answers</t>
        </is>
      </c>
      <c r="I65" s="35" t="inlineStr">
        <is>
          <t>Solomon: Parametric equations</t>
        </is>
      </c>
      <c r="J65" s="36" t="inlineStr">
        <is>
          <t>Q 3–6, 8</t>
        </is>
      </c>
      <c r="K65" s="37" t="inlineStr">
        <is>
          <t>none</t>
        </is>
      </c>
      <c r="L65" s="36" t="inlineStr">
        <is>
          <t>Answers</t>
        </is>
      </c>
      <c r="M65" s="35" t="inlineStr">
        <is>
          <t>Parametric Equations</t>
        </is>
      </c>
      <c r="N65" s="36" t="inlineStr">
        <is>
          <t>Pages 2–4</t>
        </is>
      </c>
      <c r="O65" s="36" t="inlineStr">
        <is>
          <t>Marks</t>
        </is>
      </c>
      <c r="P65" t="inlineStr">
        <is>
          <t>P5</t>
        </is>
      </c>
    </row>
    <row r="66" outlineLevel="1" ht="20" customHeight="1">
      <c r="A66" s="31" t="inlineStr">
        <is>
          <t>Mg14</t>
        </is>
      </c>
      <c r="B66" s="32" t="inlineStr">
        <is>
          <t>Equation of a circle in parametric form</t>
        </is>
      </c>
      <c r="C66" s="38" t="n">
        <v>2</v>
      </c>
      <c r="D66" s="34" t="n"/>
      <c r="E66" s="35" t="n"/>
      <c r="F66" s="36" t="inlineStr">
        <is>
          <t>Topic page</t>
        </is>
      </c>
      <c r="G66" s="36" t="inlineStr">
        <is>
          <t>Q 3</t>
        </is>
      </c>
      <c r="H66" s="36" t="inlineStr">
        <is>
          <t>Answers</t>
        </is>
      </c>
      <c r="I66" s="35" t="inlineStr">
        <is>
          <t>Solomon: Parametric equations</t>
        </is>
      </c>
      <c r="J66" s="36" t="inlineStr">
        <is>
          <t>Q 5–7</t>
        </is>
      </c>
      <c r="K66" s="37" t="inlineStr">
        <is>
          <t>none</t>
        </is>
      </c>
      <c r="L66" s="36" t="inlineStr">
        <is>
          <t>Answers</t>
        </is>
      </c>
      <c r="M66" s="40" t="inlineStr">
        <is>
          <t>none for this topic</t>
        </is>
      </c>
      <c r="N66" s="37" t="inlineStr">
        <is>
          <t>none on this topic</t>
        </is>
      </c>
      <c r="O66" s="39" t="n"/>
      <c r="P66" t="inlineStr">
        <is>
          <t>P5</t>
        </is>
      </c>
    </row>
    <row r="67" outlineLevel="1" ht="32" customHeight="1">
      <c r="A67" s="31" t="inlineStr">
        <is>
          <t>Mg15</t>
        </is>
      </c>
      <c r="B67" s="32" t="inlineStr">
        <is>
          <t>Gradient of a parametric curve</t>
        </is>
      </c>
      <c r="C67" s="38" t="n">
        <v>2</v>
      </c>
      <c r="D67" s="34" t="n"/>
      <c r="E67" s="35" t="n"/>
      <c r="F67" s="36" t="inlineStr">
        <is>
          <t>▶ Watch</t>
        </is>
      </c>
      <c r="G67" s="36" t="inlineStr">
        <is>
          <t>Q 33–35, 50, 61, 71, 72</t>
        </is>
      </c>
      <c r="H67" s="36" t="inlineStr">
        <is>
          <t>Answers</t>
        </is>
      </c>
      <c r="I67" s="35" t="inlineStr">
        <is>
          <t>Solomon: Differentiating functions defined parametrically</t>
        </is>
      </c>
      <c r="J67" s="36" t="inlineStr">
        <is>
          <t>Q 1–7, 9</t>
        </is>
      </c>
      <c r="K67" s="37" t="inlineStr">
        <is>
          <t>none</t>
        </is>
      </c>
      <c r="L67" s="36" t="inlineStr">
        <is>
          <t>Answers</t>
        </is>
      </c>
      <c r="M67" s="35" t="inlineStr">
        <is>
          <t>Parametric Equations</t>
        </is>
      </c>
      <c r="N67" s="36" t="inlineStr">
        <is>
          <t>Pages 1–3</t>
        </is>
      </c>
      <c r="O67" s="36" t="inlineStr">
        <is>
          <t>Marks</t>
        </is>
      </c>
      <c r="P67" t="inlineStr">
        <is>
          <t>P5</t>
        </is>
      </c>
    </row>
    <row r="68" outlineLevel="1" ht="20" customHeight="1">
      <c r="A68" s="31" t="inlineStr">
        <is>
          <t>Mg16</t>
        </is>
      </c>
      <c r="B68" s="32" t="inlineStr">
        <is>
          <t>Parametric equations in modelling</t>
        </is>
      </c>
      <c r="C68" s="38" t="n">
        <v>2</v>
      </c>
      <c r="D68" s="34" t="n"/>
      <c r="E68" s="35" t="n"/>
      <c r="F68" s="36" t="inlineStr">
        <is>
          <t>▶ Watch</t>
        </is>
      </c>
      <c r="G68" s="36" t="inlineStr">
        <is>
          <t>Q 4</t>
        </is>
      </c>
      <c r="H68" s="36" t="inlineStr">
        <is>
          <t>Answers</t>
        </is>
      </c>
      <c r="I68" s="35" t="inlineStr">
        <is>
          <t>Edexcel: Projectiles 2</t>
        </is>
      </c>
      <c r="J68" s="36" t="inlineStr">
        <is>
          <t>Pages 2, 3</t>
        </is>
      </c>
      <c r="K68" s="37" t="inlineStr">
        <is>
          <t>in the PDF</t>
        </is>
      </c>
      <c r="L68" s="37" t="inlineStr">
        <is>
          <t>in the PDF</t>
        </is>
      </c>
      <c r="M68" s="35" t="inlineStr">
        <is>
          <t>Motion in 2 Dimensions</t>
        </is>
      </c>
      <c r="N68" s="36" t="inlineStr">
        <is>
          <t>Pages 2–4</t>
        </is>
      </c>
      <c r="O68" s="36" t="inlineStr">
        <is>
          <t>Marks</t>
        </is>
      </c>
      <c r="P68" t="inlineStr">
        <is>
          <t>P5</t>
        </is>
      </c>
    </row>
    <row r="69" ht="10" customHeight="1"/>
    <row r="70" ht="26" customHeight="1">
      <c r="A70" s="27" t="n">
        <v>6</v>
      </c>
      <c r="B70" s="28" t="inlineStr">
        <is>
          <t>Sequences and series</t>
        </is>
      </c>
      <c r="C70" s="29" t="n"/>
      <c r="D70" s="29" t="n"/>
      <c r="E70" s="30" t="inlineStr">
        <is>
          <t>17 topics  ·  Year 1: 2  ·  Year 2: 15</t>
        </is>
      </c>
      <c r="F70" s="29" t="n"/>
      <c r="G70" s="29" t="n"/>
      <c r="H70" s="29" t="n"/>
      <c r="I70" s="29" t="n"/>
      <c r="J70" s="29" t="n"/>
      <c r="K70" s="29" t="n"/>
      <c r="L70" s="29" t="n"/>
      <c r="M70" s="29" t="n"/>
      <c r="N70" s="29" t="n"/>
      <c r="O70" s="29" t="n"/>
    </row>
    <row r="71" outlineLevel="1" ht="20" customHeight="1">
      <c r="A71" s="31" t="inlineStr">
        <is>
          <t>Ms1</t>
        </is>
      </c>
      <c r="B71" s="32" t="inlineStr">
        <is>
          <t>Binomial expansion for positive integer n</t>
        </is>
      </c>
      <c r="C71" s="33" t="n">
        <v>1</v>
      </c>
      <c r="D71" s="34" t="n"/>
      <c r="E71" s="35" t="n"/>
      <c r="F71" s="36" t="inlineStr">
        <is>
          <t>▶ Watch</t>
        </is>
      </c>
      <c r="G71" s="36" t="inlineStr">
        <is>
          <t>Q 3–9</t>
        </is>
      </c>
      <c r="H71" s="36" t="inlineStr">
        <is>
          <t>Answers</t>
        </is>
      </c>
      <c r="I71" s="35" t="inlineStr">
        <is>
          <t>Edexcel: Binomial Expansion</t>
        </is>
      </c>
      <c r="J71" s="36" t="inlineStr">
        <is>
          <t>Pages 1–6</t>
        </is>
      </c>
      <c r="K71" s="37" t="inlineStr">
        <is>
          <t>none</t>
        </is>
      </c>
      <c r="L71" s="36" t="inlineStr">
        <is>
          <t>Answers</t>
        </is>
      </c>
      <c r="M71" s="35" t="inlineStr">
        <is>
          <t>Binomial Expansions (Yr. 1)</t>
        </is>
      </c>
      <c r="N71" s="36" t="inlineStr">
        <is>
          <t>Page 1</t>
        </is>
      </c>
      <c r="O71" s="36" t="inlineStr">
        <is>
          <t>Marks</t>
        </is>
      </c>
      <c r="P71" t="inlineStr">
        <is>
          <t>P6</t>
        </is>
      </c>
    </row>
    <row r="72" outlineLevel="1" ht="20" customHeight="1">
      <c r="A72" s="31" t="inlineStr">
        <is>
          <t>Ms2</t>
        </is>
      </c>
      <c r="B72" s="32" t="inlineStr">
        <is>
          <t>Factorial and combinations notation</t>
        </is>
      </c>
      <c r="C72" s="33" t="n">
        <v>1</v>
      </c>
      <c r="D72" s="34" t="n"/>
      <c r="E72" s="35" t="n"/>
      <c r="F72" s="36" t="inlineStr">
        <is>
          <t>▶ Watch</t>
        </is>
      </c>
      <c r="G72" s="36" t="inlineStr">
        <is>
          <t>Q 2</t>
        </is>
      </c>
      <c r="H72" s="36" t="inlineStr">
        <is>
          <t>Answers</t>
        </is>
      </c>
      <c r="I72" s="40" t="inlineStr">
        <is>
          <t>none for this topic</t>
        </is>
      </c>
      <c r="J72" s="37" t="inlineStr">
        <is>
          <t>none on this topic</t>
        </is>
      </c>
      <c r="K72" s="39" t="n"/>
      <c r="L72" s="39" t="n"/>
      <c r="M72" s="40" t="inlineStr">
        <is>
          <t>none for this topic</t>
        </is>
      </c>
      <c r="N72" s="37" t="inlineStr">
        <is>
          <t>none on this topic</t>
        </is>
      </c>
      <c r="O72" s="39" t="n"/>
      <c r="P72" t="inlineStr">
        <is>
          <t>P6</t>
        </is>
      </c>
    </row>
    <row r="73" outlineLevel="1" ht="32" customHeight="1">
      <c r="A73" s="31" t="inlineStr">
        <is>
          <t>Ms3</t>
        </is>
      </c>
      <c r="B73" s="32" t="inlineStr">
        <is>
          <t>Binomial expansion for rational n</t>
        </is>
      </c>
      <c r="C73" s="38" t="n">
        <v>2</v>
      </c>
      <c r="D73" s="34" t="n"/>
      <c r="E73" s="35" t="n"/>
      <c r="F73" s="36" t="inlineStr">
        <is>
          <t>▶ Watch</t>
        </is>
      </c>
      <c r="G73" s="36" t="inlineStr">
        <is>
          <t>Q 1, 4, 7, 11, 14, 15, 17, 18</t>
        </is>
      </c>
      <c r="H73" s="36" t="inlineStr">
        <is>
          <t>Answers</t>
        </is>
      </c>
      <c r="I73" s="35" t="inlineStr">
        <is>
          <t>Edexcel: Binomial Series</t>
        </is>
      </c>
      <c r="J73" s="36" t="inlineStr">
        <is>
          <t>Pages 1, 4–7</t>
        </is>
      </c>
      <c r="K73" s="37" t="inlineStr">
        <is>
          <t>in the PDF</t>
        </is>
      </c>
      <c r="L73" s="37" t="inlineStr">
        <is>
          <t>in the PDF</t>
        </is>
      </c>
      <c r="M73" s="35" t="inlineStr">
        <is>
          <t>Binomial Expansions (Yr. 2)</t>
        </is>
      </c>
      <c r="N73" s="36" t="inlineStr">
        <is>
          <t>Pages 1–3</t>
        </is>
      </c>
      <c r="O73" s="36" t="inlineStr">
        <is>
          <t>Marks</t>
        </is>
      </c>
      <c r="P73" t="inlineStr">
        <is>
          <t>P6</t>
        </is>
      </c>
    </row>
    <row r="74" outlineLevel="1" ht="32" customHeight="1">
      <c r="A74" s="31" t="inlineStr">
        <is>
          <t>Ms4</t>
        </is>
      </c>
      <c r="B74" s="32" t="inlineStr">
        <is>
          <t>Binomial expansion of (a + bx)ⁿ for rational n (taking out a factor)</t>
        </is>
      </c>
      <c r="C74" s="38" t="n">
        <v>2</v>
      </c>
      <c r="D74" s="34" t="n"/>
      <c r="E74" s="35" t="n"/>
      <c r="F74" s="36" t="inlineStr">
        <is>
          <t>Topic page</t>
        </is>
      </c>
      <c r="G74" s="36" t="inlineStr">
        <is>
          <t>Q 2, 3, 5, 6, 8, 10, 12, 13</t>
        </is>
      </c>
      <c r="H74" s="36" t="inlineStr">
        <is>
          <t>Answers</t>
        </is>
      </c>
      <c r="I74" s="35" t="inlineStr">
        <is>
          <t>Edexcel: Binomial Series</t>
        </is>
      </c>
      <c r="J74" s="36" t="inlineStr">
        <is>
          <t>Pages 2–5</t>
        </is>
      </c>
      <c r="K74" s="37" t="inlineStr">
        <is>
          <t>in the PDF</t>
        </is>
      </c>
      <c r="L74" s="37" t="inlineStr">
        <is>
          <t>in the PDF</t>
        </is>
      </c>
      <c r="M74" s="35" t="inlineStr">
        <is>
          <t>Binomial Expansions (Yr. 2)</t>
        </is>
      </c>
      <c r="N74" s="36" t="inlineStr">
        <is>
          <t>Pages 1, 2</t>
        </is>
      </c>
      <c r="O74" s="36" t="inlineStr">
        <is>
          <t>Marks</t>
        </is>
      </c>
      <c r="P74" t="inlineStr">
        <is>
          <t>P6</t>
        </is>
      </c>
    </row>
    <row r="75" outlineLevel="1" ht="20" customHeight="1">
      <c r="A75" s="31" t="inlineStr">
        <is>
          <t>Ms5</t>
        </is>
      </c>
      <c r="B75" s="32" t="inlineStr">
        <is>
          <t>Binomial approximating polynomials</t>
        </is>
      </c>
      <c r="C75" s="38" t="n">
        <v>2</v>
      </c>
      <c r="D75" s="34" t="n"/>
      <c r="E75" s="35" t="n"/>
      <c r="F75" s="36" t="inlineStr">
        <is>
          <t>▶ Watch</t>
        </is>
      </c>
      <c r="G75" s="36" t="inlineStr">
        <is>
          <t>Q 4, 6, 8, 9, 11, 14</t>
        </is>
      </c>
      <c r="H75" s="36" t="inlineStr">
        <is>
          <t>Answers</t>
        </is>
      </c>
      <c r="I75" s="35" t="inlineStr">
        <is>
          <t>Edexcel: Binomial Series</t>
        </is>
      </c>
      <c r="J75" s="36" t="inlineStr">
        <is>
          <t>Pages 1–3, 7</t>
        </is>
      </c>
      <c r="K75" s="37" t="inlineStr">
        <is>
          <t>in the PDF</t>
        </is>
      </c>
      <c r="L75" s="37" t="inlineStr">
        <is>
          <t>in the PDF</t>
        </is>
      </c>
      <c r="M75" s="35" t="inlineStr">
        <is>
          <t>Binomial Expansions (Yr. 2)</t>
        </is>
      </c>
      <c r="N75" s="36" t="inlineStr">
        <is>
          <t>Page 2</t>
        </is>
      </c>
      <c r="O75" s="36" t="inlineStr">
        <is>
          <t>Marks</t>
        </is>
      </c>
      <c r="P75" t="inlineStr">
        <is>
          <t>P6</t>
        </is>
      </c>
    </row>
    <row r="76" outlineLevel="1" ht="20" customHeight="1">
      <c r="A76" s="31" t="inlineStr">
        <is>
          <t>Ms6</t>
        </is>
      </c>
      <c r="B76" s="32" t="inlineStr">
        <is>
          <t>What a sequence is; finite and infinite</t>
        </is>
      </c>
      <c r="C76" s="38" t="n">
        <v>2</v>
      </c>
      <c r="D76" s="34" t="n"/>
      <c r="E76" s="35" t="n"/>
      <c r="F76" s="36" t="inlineStr">
        <is>
          <t>Topic page</t>
        </is>
      </c>
      <c r="G76" s="37" t="inlineStr">
        <is>
          <t>none on this topic</t>
        </is>
      </c>
      <c r="H76" s="39" t="n"/>
      <c r="I76" s="40" t="inlineStr">
        <is>
          <t>none for this topic</t>
        </is>
      </c>
      <c r="J76" s="37" t="inlineStr">
        <is>
          <t>none on this topic</t>
        </is>
      </c>
      <c r="K76" s="39" t="n"/>
      <c r="L76" s="39" t="n"/>
      <c r="M76" s="40" t="inlineStr">
        <is>
          <t>none for this topic</t>
        </is>
      </c>
      <c r="N76" s="37" t="inlineStr">
        <is>
          <t>none on this topic</t>
        </is>
      </c>
      <c r="O76" s="39" t="n"/>
      <c r="P76" t="inlineStr">
        <is>
          <t>P6</t>
        </is>
      </c>
    </row>
    <row r="77" outlineLevel="1" ht="32" customHeight="1">
      <c r="A77" s="31" t="inlineStr">
        <is>
          <t>Ms7</t>
        </is>
      </c>
      <c r="B77" s="32" t="inlineStr">
        <is>
          <t>Generate a sequence by formula or recurrence</t>
        </is>
      </c>
      <c r="C77" s="38" t="n">
        <v>2</v>
      </c>
      <c r="D77" s="34" t="n"/>
      <c r="E77" s="35" t="n"/>
      <c r="F77" s="36" t="inlineStr">
        <is>
          <t>▶ Watch</t>
        </is>
      </c>
      <c r="G77" s="36" t="inlineStr">
        <is>
          <t>Q 14–18, 29</t>
        </is>
      </c>
      <c r="H77" s="36" t="inlineStr">
        <is>
          <t>Answers</t>
        </is>
      </c>
      <c r="I77" s="35" t="inlineStr">
        <is>
          <t>Edexcel: General Sequences and Series 1</t>
        </is>
      </c>
      <c r="J77" s="36" t="inlineStr">
        <is>
          <t>Pages 1–5</t>
        </is>
      </c>
      <c r="K77" s="37" t="inlineStr">
        <is>
          <t>in the PDF</t>
        </is>
      </c>
      <c r="L77" s="37" t="inlineStr">
        <is>
          <t>in the PDF</t>
        </is>
      </c>
      <c r="M77" s="35" t="inlineStr">
        <is>
          <t>Sequences</t>
        </is>
      </c>
      <c r="N77" s="36" t="inlineStr">
        <is>
          <t>Pages 1, 2</t>
        </is>
      </c>
      <c r="O77" s="36" t="inlineStr">
        <is>
          <t>Marks</t>
        </is>
      </c>
      <c r="P77" t="inlineStr">
        <is>
          <t>P6</t>
        </is>
      </c>
    </row>
    <row r="78" outlineLevel="1" ht="32" customHeight="1">
      <c r="A78" s="31" t="inlineStr">
        <is>
          <t>Ms8</t>
        </is>
      </c>
      <c r="B78" s="32" t="inlineStr">
        <is>
          <t>A series as a sum of terms</t>
        </is>
      </c>
      <c r="C78" s="38" t="n">
        <v>2</v>
      </c>
      <c r="D78" s="34" t="n"/>
      <c r="E78" s="35" t="n"/>
      <c r="F78" s="36" t="inlineStr">
        <is>
          <t>Topic page</t>
        </is>
      </c>
      <c r="G78" s="36" t="inlineStr">
        <is>
          <t>Q 15, 20, 24</t>
        </is>
      </c>
      <c r="H78" s="36" t="inlineStr">
        <is>
          <t>Answers</t>
        </is>
      </c>
      <c r="I78" s="35" t="inlineStr">
        <is>
          <t>Edexcel: General Sequences and Series 1</t>
        </is>
      </c>
      <c r="J78" s="36" t="inlineStr">
        <is>
          <t>Pages 1, 3, 4</t>
        </is>
      </c>
      <c r="K78" s="37" t="inlineStr">
        <is>
          <t>in the PDF</t>
        </is>
      </c>
      <c r="L78" s="37" t="inlineStr">
        <is>
          <t>in the PDF</t>
        </is>
      </c>
      <c r="M78" s="35" t="inlineStr">
        <is>
          <t>Sequences</t>
        </is>
      </c>
      <c r="N78" s="36" t="inlineStr">
        <is>
          <t>Page 1</t>
        </is>
      </c>
      <c r="O78" s="36" t="inlineStr">
        <is>
          <t>Marks</t>
        </is>
      </c>
      <c r="P78" t="inlineStr">
        <is>
          <t>P6</t>
        </is>
      </c>
    </row>
    <row r="79" outlineLevel="1" ht="32" customHeight="1">
      <c r="A79" s="31" t="inlineStr">
        <is>
          <t>Ms9</t>
        </is>
      </c>
      <c r="B79" s="32" t="inlineStr">
        <is>
          <t>Sigma notation</t>
        </is>
      </c>
      <c r="C79" s="38" t="n">
        <v>2</v>
      </c>
      <c r="D79" s="34" t="n"/>
      <c r="E79" s="35" t="n"/>
      <c r="F79" s="36" t="inlineStr">
        <is>
          <t>▶ Watch</t>
        </is>
      </c>
      <c r="G79" s="36" t="inlineStr">
        <is>
          <t>Q 15, 20, 22, 24, 28, 30, 31, 35</t>
        </is>
      </c>
      <c r="H79" s="36" t="inlineStr">
        <is>
          <t>Answers</t>
        </is>
      </c>
      <c r="I79" s="35" t="inlineStr">
        <is>
          <t>Edexcel: Sequences and Series</t>
        </is>
      </c>
      <c r="J79" s="36" t="inlineStr">
        <is>
          <t>Pages 1, 2, 5</t>
        </is>
      </c>
      <c r="K79" s="37" t="inlineStr">
        <is>
          <t>none</t>
        </is>
      </c>
      <c r="L79" s="36" t="inlineStr">
        <is>
          <t>Answers</t>
        </is>
      </c>
      <c r="M79" s="35" t="inlineStr">
        <is>
          <t>Sequences</t>
        </is>
      </c>
      <c r="N79" s="36" t="inlineStr">
        <is>
          <t>Pages 1, 2</t>
        </is>
      </c>
      <c r="O79" s="36" t="inlineStr">
        <is>
          <t>Marks</t>
        </is>
      </c>
      <c r="P79" t="inlineStr">
        <is>
          <t>P6</t>
        </is>
      </c>
    </row>
    <row r="80" outlineLevel="1" ht="20" customHeight="1">
      <c r="A80" s="31" t="inlineStr">
        <is>
          <t>Ms10</t>
        </is>
      </c>
      <c r="B80" s="32" t="inlineStr">
        <is>
          <t>Increasing, decreasing and periodic sequences</t>
        </is>
      </c>
      <c r="C80" s="38" t="n">
        <v>2</v>
      </c>
      <c r="D80" s="34" t="n"/>
      <c r="E80" s="35" t="n"/>
      <c r="F80" s="36" t="inlineStr">
        <is>
          <t>Topic page</t>
        </is>
      </c>
      <c r="G80" s="36" t="inlineStr">
        <is>
          <t>Q 16, 20, 24, 25</t>
        </is>
      </c>
      <c r="H80" s="36" t="inlineStr">
        <is>
          <t>Answers</t>
        </is>
      </c>
      <c r="I80" s="35" t="inlineStr">
        <is>
          <t>Edexcel: Sequences and Series</t>
        </is>
      </c>
      <c r="J80" s="36" t="inlineStr">
        <is>
          <t>Pages 4, 5</t>
        </is>
      </c>
      <c r="K80" s="36" t="inlineStr">
        <is>
          <t>Marks</t>
        </is>
      </c>
      <c r="L80" s="36" t="inlineStr">
        <is>
          <t>Answers</t>
        </is>
      </c>
      <c r="M80" s="35" t="inlineStr">
        <is>
          <t>Sequences</t>
        </is>
      </c>
      <c r="N80" s="36" t="inlineStr">
        <is>
          <t>Pages 1, 2</t>
        </is>
      </c>
      <c r="O80" s="36" t="inlineStr">
        <is>
          <t>Marks</t>
        </is>
      </c>
      <c r="P80" t="inlineStr">
        <is>
          <t>P6</t>
        </is>
      </c>
    </row>
    <row r="81" outlineLevel="1" ht="20" customHeight="1">
      <c r="A81" s="31" t="inlineStr">
        <is>
          <t>Ms11</t>
        </is>
      </c>
      <c r="B81" s="32" t="inlineStr">
        <is>
          <t>Convergent and divergent sequences</t>
        </is>
      </c>
      <c r="C81" s="38" t="n">
        <v>2</v>
      </c>
      <c r="D81" s="34" t="n"/>
      <c r="E81" s="35" t="n"/>
      <c r="F81" s="36" t="inlineStr">
        <is>
          <t>Topic page</t>
        </is>
      </c>
      <c r="G81" s="37" t="inlineStr">
        <is>
          <t>none on this topic</t>
        </is>
      </c>
      <c r="H81" s="39" t="n"/>
      <c r="I81" s="40" t="inlineStr">
        <is>
          <t>none for this topic</t>
        </is>
      </c>
      <c r="J81" s="37" t="inlineStr">
        <is>
          <t>none on this topic</t>
        </is>
      </c>
      <c r="K81" s="39" t="n"/>
      <c r="L81" s="39" t="n"/>
      <c r="M81" s="35" t="inlineStr">
        <is>
          <t>Sequences</t>
        </is>
      </c>
      <c r="N81" s="36" t="inlineStr">
        <is>
          <t>Pages 1, 2</t>
        </is>
      </c>
      <c r="O81" s="36" t="inlineStr">
        <is>
          <t>Marks</t>
        </is>
      </c>
      <c r="P81" t="inlineStr">
        <is>
          <t>P6</t>
        </is>
      </c>
    </row>
    <row r="82" outlineLevel="1" ht="32" customHeight="1">
      <c r="A82" s="31" t="inlineStr">
        <is>
          <t>Ms12</t>
        </is>
      </c>
      <c r="B82" s="32" t="inlineStr">
        <is>
          <t>Arithmetic sequences and series</t>
        </is>
      </c>
      <c r="C82" s="38" t="n">
        <v>2</v>
      </c>
      <c r="D82" s="34" t="n"/>
      <c r="E82" s="35" t="n"/>
      <c r="F82" s="36" t="inlineStr">
        <is>
          <t>▶ Watch</t>
        </is>
      </c>
      <c r="G82" s="36" t="inlineStr">
        <is>
          <t>Q 2, 4, 5, 30, 36, 37</t>
        </is>
      </c>
      <c r="H82" s="36" t="inlineStr">
        <is>
          <t>Answers</t>
        </is>
      </c>
      <c r="I82" s="35" t="inlineStr">
        <is>
          <t>Edexcel: Arithmetic Series</t>
        </is>
      </c>
      <c r="J82" s="36" t="inlineStr">
        <is>
          <t>Pages 2, 3, 9, 10</t>
        </is>
      </c>
      <c r="K82" s="37" t="inlineStr">
        <is>
          <t>in the PDF</t>
        </is>
      </c>
      <c r="L82" s="37" t="inlineStr">
        <is>
          <t>in the PDF</t>
        </is>
      </c>
      <c r="M82" s="35" t="inlineStr">
        <is>
          <t>Arithmetic Series</t>
        </is>
      </c>
      <c r="N82" s="36" t="inlineStr">
        <is>
          <t>Page 1</t>
        </is>
      </c>
      <c r="O82" s="36" t="inlineStr">
        <is>
          <t>Marks</t>
        </is>
      </c>
      <c r="P82" t="inlineStr">
        <is>
          <t>P6</t>
        </is>
      </c>
    </row>
    <row r="83" outlineLevel="1" ht="32" customHeight="1">
      <c r="A83" s="31" t="inlineStr">
        <is>
          <t>Ms13</t>
        </is>
      </c>
      <c r="B83" s="32" t="inlineStr">
        <is>
          <t>Standard formulae for arithmetic series</t>
        </is>
      </c>
      <c r="C83" s="38" t="n">
        <v>2</v>
      </c>
      <c r="D83" s="34" t="n"/>
      <c r="E83" s="35" t="n"/>
      <c r="F83" s="36" t="inlineStr">
        <is>
          <t>▶ Watch</t>
        </is>
      </c>
      <c r="G83" s="36" t="inlineStr">
        <is>
          <t>Q 1, 3–5, 26, 27, 31, 36</t>
        </is>
      </c>
      <c r="H83" s="36" t="inlineStr">
        <is>
          <t>Answers</t>
        </is>
      </c>
      <c r="I83" s="35" t="inlineStr">
        <is>
          <t>Edexcel: Arithmetic Series</t>
        </is>
      </c>
      <c r="J83" s="36" t="inlineStr">
        <is>
          <t>Pages 2, 3, 6, 7, 9, 10</t>
        </is>
      </c>
      <c r="K83" s="37" t="inlineStr">
        <is>
          <t>in the PDF</t>
        </is>
      </c>
      <c r="L83" s="37" t="inlineStr">
        <is>
          <t>in the PDF</t>
        </is>
      </c>
      <c r="M83" s="35" t="inlineStr">
        <is>
          <t>Arithmetic Series</t>
        </is>
      </c>
      <c r="N83" s="36" t="inlineStr">
        <is>
          <t>Pages 1, 2</t>
        </is>
      </c>
      <c r="O83" s="36" t="inlineStr">
        <is>
          <t>Marks</t>
        </is>
      </c>
      <c r="P83" t="inlineStr">
        <is>
          <t>P6</t>
        </is>
      </c>
    </row>
    <row r="84" outlineLevel="1" ht="32" customHeight="1">
      <c r="A84" s="31" t="inlineStr">
        <is>
          <t>Ms14</t>
        </is>
      </c>
      <c r="B84" s="32" t="inlineStr">
        <is>
          <t>Geometric sequences and series</t>
        </is>
      </c>
      <c r="C84" s="38" t="n">
        <v>2</v>
      </c>
      <c r="D84" s="34" t="n"/>
      <c r="E84" s="35" t="n"/>
      <c r="F84" s="36" t="inlineStr">
        <is>
          <t>▶ Watch</t>
        </is>
      </c>
      <c r="G84" s="36" t="inlineStr">
        <is>
          <t>Q 9, 10, 12, 13, 21, 32</t>
        </is>
      </c>
      <c r="H84" s="36" t="inlineStr">
        <is>
          <t>Answers</t>
        </is>
      </c>
      <c r="I84" s="35" t="inlineStr">
        <is>
          <t>Edexcel: Geometric Series 1</t>
        </is>
      </c>
      <c r="J84" s="36" t="inlineStr">
        <is>
          <t>Pages 2–4, 8, 10</t>
        </is>
      </c>
      <c r="K84" s="37" t="inlineStr">
        <is>
          <t>in the PDF</t>
        </is>
      </c>
      <c r="L84" s="37" t="inlineStr">
        <is>
          <t>in the PDF</t>
        </is>
      </c>
      <c r="M84" s="35" t="inlineStr">
        <is>
          <t>Geometric Series</t>
        </is>
      </c>
      <c r="N84" s="36" t="inlineStr">
        <is>
          <t>Pages 1, 2</t>
        </is>
      </c>
      <c r="O84" s="36" t="inlineStr">
        <is>
          <t>Marks</t>
        </is>
      </c>
      <c r="P84" t="inlineStr">
        <is>
          <t>P6</t>
        </is>
      </c>
    </row>
    <row r="85" outlineLevel="1" ht="32" customHeight="1">
      <c r="A85" s="31" t="inlineStr">
        <is>
          <t>Ms15</t>
        </is>
      </c>
      <c r="B85" s="32" t="inlineStr">
        <is>
          <t>Standard formulae for geometric series</t>
        </is>
      </c>
      <c r="C85" s="38" t="n">
        <v>2</v>
      </c>
      <c r="D85" s="34" t="n"/>
      <c r="E85" s="35" t="n"/>
      <c r="F85" s="36" t="inlineStr">
        <is>
          <t>▶ Watch</t>
        </is>
      </c>
      <c r="G85" s="36" t="inlineStr">
        <is>
          <t>Q 8–11, 13, 21, 33, 35</t>
        </is>
      </c>
      <c r="H85" s="36" t="inlineStr">
        <is>
          <t>Answers</t>
        </is>
      </c>
      <c r="I85" s="35" t="inlineStr">
        <is>
          <t>Edexcel: Geometric Series 1</t>
        </is>
      </c>
      <c r="J85" s="36" t="inlineStr">
        <is>
          <t>Pages 2–6, 8, 9</t>
        </is>
      </c>
      <c r="K85" s="37" t="inlineStr">
        <is>
          <t>in the PDF</t>
        </is>
      </c>
      <c r="L85" s="37" t="inlineStr">
        <is>
          <t>in the PDF</t>
        </is>
      </c>
      <c r="M85" s="35" t="inlineStr">
        <is>
          <t>Geometric Series</t>
        </is>
      </c>
      <c r="N85" s="36" t="inlineStr">
        <is>
          <t>Pages 1, 2</t>
        </is>
      </c>
      <c r="O85" s="36" t="inlineStr">
        <is>
          <t>Marks</t>
        </is>
      </c>
      <c r="P85" t="inlineStr">
        <is>
          <t>P6</t>
        </is>
      </c>
    </row>
    <row r="86" outlineLevel="1" ht="20" customHeight="1">
      <c r="A86" s="31" t="inlineStr">
        <is>
          <t>Ms16</t>
        </is>
      </c>
      <c r="B86" s="32" t="inlineStr">
        <is>
          <t>Sum to infinity of a geometric series</t>
        </is>
      </c>
      <c r="C86" s="38" t="n">
        <v>2</v>
      </c>
      <c r="D86" s="34" t="n"/>
      <c r="E86" s="35" t="n"/>
      <c r="F86" s="36" t="inlineStr">
        <is>
          <t>▶ Watch</t>
        </is>
      </c>
      <c r="G86" s="36" t="inlineStr">
        <is>
          <t>Q 10–12, 22, 32, 38</t>
        </is>
      </c>
      <c r="H86" s="36" t="inlineStr">
        <is>
          <t>Answers</t>
        </is>
      </c>
      <c r="I86" s="35" t="inlineStr">
        <is>
          <t>Edexcel: Geometric Series 1</t>
        </is>
      </c>
      <c r="J86" s="36" t="inlineStr">
        <is>
          <t>Pages 5, 6, 8–10</t>
        </is>
      </c>
      <c r="K86" s="37" t="inlineStr">
        <is>
          <t>in the PDF</t>
        </is>
      </c>
      <c r="L86" s="37" t="inlineStr">
        <is>
          <t>in the PDF</t>
        </is>
      </c>
      <c r="M86" s="35" t="inlineStr">
        <is>
          <t>Geometric Series</t>
        </is>
      </c>
      <c r="N86" s="36" t="inlineStr">
        <is>
          <t>Pages 1, 2</t>
        </is>
      </c>
      <c r="O86" s="36" t="inlineStr">
        <is>
          <t>Marks</t>
        </is>
      </c>
      <c r="P86" t="inlineStr">
        <is>
          <t>P6</t>
        </is>
      </c>
    </row>
    <row r="87" outlineLevel="1" ht="32" customHeight="1">
      <c r="A87" s="31" t="inlineStr">
        <is>
          <t>Ms17</t>
        </is>
      </c>
      <c r="B87" s="32" t="inlineStr">
        <is>
          <t>Sequences and series in modelling</t>
        </is>
      </c>
      <c r="C87" s="38" t="n">
        <v>2</v>
      </c>
      <c r="D87" s="34" t="n"/>
      <c r="E87" s="35" t="n"/>
      <c r="F87" s="36" t="inlineStr">
        <is>
          <t>▶ Watch</t>
        </is>
      </c>
      <c r="G87" s="36" t="inlineStr">
        <is>
          <t>Q 4, 6, 7, 13, 21, 23, 33, 34</t>
        </is>
      </c>
      <c r="H87" s="36" t="inlineStr">
        <is>
          <t>Answers</t>
        </is>
      </c>
      <c r="I87" s="35" t="inlineStr">
        <is>
          <t>Edexcel: Geometric Series 1</t>
        </is>
      </c>
      <c r="J87" s="36" t="inlineStr">
        <is>
          <t>Pages 1, 4, 7</t>
        </is>
      </c>
      <c r="K87" s="37" t="inlineStr">
        <is>
          <t>in the PDF</t>
        </is>
      </c>
      <c r="L87" s="37" t="inlineStr">
        <is>
          <t>in the PDF</t>
        </is>
      </c>
      <c r="M87" s="35" t="inlineStr">
        <is>
          <t>Arithmetic Series</t>
        </is>
      </c>
      <c r="N87" s="36" t="inlineStr">
        <is>
          <t>Page 2</t>
        </is>
      </c>
      <c r="O87" s="36" t="inlineStr">
        <is>
          <t>Marks</t>
        </is>
      </c>
      <c r="P87" t="inlineStr">
        <is>
          <t>P6</t>
        </is>
      </c>
    </row>
    <row r="88" ht="10" customHeight="1"/>
    <row r="89" ht="26" customHeight="1">
      <c r="A89" s="27" t="n">
        <v>7</v>
      </c>
      <c r="B89" s="28" t="inlineStr">
        <is>
          <t>Trigonometry</t>
        </is>
      </c>
      <c r="C89" s="29" t="n"/>
      <c r="D89" s="29" t="n"/>
      <c r="E89" s="30" t="inlineStr">
        <is>
          <t>21 topics  ·  Year 1: 7  ·  Year 2: 14</t>
        </is>
      </c>
      <c r="F89" s="29" t="n"/>
      <c r="G89" s="29" t="n"/>
      <c r="H89" s="29" t="n"/>
      <c r="I89" s="29" t="n"/>
      <c r="J89" s="29" t="n"/>
      <c r="K89" s="29" t="n"/>
      <c r="L89" s="29" t="n"/>
      <c r="M89" s="29" t="n"/>
      <c r="N89" s="29" t="n"/>
      <c r="O89" s="29" t="n"/>
    </row>
    <row r="90" outlineLevel="1" ht="32" customHeight="1">
      <c r="A90" s="31" t="inlineStr">
        <is>
          <t>Mt1</t>
        </is>
      </c>
      <c r="B90" s="32" t="inlineStr">
        <is>
          <t>Definitions of sin, cos and tan for any angle</t>
        </is>
      </c>
      <c r="C90" s="33" t="n">
        <v>1</v>
      </c>
      <c r="D90" s="34" t="n"/>
      <c r="E90" s="35" t="n"/>
      <c r="F90" s="36" t="inlineStr">
        <is>
          <t>▶ Watch</t>
        </is>
      </c>
      <c r="G90" s="36" t="inlineStr">
        <is>
          <t>Q 21</t>
        </is>
      </c>
      <c r="H90" s="36" t="inlineStr">
        <is>
          <t>Answers</t>
        </is>
      </c>
      <c r="I90" s="35" t="inlineStr">
        <is>
          <t>Solomon: Trigonometric ratios and graphs</t>
        </is>
      </c>
      <c r="J90" s="36" t="inlineStr">
        <is>
          <t>Q 2</t>
        </is>
      </c>
      <c r="K90" s="37" t="inlineStr">
        <is>
          <t>none</t>
        </is>
      </c>
      <c r="L90" s="36" t="inlineStr">
        <is>
          <t>Answers</t>
        </is>
      </c>
      <c r="M90" s="40" t="inlineStr">
        <is>
          <t>none for this topic</t>
        </is>
      </c>
      <c r="N90" s="37" t="inlineStr">
        <is>
          <t>none on this topic</t>
        </is>
      </c>
      <c r="O90" s="39" t="n"/>
      <c r="P90" t="inlineStr">
        <is>
          <t>P7</t>
        </is>
      </c>
    </row>
    <row r="91" outlineLevel="1" ht="32" customHeight="1">
      <c r="A91" s="31" t="inlineStr">
        <is>
          <t>Mt2</t>
        </is>
      </c>
      <c r="B91" s="32" t="inlineStr">
        <is>
          <t>Graphs of sin, cos and tan</t>
        </is>
      </c>
      <c r="C91" s="33" t="n">
        <v>1</v>
      </c>
      <c r="D91" s="34" t="n"/>
      <c r="E91" s="35" t="n"/>
      <c r="F91" s="36" t="inlineStr">
        <is>
          <t>▶ Watch</t>
        </is>
      </c>
      <c r="G91" s="36" t="inlineStr">
        <is>
          <t>Q 9, 17, 28</t>
        </is>
      </c>
      <c r="H91" s="36" t="inlineStr">
        <is>
          <t>Answers</t>
        </is>
      </c>
      <c r="I91" s="35" t="inlineStr">
        <is>
          <t>Solomon: Trigonometric ratios and graphs</t>
        </is>
      </c>
      <c r="J91" s="36" t="inlineStr">
        <is>
          <t>Q 5–12</t>
        </is>
      </c>
      <c r="K91" s="37" t="inlineStr">
        <is>
          <t>none</t>
        </is>
      </c>
      <c r="L91" s="36" t="inlineStr">
        <is>
          <t>Answers</t>
        </is>
      </c>
      <c r="M91" s="35" t="inlineStr">
        <is>
          <t>Proofs and Problems</t>
        </is>
      </c>
      <c r="N91" s="36" t="inlineStr">
        <is>
          <t>Page 2</t>
        </is>
      </c>
      <c r="O91" s="36" t="inlineStr">
        <is>
          <t>Marks</t>
        </is>
      </c>
      <c r="P91" t="inlineStr">
        <is>
          <t>P7</t>
        </is>
      </c>
    </row>
    <row r="92" outlineLevel="1" ht="32" customHeight="1">
      <c r="A92" s="31" t="inlineStr">
        <is>
          <t>Mt3</t>
        </is>
      </c>
      <c r="B92" s="32" t="inlineStr">
        <is>
          <t>Area of a triangle</t>
        </is>
      </c>
      <c r="C92" s="33" t="n">
        <v>1</v>
      </c>
      <c r="D92" s="34" t="n"/>
      <c r="E92" s="35" t="n"/>
      <c r="F92" s="36" t="inlineStr">
        <is>
          <t>▶ Watch</t>
        </is>
      </c>
      <c r="G92" s="36" t="inlineStr">
        <is>
          <t>Q 1, 2, 4, 7, 8, 11, 12, 20</t>
        </is>
      </c>
      <c r="H92" s="36" t="inlineStr">
        <is>
          <t>Answers</t>
        </is>
      </c>
      <c r="I92" s="35" t="inlineStr">
        <is>
          <t>Solomon: The sine rule and the cosine rule</t>
        </is>
      </c>
      <c r="J92" s="36" t="inlineStr">
        <is>
          <t>Q 8, 11, 12</t>
        </is>
      </c>
      <c r="K92" s="37" t="inlineStr">
        <is>
          <t>none</t>
        </is>
      </c>
      <c r="L92" s="36" t="inlineStr">
        <is>
          <t>Answers</t>
        </is>
      </c>
      <c r="M92" s="35" t="inlineStr">
        <is>
          <t>Area of Triangles - Sine and Cosine Rules</t>
        </is>
      </c>
      <c r="N92" s="36" t="inlineStr">
        <is>
          <t>Pages 1, 2</t>
        </is>
      </c>
      <c r="O92" s="36" t="inlineStr">
        <is>
          <t>Marks</t>
        </is>
      </c>
      <c r="P92" t="inlineStr">
        <is>
          <t>P7</t>
        </is>
      </c>
    </row>
    <row r="93" outlineLevel="1" ht="32" customHeight="1">
      <c r="A93" s="31" t="inlineStr">
        <is>
          <t>Mt4</t>
        </is>
      </c>
      <c r="B93" s="32" t="inlineStr">
        <is>
          <t>Sine and cosine rules</t>
        </is>
      </c>
      <c r="C93" s="33" t="n">
        <v>1</v>
      </c>
      <c r="D93" s="34" t="n"/>
      <c r="E93" s="35" t="n"/>
      <c r="F93" s="36" t="inlineStr">
        <is>
          <t>▶ Watch</t>
        </is>
      </c>
      <c r="G93" s="36" t="inlineStr">
        <is>
          <t>Q 1–3, 5, 6, 9, 11, 16</t>
        </is>
      </c>
      <c r="H93" s="36" t="inlineStr">
        <is>
          <t>Answers</t>
        </is>
      </c>
      <c r="I93" s="35" t="inlineStr">
        <is>
          <t>Solomon: The sine rule and the cosine rule</t>
        </is>
      </c>
      <c r="J93" s="36" t="inlineStr">
        <is>
          <t>Q 1–6, 9, 10</t>
        </is>
      </c>
      <c r="K93" s="37" t="inlineStr">
        <is>
          <t>none</t>
        </is>
      </c>
      <c r="L93" s="36" t="inlineStr">
        <is>
          <t>Answers</t>
        </is>
      </c>
      <c r="M93" s="35" t="inlineStr">
        <is>
          <t>Area of Triangles - Sine and Cosine Rules</t>
        </is>
      </c>
      <c r="N93" s="36" t="inlineStr">
        <is>
          <t>Pages 1–3</t>
        </is>
      </c>
      <c r="O93" s="36" t="inlineStr">
        <is>
          <t>Marks</t>
        </is>
      </c>
      <c r="P93" t="inlineStr">
        <is>
          <t>P7</t>
        </is>
      </c>
    </row>
    <row r="94" outlineLevel="1" ht="32" customHeight="1">
      <c r="A94" s="31" t="inlineStr">
        <is>
          <t>Mt5</t>
        </is>
      </c>
      <c r="B94" s="32" t="inlineStr">
        <is>
          <t>Identity tan θ = sin θ / cos θ</t>
        </is>
      </c>
      <c r="C94" s="33" t="n">
        <v>1</v>
      </c>
      <c r="D94" s="34" t="n"/>
      <c r="E94" s="35" t="n"/>
      <c r="F94" s="36" t="inlineStr">
        <is>
          <t>Topic page</t>
        </is>
      </c>
      <c r="G94" s="36" t="inlineStr">
        <is>
          <t>Q 10–12, 14, 16, 28–30</t>
        </is>
      </c>
      <c r="H94" s="36" t="inlineStr">
        <is>
          <t>Answers</t>
        </is>
      </c>
      <c r="I94" s="35" t="inlineStr">
        <is>
          <t>Solomon: Using trigonometric identities</t>
        </is>
      </c>
      <c r="J94" s="36" t="inlineStr">
        <is>
          <t>Q 1, 3–6</t>
        </is>
      </c>
      <c r="K94" s="37" t="inlineStr">
        <is>
          <t>none</t>
        </is>
      </c>
      <c r="L94" s="36" t="inlineStr">
        <is>
          <t>Answers</t>
        </is>
      </c>
      <c r="M94" s="35" t="inlineStr">
        <is>
          <t>Identities</t>
        </is>
      </c>
      <c r="N94" s="36" t="inlineStr">
        <is>
          <t>Page 1</t>
        </is>
      </c>
      <c r="O94" s="36" t="inlineStr">
        <is>
          <t>Marks</t>
        </is>
      </c>
      <c r="P94" t="inlineStr">
        <is>
          <t>P7</t>
        </is>
      </c>
    </row>
    <row r="95" outlineLevel="1" ht="32" customHeight="1">
      <c r="A95" s="31" t="inlineStr">
        <is>
          <t>Mt6</t>
        </is>
      </c>
      <c r="B95" s="32" t="inlineStr">
        <is>
          <t>Identity sin²θ + cos²θ = 1</t>
        </is>
      </c>
      <c r="C95" s="33" t="n">
        <v>1</v>
      </c>
      <c r="D95" s="34" t="n"/>
      <c r="E95" s="35" t="n"/>
      <c r="F95" s="36" t="inlineStr">
        <is>
          <t>Topic page</t>
        </is>
      </c>
      <c r="G95" s="36" t="inlineStr">
        <is>
          <t>Q 6–8, 13, 19, 21, 23, 24</t>
        </is>
      </c>
      <c r="H95" s="36" t="inlineStr">
        <is>
          <t>Answers</t>
        </is>
      </c>
      <c r="I95" s="35" t="inlineStr">
        <is>
          <t>Solomon: Using trigonometric identities</t>
        </is>
      </c>
      <c r="J95" s="36" t="inlineStr">
        <is>
          <t>Q 2–7</t>
        </is>
      </c>
      <c r="K95" s="37" t="inlineStr">
        <is>
          <t>none</t>
        </is>
      </c>
      <c r="L95" s="36" t="inlineStr">
        <is>
          <t>Answers</t>
        </is>
      </c>
      <c r="M95" s="35" t="inlineStr">
        <is>
          <t>Identities</t>
        </is>
      </c>
      <c r="N95" s="36" t="inlineStr">
        <is>
          <t>Page 1</t>
        </is>
      </c>
      <c r="O95" s="36" t="inlineStr">
        <is>
          <t>Marks</t>
        </is>
      </c>
      <c r="P95" t="inlineStr">
        <is>
          <t>P7</t>
        </is>
      </c>
    </row>
    <row r="96" outlineLevel="1" ht="32" customHeight="1">
      <c r="A96" s="31" t="inlineStr">
        <is>
          <t>Mt7</t>
        </is>
      </c>
      <c r="B96" s="32" t="inlineStr">
        <is>
          <t>Solve simple trigonometric equations</t>
        </is>
      </c>
      <c r="C96" s="33" t="n">
        <v>1</v>
      </c>
      <c r="D96" s="34" t="n"/>
      <c r="E96" s="35" t="n"/>
      <c r="F96" s="36" t="inlineStr">
        <is>
          <t>▶ Watch</t>
        </is>
      </c>
      <c r="G96" s="36" t="inlineStr">
        <is>
          <t>Q 1–7, 25</t>
        </is>
      </c>
      <c r="H96" s="36" t="inlineStr">
        <is>
          <t>Answers</t>
        </is>
      </c>
      <c r="I96" s="35" t="inlineStr">
        <is>
          <t>Solomon: Trigonometric Equations</t>
        </is>
      </c>
      <c r="J96" s="36" t="inlineStr">
        <is>
          <t>Q 1, 3–9</t>
        </is>
      </c>
      <c r="K96" s="37" t="inlineStr">
        <is>
          <t>none</t>
        </is>
      </c>
      <c r="L96" s="36" t="inlineStr">
        <is>
          <t>Answers</t>
        </is>
      </c>
      <c r="M96" s="35" t="inlineStr">
        <is>
          <t>Equations</t>
        </is>
      </c>
      <c r="N96" s="36" t="inlineStr">
        <is>
          <t>Page 1</t>
        </is>
      </c>
      <c r="O96" s="36" t="inlineStr">
        <is>
          <t>Marks</t>
        </is>
      </c>
      <c r="P96" t="inlineStr">
        <is>
          <t>P7</t>
        </is>
      </c>
    </row>
    <row r="97" outlineLevel="1" ht="32" customHeight="1">
      <c r="A97" s="31" t="inlineStr">
        <is>
          <t>Mt8</t>
        </is>
      </c>
      <c r="B97" s="32" t="inlineStr">
        <is>
          <t>Exact values of trig functions (radians)</t>
        </is>
      </c>
      <c r="C97" s="38" t="n">
        <v>2</v>
      </c>
      <c r="D97" s="34" t="n"/>
      <c r="E97" s="35" t="n"/>
      <c r="F97" s="36" t="inlineStr">
        <is>
          <t>Topic page</t>
        </is>
      </c>
      <c r="G97" s="37" t="inlineStr">
        <is>
          <t>none on this topic</t>
        </is>
      </c>
      <c r="H97" s="39" t="n"/>
      <c r="I97" s="35" t="inlineStr">
        <is>
          <t>Solomon: Trigonometric ratios and graphs</t>
        </is>
      </c>
      <c r="J97" s="36" t="inlineStr">
        <is>
          <t>Q 2, 4</t>
        </is>
      </c>
      <c r="K97" s="37" t="inlineStr">
        <is>
          <t>none</t>
        </is>
      </c>
      <c r="L97" s="36" t="inlineStr">
        <is>
          <t>Answers</t>
        </is>
      </c>
      <c r="M97" s="35" t="inlineStr">
        <is>
          <t>Radians</t>
        </is>
      </c>
      <c r="N97" s="36" t="inlineStr">
        <is>
          <t>Page 1</t>
        </is>
      </c>
      <c r="O97" s="36" t="inlineStr">
        <is>
          <t>Marks</t>
        </is>
      </c>
      <c r="P97" t="inlineStr">
        <is>
          <t>P7</t>
        </is>
      </c>
    </row>
    <row r="98" outlineLevel="1" ht="32" customHeight="1">
      <c r="A98" s="31" t="inlineStr">
        <is>
          <t>Mt9</t>
        </is>
      </c>
      <c r="B98" s="32" t="inlineStr">
        <is>
          <t>Inverse trigonometric functions</t>
        </is>
      </c>
      <c r="C98" s="38" t="n">
        <v>2</v>
      </c>
      <c r="D98" s="34" t="n"/>
      <c r="E98" s="35" t="n"/>
      <c r="F98" s="36" t="inlineStr">
        <is>
          <t>▶ Watch</t>
        </is>
      </c>
      <c r="G98" s="36" t="inlineStr">
        <is>
          <t>Q 20</t>
        </is>
      </c>
      <c r="H98" s="36" t="inlineStr">
        <is>
          <t>Answers</t>
        </is>
      </c>
      <c r="I98" s="35" t="inlineStr">
        <is>
          <t>Solomon: Inverse trigonometric functions</t>
        </is>
      </c>
      <c r="J98" s="36" t="inlineStr">
        <is>
          <t>Q 1–5, 7–9</t>
        </is>
      </c>
      <c r="K98" s="37" t="inlineStr">
        <is>
          <t>none</t>
        </is>
      </c>
      <c r="L98" s="36" t="inlineStr">
        <is>
          <t>Answers</t>
        </is>
      </c>
      <c r="M98" s="35" t="inlineStr">
        <is>
          <t>Equations</t>
        </is>
      </c>
      <c r="N98" s="36" t="inlineStr">
        <is>
          <t>Page 1</t>
        </is>
      </c>
      <c r="O98" s="36" t="inlineStr">
        <is>
          <t>Marks</t>
        </is>
      </c>
      <c r="P98" t="inlineStr">
        <is>
          <t>P7</t>
        </is>
      </c>
    </row>
    <row r="99" outlineLevel="1" ht="32" customHeight="1">
      <c r="A99" s="31" t="inlineStr">
        <is>
          <t>Mt10</t>
        </is>
      </c>
      <c r="B99" s="32" t="inlineStr">
        <is>
          <t>Radians and degree conversion</t>
        </is>
      </c>
      <c r="C99" s="38" t="n">
        <v>2</v>
      </c>
      <c r="D99" s="34" t="n"/>
      <c r="E99" s="35" t="n"/>
      <c r="F99" s="36" t="inlineStr">
        <is>
          <t>▶ Watch</t>
        </is>
      </c>
      <c r="G99" s="36" t="inlineStr">
        <is>
          <t>Q 10</t>
        </is>
      </c>
      <c r="H99" s="36" t="inlineStr">
        <is>
          <t>Answers</t>
        </is>
      </c>
      <c r="I99" s="35" t="inlineStr">
        <is>
          <t>Solomon: Radians, arcs and sectors</t>
        </is>
      </c>
      <c r="J99" s="36" t="inlineStr">
        <is>
          <t>Q 1–4</t>
        </is>
      </c>
      <c r="K99" s="37" t="inlineStr">
        <is>
          <t>none</t>
        </is>
      </c>
      <c r="L99" s="36" t="inlineStr">
        <is>
          <t>Answers</t>
        </is>
      </c>
      <c r="M99" s="40" t="inlineStr">
        <is>
          <t>none for this topic</t>
        </is>
      </c>
      <c r="N99" s="37" t="inlineStr">
        <is>
          <t>none on this topic</t>
        </is>
      </c>
      <c r="O99" s="39" t="n"/>
      <c r="P99" t="inlineStr">
        <is>
          <t>P7</t>
        </is>
      </c>
    </row>
    <row r="100" outlineLevel="1" ht="32" customHeight="1">
      <c r="A100" s="31" t="inlineStr">
        <is>
          <t>Mt11</t>
        </is>
      </c>
      <c r="B100" s="32" t="inlineStr">
        <is>
          <t>Arc length and area of a sector</t>
        </is>
      </c>
      <c r="C100" s="38" t="n">
        <v>2</v>
      </c>
      <c r="D100" s="34" t="n"/>
      <c r="E100" s="35" t="n"/>
      <c r="F100" s="36" t="inlineStr">
        <is>
          <t>▶ Watch</t>
        </is>
      </c>
      <c r="G100" s="36" t="inlineStr">
        <is>
          <t>Q 5–8, 12, 13, 17, 18</t>
        </is>
      </c>
      <c r="H100" s="36" t="inlineStr">
        <is>
          <t>Answers</t>
        </is>
      </c>
      <c r="I100" s="35" t="inlineStr">
        <is>
          <t>Solomon: Radians, arcs and sectors</t>
        </is>
      </c>
      <c r="J100" s="36" t="inlineStr">
        <is>
          <t>Q 5–12</t>
        </is>
      </c>
      <c r="K100" s="37" t="inlineStr">
        <is>
          <t>none</t>
        </is>
      </c>
      <c r="L100" s="36" t="inlineStr">
        <is>
          <t>Answers</t>
        </is>
      </c>
      <c r="M100" s="35" t="inlineStr">
        <is>
          <t>Radians</t>
        </is>
      </c>
      <c r="N100" s="36" t="inlineStr">
        <is>
          <t>Pages 1–4</t>
        </is>
      </c>
      <c r="O100" s="36" t="inlineStr">
        <is>
          <t>Marks</t>
        </is>
      </c>
      <c r="P100" t="inlineStr">
        <is>
          <t>P7</t>
        </is>
      </c>
    </row>
    <row r="101" outlineLevel="1" ht="32" customHeight="1">
      <c r="A101" s="31" t="inlineStr">
        <is>
          <t>Mt12</t>
        </is>
      </c>
      <c r="B101" s="32" t="inlineStr">
        <is>
          <t>Small angle approximations</t>
        </is>
      </c>
      <c r="C101" s="38" t="n">
        <v>2</v>
      </c>
      <c r="D101" s="34" t="n"/>
      <c r="E101" s="35" t="n"/>
      <c r="F101" s="36" t="inlineStr">
        <is>
          <t>▶ Watch</t>
        </is>
      </c>
      <c r="G101" s="36" t="inlineStr">
        <is>
          <t>Q 1–4, 11, 14–16</t>
        </is>
      </c>
      <c r="H101" s="36" t="inlineStr">
        <is>
          <t>Answers</t>
        </is>
      </c>
      <c r="I101" s="35" t="inlineStr">
        <is>
          <t>Edexcel: Small Angle Approximation</t>
        </is>
      </c>
      <c r="J101" s="36" t="inlineStr">
        <is>
          <t>Pages 1, 2</t>
        </is>
      </c>
      <c r="K101" s="36" t="inlineStr">
        <is>
          <t>Marks</t>
        </is>
      </c>
      <c r="L101" s="36" t="inlineStr">
        <is>
          <t>Answers</t>
        </is>
      </c>
      <c r="M101" s="35" t="inlineStr">
        <is>
          <t>Radians</t>
        </is>
      </c>
      <c r="N101" s="36" t="inlineStr">
        <is>
          <t>Page 4</t>
        </is>
      </c>
      <c r="O101" s="36" t="inlineStr">
        <is>
          <t>Marks</t>
        </is>
      </c>
      <c r="P101" t="inlineStr">
        <is>
          <t>P7</t>
        </is>
      </c>
    </row>
    <row r="102" outlineLevel="1" ht="32" customHeight="1">
      <c r="A102" s="31" t="inlineStr">
        <is>
          <t>Mt13</t>
        </is>
      </c>
      <c r="B102" s="32" t="inlineStr">
        <is>
          <t>Sec, cosec and cot functions</t>
        </is>
      </c>
      <c r="C102" s="38" t="n">
        <v>2</v>
      </c>
      <c r="D102" s="34" t="n"/>
      <c r="E102" s="35" t="n"/>
      <c r="F102" s="36" t="inlineStr">
        <is>
          <t>▶ Watch</t>
        </is>
      </c>
      <c r="G102" s="36" t="inlineStr">
        <is>
          <t>Q 2–7, 15</t>
        </is>
      </c>
      <c r="H102" s="36" t="inlineStr">
        <is>
          <t>Answers</t>
        </is>
      </c>
      <c r="I102" s="35" t="inlineStr">
        <is>
          <t>Solomon: Secant, cosecant and cotangent</t>
        </is>
      </c>
      <c r="J102" s="36" t="inlineStr">
        <is>
          <t>Q 1, 2, 4–6, 10, 12, 15</t>
        </is>
      </c>
      <c r="K102" s="37" t="inlineStr">
        <is>
          <t>none</t>
        </is>
      </c>
      <c r="L102" s="36" t="inlineStr">
        <is>
          <t>Answers</t>
        </is>
      </c>
      <c r="M102" s="35" t="inlineStr">
        <is>
          <t>Secant, Cosecant, Cotangent</t>
        </is>
      </c>
      <c r="N102" s="36" t="inlineStr">
        <is>
          <t>Page 1</t>
        </is>
      </c>
      <c r="O102" s="36" t="inlineStr">
        <is>
          <t>Marks</t>
        </is>
      </c>
      <c r="P102" t="inlineStr">
        <is>
          <t>P7</t>
        </is>
      </c>
    </row>
    <row r="103" outlineLevel="1" ht="32" customHeight="1">
      <c r="A103" s="31" t="inlineStr">
        <is>
          <t>Mt14</t>
        </is>
      </c>
      <c r="B103" s="32" t="inlineStr">
        <is>
          <t>Graphs of reciprocal trig functions</t>
        </is>
      </c>
      <c r="C103" s="38" t="n">
        <v>2</v>
      </c>
      <c r="D103" s="34" t="n"/>
      <c r="E103" s="35" t="n"/>
      <c r="F103" s="36" t="inlineStr">
        <is>
          <t>▶ Watch</t>
        </is>
      </c>
      <c r="G103" s="36" t="inlineStr">
        <is>
          <t>Q 1</t>
        </is>
      </c>
      <c r="H103" s="36" t="inlineStr">
        <is>
          <t>Answers</t>
        </is>
      </c>
      <c r="I103" s="35" t="inlineStr">
        <is>
          <t>Solomon: Secant, cosecant and cotangent</t>
        </is>
      </c>
      <c r="J103" s="36" t="inlineStr">
        <is>
          <t>Q 7–9</t>
        </is>
      </c>
      <c r="K103" s="37" t="inlineStr">
        <is>
          <t>none</t>
        </is>
      </c>
      <c r="L103" s="36" t="inlineStr">
        <is>
          <t>Answers</t>
        </is>
      </c>
      <c r="M103" s="40" t="inlineStr">
        <is>
          <t>none for this topic</t>
        </is>
      </c>
      <c r="N103" s="37" t="inlineStr">
        <is>
          <t>none on this topic</t>
        </is>
      </c>
      <c r="O103" s="39" t="n"/>
      <c r="P103" t="inlineStr">
        <is>
          <t>P7</t>
        </is>
      </c>
    </row>
    <row r="104" outlineLevel="1" ht="32" customHeight="1">
      <c r="A104" s="31" t="inlineStr">
        <is>
          <t>Mt15</t>
        </is>
      </c>
      <c r="B104" s="32" t="inlineStr">
        <is>
          <t>Identities 1 + tan²θ = sec²θ and 1 + cot²θ = cosec²θ</t>
        </is>
      </c>
      <c r="C104" s="38" t="n">
        <v>2</v>
      </c>
      <c r="D104" s="34" t="n"/>
      <c r="E104" s="35" t="n"/>
      <c r="F104" s="36" t="inlineStr">
        <is>
          <t>Topic page</t>
        </is>
      </c>
      <c r="G104" s="36" t="inlineStr">
        <is>
          <t>Q 8–13, 16, 18</t>
        </is>
      </c>
      <c r="H104" s="36" t="inlineStr">
        <is>
          <t>Answers</t>
        </is>
      </c>
      <c r="I104" s="35" t="inlineStr">
        <is>
          <t>Solomon: Pythagorean identities</t>
        </is>
      </c>
      <c r="J104" s="36" t="inlineStr">
        <is>
          <t>Q 1–8</t>
        </is>
      </c>
      <c r="K104" s="37" t="inlineStr">
        <is>
          <t>none</t>
        </is>
      </c>
      <c r="L104" s="36" t="inlineStr">
        <is>
          <t>Answers</t>
        </is>
      </c>
      <c r="M104" s="35" t="inlineStr">
        <is>
          <t>Secant, Cosecant, Cotangent</t>
        </is>
      </c>
      <c r="N104" s="36" t="inlineStr">
        <is>
          <t>Page 1</t>
        </is>
      </c>
      <c r="O104" s="36" t="inlineStr">
        <is>
          <t>Marks</t>
        </is>
      </c>
      <c r="P104" t="inlineStr">
        <is>
          <t>P7</t>
        </is>
      </c>
    </row>
    <row r="105" outlineLevel="1" ht="32" customHeight="1">
      <c r="A105" s="31" t="inlineStr">
        <is>
          <t>Mt16</t>
        </is>
      </c>
      <c r="B105" s="32" t="inlineStr">
        <is>
          <t>Compound angle formulae</t>
        </is>
      </c>
      <c r="C105" s="38" t="n">
        <v>2</v>
      </c>
      <c r="D105" s="34" t="n"/>
      <c r="E105" s="35" t="n"/>
      <c r="F105" s="36" t="inlineStr">
        <is>
          <t>▶ Watch</t>
        </is>
      </c>
      <c r="G105" s="36" t="inlineStr">
        <is>
          <t>Q 2, 3, 16, 18, 24, 25, 27</t>
        </is>
      </c>
      <c r="H105" s="36" t="inlineStr">
        <is>
          <t>Answers</t>
        </is>
      </c>
      <c r="I105" s="35" t="inlineStr">
        <is>
          <t>Solomon: Addition and double angle formulae</t>
        </is>
      </c>
      <c r="J105" s="36" t="inlineStr">
        <is>
          <t>Q 1–4, 7–9, 11</t>
        </is>
      </c>
      <c r="K105" s="37" t="inlineStr">
        <is>
          <t>none</t>
        </is>
      </c>
      <c r="L105" s="36" t="inlineStr">
        <is>
          <t>Answers</t>
        </is>
      </c>
      <c r="M105" s="35" t="inlineStr">
        <is>
          <t>Compound Angle Formulae</t>
        </is>
      </c>
      <c r="N105" s="36" t="inlineStr">
        <is>
          <t>Pages 1–3</t>
        </is>
      </c>
      <c r="O105" s="36" t="inlineStr">
        <is>
          <t>Marks</t>
        </is>
      </c>
      <c r="P105" t="inlineStr">
        <is>
          <t>P7</t>
        </is>
      </c>
    </row>
    <row r="106" outlineLevel="1" ht="32" customHeight="1">
      <c r="A106" s="31" t="inlineStr">
        <is>
          <t>Mt17</t>
        </is>
      </c>
      <c r="B106" s="32" t="inlineStr">
        <is>
          <t>Double angle identities</t>
        </is>
      </c>
      <c r="C106" s="38" t="n">
        <v>2</v>
      </c>
      <c r="D106" s="34" t="n"/>
      <c r="E106" s="35" t="n"/>
      <c r="F106" s="36" t="inlineStr">
        <is>
          <t>▶ Watch</t>
        </is>
      </c>
      <c r="G106" s="36" t="inlineStr">
        <is>
          <t>Q 1, 4–6, 15, 20–22</t>
        </is>
      </c>
      <c r="H106" s="36" t="inlineStr">
        <is>
          <t>Answers</t>
        </is>
      </c>
      <c r="I106" s="35" t="inlineStr">
        <is>
          <t>Solomon: Addition and double angle formulae</t>
        </is>
      </c>
      <c r="J106" s="36" t="inlineStr">
        <is>
          <t>Q 12–17</t>
        </is>
      </c>
      <c r="K106" s="37" t="inlineStr">
        <is>
          <t>none</t>
        </is>
      </c>
      <c r="L106" s="36" t="inlineStr">
        <is>
          <t>Answers</t>
        </is>
      </c>
      <c r="M106" s="35" t="inlineStr">
        <is>
          <t>Proofs and Problems</t>
        </is>
      </c>
      <c r="N106" s="36" t="inlineStr">
        <is>
          <t>Pages 1, 2</t>
        </is>
      </c>
      <c r="O106" s="36" t="inlineStr">
        <is>
          <t>Marks</t>
        </is>
      </c>
      <c r="P106" t="inlineStr">
        <is>
          <t>P7</t>
        </is>
      </c>
    </row>
    <row r="107" outlineLevel="1" ht="32" customHeight="1">
      <c r="A107" s="31" t="inlineStr">
        <is>
          <t>Mt18</t>
        </is>
      </c>
      <c r="B107" s="32" t="inlineStr">
        <is>
          <t>a cos θ ± b sin θ as R sin(θ ± α) or R cos(θ ± α)</t>
        </is>
      </c>
      <c r="C107" s="38" t="n">
        <v>2</v>
      </c>
      <c r="D107" s="34" t="n"/>
      <c r="E107" s="35" t="n"/>
      <c r="F107" s="36" t="inlineStr">
        <is>
          <t>▶ Watch</t>
        </is>
      </c>
      <c r="G107" s="36" t="inlineStr">
        <is>
          <t>Q 7–10, 13, 23, 26, 28</t>
        </is>
      </c>
      <c r="H107" s="36" t="inlineStr">
        <is>
          <t>Answers</t>
        </is>
      </c>
      <c r="I107" s="35" t="inlineStr">
        <is>
          <t>Solomon: The expression a cos x + b sin x</t>
        </is>
      </c>
      <c r="J107" s="36" t="inlineStr">
        <is>
          <t>Q 1–8</t>
        </is>
      </c>
      <c r="K107" s="37" t="inlineStr">
        <is>
          <t>none</t>
        </is>
      </c>
      <c r="L107" s="36" t="inlineStr">
        <is>
          <t>Answers</t>
        </is>
      </c>
      <c r="M107" s="35" t="inlineStr">
        <is>
          <t>Compound Angle Formulae</t>
        </is>
      </c>
      <c r="N107" s="36" t="inlineStr">
        <is>
          <t>Pages 1–4</t>
        </is>
      </c>
      <c r="O107" s="36" t="inlineStr">
        <is>
          <t>Marks</t>
        </is>
      </c>
      <c r="P107" t="inlineStr">
        <is>
          <t>P7</t>
        </is>
      </c>
    </row>
    <row r="108" outlineLevel="1" ht="32" customHeight="1">
      <c r="A108" s="31" t="inlineStr">
        <is>
          <t>Mt19</t>
        </is>
      </c>
      <c r="B108" s="32" t="inlineStr">
        <is>
          <t>Use identities to solve equations</t>
        </is>
      </c>
      <c r="C108" s="38" t="n">
        <v>2</v>
      </c>
      <c r="D108" s="34" t="n"/>
      <c r="E108" s="35" t="n"/>
      <c r="F108" s="36" t="inlineStr">
        <is>
          <t>▶ Watch</t>
        </is>
      </c>
      <c r="G108" s="36" t="inlineStr">
        <is>
          <t>Q 4, 12, 14, 15, 18, 21, 24, 27</t>
        </is>
      </c>
      <c r="H108" s="36" t="inlineStr">
        <is>
          <t>Answers</t>
        </is>
      </c>
      <c r="I108" s="35" t="inlineStr">
        <is>
          <t>Solomon: Mixed exam-style questions on trigonometry</t>
        </is>
      </c>
      <c r="J108" s="36" t="inlineStr">
        <is>
          <t>Q 1–3, 6–10</t>
        </is>
      </c>
      <c r="K108" s="37" t="inlineStr">
        <is>
          <t>none</t>
        </is>
      </c>
      <c r="L108" s="36" t="inlineStr">
        <is>
          <t>Answers</t>
        </is>
      </c>
      <c r="M108" s="35" t="inlineStr">
        <is>
          <t>Secant, Cosecant, Cotangent</t>
        </is>
      </c>
      <c r="N108" s="36" t="inlineStr">
        <is>
          <t>Page 1</t>
        </is>
      </c>
      <c r="O108" s="36" t="inlineStr">
        <is>
          <t>Marks</t>
        </is>
      </c>
      <c r="P108" t="inlineStr">
        <is>
          <t>P7</t>
        </is>
      </c>
    </row>
    <row r="109" outlineLevel="1" ht="32" customHeight="1">
      <c r="A109" s="31" t="inlineStr">
        <is>
          <t>Mt20</t>
        </is>
      </c>
      <c r="B109" s="32" t="inlineStr">
        <is>
          <t>Proofs involving trigonometric functions</t>
        </is>
      </c>
      <c r="C109" s="38" t="n">
        <v>2</v>
      </c>
      <c r="D109" s="34" t="n"/>
      <c r="E109" s="35" t="n"/>
      <c r="F109" s="36" t="inlineStr">
        <is>
          <t>▶ Watch</t>
        </is>
      </c>
      <c r="G109" s="36" t="inlineStr">
        <is>
          <t>Q 2, 6, 14, 16, 18, 20–22</t>
        </is>
      </c>
      <c r="H109" s="36" t="inlineStr">
        <is>
          <t>Answers</t>
        </is>
      </c>
      <c r="I109" s="35" t="inlineStr">
        <is>
          <t>Solomon: Mixed exam-style questions on trigonometry</t>
        </is>
      </c>
      <c r="J109" s="36" t="inlineStr">
        <is>
          <t>Q 5, 7, 8, 10, 11</t>
        </is>
      </c>
      <c r="K109" s="37" t="inlineStr">
        <is>
          <t>none</t>
        </is>
      </c>
      <c r="L109" s="36" t="inlineStr">
        <is>
          <t>Answers</t>
        </is>
      </c>
      <c r="M109" s="35" t="inlineStr">
        <is>
          <t>Proofs and Problems</t>
        </is>
      </c>
      <c r="N109" s="36" t="inlineStr">
        <is>
          <t>Page 1</t>
        </is>
      </c>
      <c r="O109" s="36" t="inlineStr">
        <is>
          <t>Marks</t>
        </is>
      </c>
      <c r="P109" t="inlineStr">
        <is>
          <t>P7</t>
        </is>
      </c>
    </row>
    <row r="110" outlineLevel="1" ht="32" customHeight="1">
      <c r="A110" s="31" t="inlineStr">
        <is>
          <t>Mt21</t>
        </is>
      </c>
      <c r="B110" s="32" t="inlineStr">
        <is>
          <t>Trig to solve problems in context</t>
        </is>
      </c>
      <c r="C110" s="38" t="n">
        <v>2</v>
      </c>
      <c r="D110" s="34" t="n"/>
      <c r="E110" s="35" t="n"/>
      <c r="F110" s="36" t="inlineStr">
        <is>
          <t>▶ Watch</t>
        </is>
      </c>
      <c r="G110" s="36" t="inlineStr">
        <is>
          <t>Q 11, 17</t>
        </is>
      </c>
      <c r="H110" s="36" t="inlineStr">
        <is>
          <t>Answers</t>
        </is>
      </c>
      <c r="I110" s="35" t="inlineStr">
        <is>
          <t>Edexcel: Modelling with Trigonometric Functions</t>
        </is>
      </c>
      <c r="J110" s="36" t="inlineStr">
        <is>
          <t>Pages 1, 2, 4, 5</t>
        </is>
      </c>
      <c r="K110" s="37" t="inlineStr">
        <is>
          <t>none</t>
        </is>
      </c>
      <c r="L110" s="36" t="inlineStr">
        <is>
          <t>Answers</t>
        </is>
      </c>
      <c r="M110" s="35" t="inlineStr">
        <is>
          <t>Proofs and Problems</t>
        </is>
      </c>
      <c r="N110" s="36" t="inlineStr">
        <is>
          <t>Page 2</t>
        </is>
      </c>
      <c r="O110" s="36" t="inlineStr">
        <is>
          <t>Marks</t>
        </is>
      </c>
      <c r="P110" t="inlineStr">
        <is>
          <t>P7</t>
        </is>
      </c>
    </row>
    <row r="111" ht="10" customHeight="1"/>
    <row r="112" ht="26" customHeight="1">
      <c r="A112" s="27" t="n">
        <v>8</v>
      </c>
      <c r="B112" s="28" t="inlineStr">
        <is>
          <t>Exponentials and logarithms</t>
        </is>
      </c>
      <c r="C112" s="29" t="n"/>
      <c r="D112" s="29" t="n"/>
      <c r="E112" s="30" t="inlineStr">
        <is>
          <t>11 topics  ·  Year 1: 11</t>
        </is>
      </c>
      <c r="F112" s="29" t="n"/>
      <c r="G112" s="29" t="n"/>
      <c r="H112" s="29" t="n"/>
      <c r="I112" s="29" t="n"/>
      <c r="J112" s="29" t="n"/>
      <c r="K112" s="29" t="n"/>
      <c r="L112" s="29" t="n"/>
      <c r="M112" s="29" t="n"/>
      <c r="N112" s="29" t="n"/>
      <c r="O112" s="29" t="n"/>
    </row>
    <row r="113" outlineLevel="1" ht="32" customHeight="1">
      <c r="A113" s="31" t="inlineStr">
        <is>
          <t>ME1</t>
        </is>
      </c>
      <c r="B113" s="32" t="inlineStr">
        <is>
          <t>The function y = aˣ and its graph</t>
        </is>
      </c>
      <c r="C113" s="33" t="n">
        <v>1</v>
      </c>
      <c r="D113" s="34" t="n"/>
      <c r="E113" s="35" t="n"/>
      <c r="F113" s="36" t="inlineStr">
        <is>
          <t>▶ Watch</t>
        </is>
      </c>
      <c r="G113" s="37" t="inlineStr">
        <is>
          <t>none on this topic</t>
        </is>
      </c>
      <c r="H113" s="39" t="n"/>
      <c r="I113" s="35" t="inlineStr">
        <is>
          <t>Solomon: Exponential graphs and using logarithms to solve equations</t>
        </is>
      </c>
      <c r="J113" s="36" t="inlineStr">
        <is>
          <t>Q 7, 8</t>
        </is>
      </c>
      <c r="K113" s="37" t="inlineStr">
        <is>
          <t>none</t>
        </is>
      </c>
      <c r="L113" s="36" t="inlineStr">
        <is>
          <t>Answers</t>
        </is>
      </c>
      <c r="M113" s="35" t="inlineStr">
        <is>
          <t>Exponentials and Logarithms, Exponential Growth and Decay</t>
        </is>
      </c>
      <c r="N113" s="36" t="inlineStr">
        <is>
          <t>Pages 1, 4, 8</t>
        </is>
      </c>
      <c r="O113" s="36" t="inlineStr">
        <is>
          <t>Marks</t>
        </is>
      </c>
      <c r="P113" t="inlineStr">
        <is>
          <t>P8</t>
        </is>
      </c>
    </row>
    <row r="114" outlineLevel="1" ht="32" customHeight="1">
      <c r="A114" s="31" t="inlineStr">
        <is>
          <t>ME2</t>
        </is>
      </c>
      <c r="B114" s="32" t="inlineStr">
        <is>
          <t>Convert between index and logarithmic form</t>
        </is>
      </c>
      <c r="C114" s="33" t="n">
        <v>1</v>
      </c>
      <c r="D114" s="34" t="n"/>
      <c r="E114" s="35" t="n"/>
      <c r="F114" s="36" t="inlineStr">
        <is>
          <t>▶ Watch</t>
        </is>
      </c>
      <c r="G114" s="36" t="inlineStr">
        <is>
          <t>Q 1</t>
        </is>
      </c>
      <c r="H114" s="36" t="inlineStr">
        <is>
          <t>Answers</t>
        </is>
      </c>
      <c r="I114" s="35" t="inlineStr">
        <is>
          <t>Solomon: Laws of logarithms</t>
        </is>
      </c>
      <c r="J114" s="36" t="inlineStr">
        <is>
          <t>Q 1, 2, 4</t>
        </is>
      </c>
      <c r="K114" s="37" t="inlineStr">
        <is>
          <t>none</t>
        </is>
      </c>
      <c r="L114" s="36" t="inlineStr">
        <is>
          <t>Answers</t>
        </is>
      </c>
      <c r="M114" s="35" t="inlineStr">
        <is>
          <t>Exponentials and Logarithms, Exponential Growth and Decay</t>
        </is>
      </c>
      <c r="N114" s="36" t="inlineStr">
        <is>
          <t>Page 6</t>
        </is>
      </c>
      <c r="O114" s="36" t="inlineStr">
        <is>
          <t>Marks</t>
        </is>
      </c>
      <c r="P114" t="inlineStr">
        <is>
          <t>P8</t>
        </is>
      </c>
    </row>
    <row r="115" outlineLevel="1" ht="32" customHeight="1">
      <c r="A115" s="31" t="inlineStr">
        <is>
          <t>ME3</t>
        </is>
      </c>
      <c r="B115" s="32" t="inlineStr">
        <is>
          <t>Logarithm as inverse of exponential</t>
        </is>
      </c>
      <c r="C115" s="33" t="n">
        <v>1</v>
      </c>
      <c r="D115" s="34" t="n"/>
      <c r="E115" s="35" t="n"/>
      <c r="F115" s="36" t="inlineStr">
        <is>
          <t>Topic page</t>
        </is>
      </c>
      <c r="G115" s="36" t="inlineStr">
        <is>
          <t>Q 3, 8</t>
        </is>
      </c>
      <c r="H115" s="36" t="inlineStr">
        <is>
          <t>Answers</t>
        </is>
      </c>
      <c r="I115" s="35" t="inlineStr">
        <is>
          <t>Edexcel: Graphs of Exponentials and Logs</t>
        </is>
      </c>
      <c r="J115" s="36" t="inlineStr">
        <is>
          <t>Pages 2, 4, 5</t>
        </is>
      </c>
      <c r="K115" s="37" t="inlineStr">
        <is>
          <t>in the PDF</t>
        </is>
      </c>
      <c r="L115" s="37" t="inlineStr">
        <is>
          <t>in the PDF</t>
        </is>
      </c>
      <c r="M115" s="35" t="inlineStr">
        <is>
          <t>Exponentials and Natural Logarithms</t>
        </is>
      </c>
      <c r="N115" s="36" t="inlineStr">
        <is>
          <t>Page 2</t>
        </is>
      </c>
      <c r="O115" s="36" t="inlineStr">
        <is>
          <t>Marks</t>
        </is>
      </c>
      <c r="P115" t="inlineStr">
        <is>
          <t>P8</t>
        </is>
      </c>
    </row>
    <row r="116" outlineLevel="1" ht="32" customHeight="1">
      <c r="A116" s="31" t="inlineStr">
        <is>
          <t>ME4</t>
        </is>
      </c>
      <c r="B116" s="32" t="inlineStr">
        <is>
          <t>Laws of logarithms</t>
        </is>
      </c>
      <c r="C116" s="33" t="n">
        <v>1</v>
      </c>
      <c r="D116" s="34" t="n"/>
      <c r="E116" s="35" t="n"/>
      <c r="F116" s="36" t="inlineStr">
        <is>
          <t>▶ Watch</t>
        </is>
      </c>
      <c r="G116" s="36" t="inlineStr">
        <is>
          <t>Q 3, 5–7, 9</t>
        </is>
      </c>
      <c r="H116" s="36" t="inlineStr">
        <is>
          <t>Answers</t>
        </is>
      </c>
      <c r="I116" s="35" t="inlineStr">
        <is>
          <t>Solomon: Laws of logarithms – further questions</t>
        </is>
      </c>
      <c r="J116" s="36" t="inlineStr">
        <is>
          <t>Q 1, 3, 4, 6–8</t>
        </is>
      </c>
      <c r="K116" s="37" t="inlineStr">
        <is>
          <t>none</t>
        </is>
      </c>
      <c r="L116" s="36" t="inlineStr">
        <is>
          <t>Answers</t>
        </is>
      </c>
      <c r="M116" s="35" t="inlineStr">
        <is>
          <t>Exponentials and Logarithms, Exponential Growth and Decay</t>
        </is>
      </c>
      <c r="N116" s="36" t="inlineStr">
        <is>
          <t>Pages 3, 5, 6, 9</t>
        </is>
      </c>
      <c r="O116" s="36" t="inlineStr">
        <is>
          <t>Marks</t>
        </is>
      </c>
      <c r="P116" t="inlineStr">
        <is>
          <t>P8</t>
        </is>
      </c>
    </row>
    <row r="117" outlineLevel="1" ht="32" customHeight="1">
      <c r="A117" s="31" t="inlineStr">
        <is>
          <t>ME5</t>
        </is>
      </c>
      <c r="B117" s="32" t="inlineStr">
        <is>
          <t>Values of logₐa and logₐ1</t>
        </is>
      </c>
      <c r="C117" s="33" t="n">
        <v>1</v>
      </c>
      <c r="D117" s="34" t="n"/>
      <c r="E117" s="35" t="n"/>
      <c r="F117" s="36" t="inlineStr">
        <is>
          <t>Topic page</t>
        </is>
      </c>
      <c r="G117" s="36" t="inlineStr">
        <is>
          <t>Q 1</t>
        </is>
      </c>
      <c r="H117" s="36" t="inlineStr">
        <is>
          <t>Answers</t>
        </is>
      </c>
      <c r="I117" s="35" t="inlineStr">
        <is>
          <t>Solomon: Laws of logarithms</t>
        </is>
      </c>
      <c r="J117" s="36" t="inlineStr">
        <is>
          <t>Q 2–4</t>
        </is>
      </c>
      <c r="K117" s="37" t="inlineStr">
        <is>
          <t>none</t>
        </is>
      </c>
      <c r="L117" s="36" t="inlineStr">
        <is>
          <t>Answers</t>
        </is>
      </c>
      <c r="M117" s="35" t="inlineStr">
        <is>
          <t>Exponentials and Logarithms, Exponential Growth and Decay</t>
        </is>
      </c>
      <c r="N117" s="36" t="inlineStr">
        <is>
          <t>Pages 5, 8</t>
        </is>
      </c>
      <c r="O117" s="36" t="inlineStr">
        <is>
          <t>Marks</t>
        </is>
      </c>
      <c r="P117" t="inlineStr">
        <is>
          <t>P8</t>
        </is>
      </c>
    </row>
    <row r="118" outlineLevel="1" ht="32" customHeight="1">
      <c r="A118" s="31" t="inlineStr">
        <is>
          <t>ME6</t>
        </is>
      </c>
      <c r="B118" s="32" t="inlineStr">
        <is>
          <t>Solve equations of the form aˣ = b</t>
        </is>
      </c>
      <c r="C118" s="33" t="n">
        <v>1</v>
      </c>
      <c r="D118" s="34" t="n"/>
      <c r="E118" s="35" t="n"/>
      <c r="F118" s="36" t="inlineStr">
        <is>
          <t>Topic page</t>
        </is>
      </c>
      <c r="G118" s="36" t="inlineStr">
        <is>
          <t>Q 1, 2</t>
        </is>
      </c>
      <c r="H118" s="36" t="inlineStr">
        <is>
          <t>Answers</t>
        </is>
      </c>
      <c r="I118" s="35" t="inlineStr">
        <is>
          <t>Solomon: Exponential graphs and using logarithms to solve equations</t>
        </is>
      </c>
      <c r="J118" s="36" t="inlineStr">
        <is>
          <t>Q 2, 5, 6</t>
        </is>
      </c>
      <c r="K118" s="37" t="inlineStr">
        <is>
          <t>none</t>
        </is>
      </c>
      <c r="L118" s="36" t="inlineStr">
        <is>
          <t>Answers</t>
        </is>
      </c>
      <c r="M118" s="35" t="inlineStr">
        <is>
          <t>Exponentials and Logarithms, Exponential Growth and Decay</t>
        </is>
      </c>
      <c r="N118" s="36" t="inlineStr">
        <is>
          <t>Pages 1–5, 10</t>
        </is>
      </c>
      <c r="O118" s="36" t="inlineStr">
        <is>
          <t>Marks</t>
        </is>
      </c>
      <c r="P118" t="inlineStr">
        <is>
          <t>P8</t>
        </is>
      </c>
    </row>
    <row r="119" outlineLevel="1" ht="32" customHeight="1">
      <c r="A119" s="31" t="inlineStr">
        <is>
          <t>ME7</t>
        </is>
      </c>
      <c r="B119" s="32" t="inlineStr">
        <is>
          <t>Reducing y = axⁿ and y = abˣ to linear form (log graphs)</t>
        </is>
      </c>
      <c r="C119" s="33" t="n">
        <v>1</v>
      </c>
      <c r="D119" s="34" t="n"/>
      <c r="E119" s="35" t="n"/>
      <c r="F119" s="36" t="inlineStr">
        <is>
          <t>▶ Watch</t>
        </is>
      </c>
      <c r="G119" s="36" t="inlineStr">
        <is>
          <t>Q 6–9</t>
        </is>
      </c>
      <c r="H119" s="36" t="inlineStr">
        <is>
          <t>Answers</t>
        </is>
      </c>
      <c r="I119" s="35" t="inlineStr">
        <is>
          <t>Edexcel: Laws of Logarithms</t>
        </is>
      </c>
      <c r="J119" s="36" t="inlineStr">
        <is>
          <t>Pages 1, 2, 6, 9</t>
        </is>
      </c>
      <c r="K119" s="36" t="inlineStr">
        <is>
          <t>Marks</t>
        </is>
      </c>
      <c r="L119" s="36" t="inlineStr">
        <is>
          <t>Answers</t>
        </is>
      </c>
      <c r="M119" s="35" t="inlineStr">
        <is>
          <t>Exponentials and Logarithms, Exponential Growth and Decay</t>
        </is>
      </c>
      <c r="N119" s="36" t="inlineStr">
        <is>
          <t>Pages 1, 3–7, 9, 10</t>
        </is>
      </c>
      <c r="O119" s="36" t="inlineStr">
        <is>
          <t>Marks</t>
        </is>
      </c>
      <c r="P119" t="inlineStr">
        <is>
          <t>P8</t>
        </is>
      </c>
    </row>
    <row r="120" outlineLevel="1" ht="32" customHeight="1">
      <c r="A120" s="31" t="inlineStr">
        <is>
          <t>ME8</t>
        </is>
      </c>
      <c r="B120" s="32" t="inlineStr">
        <is>
          <t>The function y = eˣ and its graph</t>
        </is>
      </c>
      <c r="C120" s="33" t="n">
        <v>1</v>
      </c>
      <c r="D120" s="34" t="n"/>
      <c r="E120" s="35" t="n"/>
      <c r="F120" s="36" t="inlineStr">
        <is>
          <t>▶ Watch</t>
        </is>
      </c>
      <c r="G120" s="36" t="inlineStr">
        <is>
          <t>Q 13</t>
        </is>
      </c>
      <c r="H120" s="36" t="inlineStr">
        <is>
          <t>Answers</t>
        </is>
      </c>
      <c r="I120" s="35" t="inlineStr">
        <is>
          <t>Solomon: e and ln x</t>
        </is>
      </c>
      <c r="J120" s="36" t="inlineStr">
        <is>
          <t>Q 5, 10, 12</t>
        </is>
      </c>
      <c r="K120" s="37" t="inlineStr">
        <is>
          <t>none</t>
        </is>
      </c>
      <c r="L120" s="36" t="inlineStr">
        <is>
          <t>Answers</t>
        </is>
      </c>
      <c r="M120" s="35" t="inlineStr">
        <is>
          <t>Exponentials and Natural Logarithms</t>
        </is>
      </c>
      <c r="N120" s="36" t="inlineStr">
        <is>
          <t>Page 3</t>
        </is>
      </c>
      <c r="O120" s="36" t="inlineStr">
        <is>
          <t>Marks</t>
        </is>
      </c>
      <c r="P120" t="inlineStr">
        <is>
          <t>P8</t>
        </is>
      </c>
    </row>
    <row r="121" outlineLevel="1" ht="32" customHeight="1">
      <c r="A121" s="31" t="inlineStr">
        <is>
          <t>ME9</t>
        </is>
      </c>
      <c r="B121" s="32" t="inlineStr">
        <is>
          <t>Gradient of eᵏˣ is keᵏˣ (why exponential models work)</t>
        </is>
      </c>
      <c r="C121" s="33" t="n">
        <v>1</v>
      </c>
      <c r="D121" s="34" t="n"/>
      <c r="E121" s="35" t="n"/>
      <c r="F121" s="36" t="inlineStr">
        <is>
          <t>Topic page</t>
        </is>
      </c>
      <c r="G121" s="36" t="inlineStr">
        <is>
          <t>Q 10, 12</t>
        </is>
      </c>
      <c r="H121" s="36" t="inlineStr">
        <is>
          <t>Answers</t>
        </is>
      </c>
      <c r="I121" s="35" t="inlineStr">
        <is>
          <t>Edexcel: Exponential Equations</t>
        </is>
      </c>
      <c r="J121" s="36" t="inlineStr">
        <is>
          <t>Pages 3–6</t>
        </is>
      </c>
      <c r="K121" s="36" t="inlineStr">
        <is>
          <t>Marks</t>
        </is>
      </c>
      <c r="L121" s="36" t="inlineStr">
        <is>
          <t>Answers</t>
        </is>
      </c>
      <c r="M121" s="35" t="inlineStr">
        <is>
          <t>Exponentials and Natural Logarithms</t>
        </is>
      </c>
      <c r="N121" s="36" t="inlineStr">
        <is>
          <t>Pages 1, 2</t>
        </is>
      </c>
      <c r="O121" s="36" t="inlineStr">
        <is>
          <t>Marks</t>
        </is>
      </c>
      <c r="P121" t="inlineStr">
        <is>
          <t>P8</t>
        </is>
      </c>
    </row>
    <row r="122" outlineLevel="1" ht="32" customHeight="1">
      <c r="A122" s="31" t="inlineStr">
        <is>
          <t>ME10</t>
        </is>
      </c>
      <c r="B122" s="32" t="inlineStr">
        <is>
          <t>The function y = ln x and its graph</t>
        </is>
      </c>
      <c r="C122" s="33" t="n">
        <v>1</v>
      </c>
      <c r="D122" s="34" t="n"/>
      <c r="E122" s="35" t="n"/>
      <c r="F122" s="36" t="inlineStr">
        <is>
          <t>▶ Watch</t>
        </is>
      </c>
      <c r="G122" s="36" t="inlineStr">
        <is>
          <t>Q 6, 7, 9, 13</t>
        </is>
      </c>
      <c r="H122" s="36" t="inlineStr">
        <is>
          <t>Answers</t>
        </is>
      </c>
      <c r="I122" s="35" t="inlineStr">
        <is>
          <t>Solomon: e and ln x</t>
        </is>
      </c>
      <c r="J122" s="36" t="inlineStr">
        <is>
          <t>Q 2–4, 6, 10, 11</t>
        </is>
      </c>
      <c r="K122" s="37" t="inlineStr">
        <is>
          <t>none</t>
        </is>
      </c>
      <c r="L122" s="36" t="inlineStr">
        <is>
          <t>Answers</t>
        </is>
      </c>
      <c r="M122" s="35" t="inlineStr">
        <is>
          <t>Exponentials and Natural Logarithms</t>
        </is>
      </c>
      <c r="N122" s="36" t="inlineStr">
        <is>
          <t>Pages 1, 2</t>
        </is>
      </c>
      <c r="O122" s="36" t="inlineStr">
        <is>
          <t>Marks</t>
        </is>
      </c>
      <c r="P122" t="inlineStr">
        <is>
          <t>P8</t>
        </is>
      </c>
    </row>
    <row r="123" outlineLevel="1" ht="32" customHeight="1">
      <c r="A123" s="31" t="inlineStr">
        <is>
          <t>ME11</t>
        </is>
      </c>
      <c r="B123" s="32" t="inlineStr">
        <is>
          <t>Exponential growth and decay</t>
        </is>
      </c>
      <c r="C123" s="33" t="n">
        <v>1</v>
      </c>
      <c r="D123" s="34" t="n"/>
      <c r="E123" s="35" t="n"/>
      <c r="F123" s="36" t="inlineStr">
        <is>
          <t>▶ Watch</t>
        </is>
      </c>
      <c r="G123" s="36" t="inlineStr">
        <is>
          <t>Q 10–12</t>
        </is>
      </c>
      <c r="H123" s="36" t="inlineStr">
        <is>
          <t>Answers</t>
        </is>
      </c>
      <c r="I123" s="35" t="inlineStr">
        <is>
          <t>Edexcel: Exponential Equations</t>
        </is>
      </c>
      <c r="J123" s="36" t="inlineStr">
        <is>
          <t>Pages 4, 6, 7, 10, 11, 14, 15</t>
        </is>
      </c>
      <c r="K123" s="37" t="inlineStr">
        <is>
          <t>none</t>
        </is>
      </c>
      <c r="L123" s="36" t="inlineStr">
        <is>
          <t>Answers</t>
        </is>
      </c>
      <c r="M123" s="35" t="inlineStr">
        <is>
          <t>Exponentials and Logarithms, Exponential Growth and Decay</t>
        </is>
      </c>
      <c r="N123" s="36" t="inlineStr">
        <is>
          <t>Pages 2, 3, 6, 8, 10</t>
        </is>
      </c>
      <c r="O123" s="36" t="inlineStr">
        <is>
          <t>Marks</t>
        </is>
      </c>
      <c r="P123" t="inlineStr">
        <is>
          <t>P8</t>
        </is>
      </c>
    </row>
    <row r="124" ht="10" customHeight="1"/>
    <row r="125" ht="26" customHeight="1">
      <c r="A125" s="27" t="n">
        <v>9</v>
      </c>
      <c r="B125" s="28" t="inlineStr">
        <is>
          <t>Differentiation</t>
        </is>
      </c>
      <c r="C125" s="29" t="n"/>
      <c r="D125" s="29" t="n"/>
      <c r="E125" s="30" t="inlineStr">
        <is>
          <t>18 topics  ·  Year 1: 9  ·  Year 2: 9</t>
        </is>
      </c>
      <c r="F125" s="29" t="n"/>
      <c r="G125" s="29" t="n"/>
      <c r="H125" s="29" t="n"/>
      <c r="I125" s="29" t="n"/>
      <c r="J125" s="29" t="n"/>
      <c r="K125" s="29" t="n"/>
      <c r="L125" s="29" t="n"/>
      <c r="M125" s="29" t="n"/>
      <c r="N125" s="29" t="n"/>
      <c r="O125" s="29" t="n"/>
    </row>
    <row r="126" outlineLevel="1" ht="32" customHeight="1">
      <c r="A126" s="31" t="inlineStr">
        <is>
          <t>Mc1</t>
        </is>
      </c>
      <c r="B126" s="32" t="inlineStr">
        <is>
          <t>Gradient of a curve at a point</t>
        </is>
      </c>
      <c r="C126" s="33" t="n">
        <v>1</v>
      </c>
      <c r="D126" s="34" t="n"/>
      <c r="E126" s="35" t="n"/>
      <c r="F126" s="36" t="inlineStr">
        <is>
          <t>▶ Watch</t>
        </is>
      </c>
      <c r="G126" s="36" t="inlineStr">
        <is>
          <t>Q 9</t>
        </is>
      </c>
      <c r="H126" s="36" t="inlineStr">
        <is>
          <t>Answers</t>
        </is>
      </c>
      <c r="I126" s="35" t="inlineStr">
        <is>
          <t>Solomon: Gradients, tangents, normals and rates of change</t>
        </is>
      </c>
      <c r="J126" s="36" t="inlineStr">
        <is>
          <t>Q 1, 2, 6, 7, 16</t>
        </is>
      </c>
      <c r="K126" s="37" t="inlineStr">
        <is>
          <t>none</t>
        </is>
      </c>
      <c r="L126" s="36" t="inlineStr">
        <is>
          <t>Answers</t>
        </is>
      </c>
      <c r="M126" s="35" t="inlineStr">
        <is>
          <t>Basic Differentiation</t>
        </is>
      </c>
      <c r="N126" s="36" t="inlineStr">
        <is>
          <t>Page 1</t>
        </is>
      </c>
      <c r="O126" s="36" t="inlineStr">
        <is>
          <t>Marks</t>
        </is>
      </c>
      <c r="P126" t="inlineStr">
        <is>
          <t>P9</t>
        </is>
      </c>
    </row>
    <row r="127" outlineLevel="1" ht="32" customHeight="1">
      <c r="A127" s="31" t="inlineStr">
        <is>
          <t>Mc2</t>
        </is>
      </c>
      <c r="B127" s="32" t="inlineStr">
        <is>
          <t>Gradient of a tangent as the limit of chord gradients (first principles)</t>
        </is>
      </c>
      <c r="C127" s="33" t="n">
        <v>1</v>
      </c>
      <c r="D127" s="34" t="n"/>
      <c r="E127" s="35" t="n"/>
      <c r="F127" s="36" t="inlineStr">
        <is>
          <t>▶ Watch</t>
        </is>
      </c>
      <c r="G127" s="36" t="inlineStr">
        <is>
          <t>Q 2–8</t>
        </is>
      </c>
      <c r="H127" s="36" t="inlineStr">
        <is>
          <t>Answers</t>
        </is>
      </c>
      <c r="I127" s="35" t="inlineStr">
        <is>
          <t>Solomon: Gradient of a curve</t>
        </is>
      </c>
      <c r="J127" s="36" t="inlineStr">
        <is>
          <t>Q 1, 2, 4, 5</t>
        </is>
      </c>
      <c r="K127" s="37" t="inlineStr">
        <is>
          <t>none</t>
        </is>
      </c>
      <c r="L127" s="36" t="inlineStr">
        <is>
          <t>Answers</t>
        </is>
      </c>
      <c r="M127" s="35" t="inlineStr">
        <is>
          <t>Applications of Differentiation to Functions and Graphs (Yr. 1)</t>
        </is>
      </c>
      <c r="N127" s="36" t="inlineStr">
        <is>
          <t>Page 2</t>
        </is>
      </c>
      <c r="O127" s="36" t="inlineStr">
        <is>
          <t>Marks</t>
        </is>
      </c>
      <c r="P127" t="inlineStr">
        <is>
          <t>P9</t>
        </is>
      </c>
    </row>
    <row r="128" outlineLevel="1" ht="32" customHeight="1">
      <c r="A128" s="31" t="inlineStr">
        <is>
          <t>Mc3</t>
        </is>
      </c>
      <c r="B128" s="32" t="inlineStr">
        <is>
          <t>Derivative as gradient of tangent</t>
        </is>
      </c>
      <c r="C128" s="33" t="n">
        <v>1</v>
      </c>
      <c r="D128" s="34" t="n"/>
      <c r="E128" s="35" t="n"/>
      <c r="F128" s="36" t="inlineStr">
        <is>
          <t>Topic page</t>
        </is>
      </c>
      <c r="G128" s="36" t="inlineStr">
        <is>
          <t>Q 10, 12</t>
        </is>
      </c>
      <c r="H128" s="36" t="inlineStr">
        <is>
          <t>Answers</t>
        </is>
      </c>
      <c r="I128" s="35" t="inlineStr">
        <is>
          <t>Solomon: Gradients, tangents, normals and rates of change</t>
        </is>
      </c>
      <c r="J128" s="36" t="inlineStr">
        <is>
          <t>Q 18, 19</t>
        </is>
      </c>
      <c r="K128" s="37" t="inlineStr">
        <is>
          <t>none</t>
        </is>
      </c>
      <c r="L128" s="36" t="inlineStr">
        <is>
          <t>Answers</t>
        </is>
      </c>
      <c r="M128" s="35" t="inlineStr">
        <is>
          <t>Exponentials and Natural Logarithms</t>
        </is>
      </c>
      <c r="N128" s="36" t="inlineStr">
        <is>
          <t>Page 2</t>
        </is>
      </c>
      <c r="O128" s="36" t="inlineStr">
        <is>
          <t>Marks</t>
        </is>
      </c>
      <c r="P128" t="inlineStr">
        <is>
          <t>P9</t>
        </is>
      </c>
    </row>
    <row r="129" outlineLevel="1" ht="20" customHeight="1">
      <c r="A129" s="31" t="inlineStr">
        <is>
          <t>Mc4</t>
        </is>
      </c>
      <c r="B129" s="32" t="inlineStr">
        <is>
          <t>Sketch the gradient function</t>
        </is>
      </c>
      <c r="C129" s="33" t="n">
        <v>1</v>
      </c>
      <c r="D129" s="34" t="n"/>
      <c r="E129" s="35" t="n"/>
      <c r="F129" s="36" t="inlineStr">
        <is>
          <t>▶ Watch</t>
        </is>
      </c>
      <c r="G129" s="37" t="inlineStr">
        <is>
          <t>none on this topic</t>
        </is>
      </c>
      <c r="H129" s="39" t="n"/>
      <c r="I129" s="40" t="inlineStr">
        <is>
          <t>none for this topic</t>
        </is>
      </c>
      <c r="J129" s="37" t="inlineStr">
        <is>
          <t>none on this topic</t>
        </is>
      </c>
      <c r="K129" s="39" t="n"/>
      <c r="L129" s="39" t="n"/>
      <c r="M129" s="40" t="inlineStr">
        <is>
          <t>none for this topic</t>
        </is>
      </c>
      <c r="N129" s="37" t="inlineStr">
        <is>
          <t>none on this topic</t>
        </is>
      </c>
      <c r="O129" s="39" t="n"/>
      <c r="P129" t="inlineStr">
        <is>
          <t>P9</t>
        </is>
      </c>
    </row>
    <row r="130" outlineLevel="1" ht="20" customHeight="1">
      <c r="A130" s="31" t="inlineStr">
        <is>
          <t>Mc5</t>
        </is>
      </c>
      <c r="B130" s="32" t="inlineStr">
        <is>
          <t>Differentiate y = kxⁿ (incl. sums and differences)</t>
        </is>
      </c>
      <c r="C130" s="33" t="n">
        <v>1</v>
      </c>
      <c r="D130" s="34" t="n"/>
      <c r="E130" s="35" t="n"/>
      <c r="F130" s="36" t="inlineStr">
        <is>
          <t>▶ Watch</t>
        </is>
      </c>
      <c r="G130" s="36" t="inlineStr">
        <is>
          <t>Q 1–5</t>
        </is>
      </c>
      <c r="H130" s="36" t="inlineStr">
        <is>
          <t>Answers</t>
        </is>
      </c>
      <c r="I130" s="35" t="inlineStr">
        <is>
          <t>Solomon: Differentiation</t>
        </is>
      </c>
      <c r="J130" s="36" t="inlineStr">
        <is>
          <t>Q 1–7</t>
        </is>
      </c>
      <c r="K130" s="37" t="inlineStr">
        <is>
          <t>none</t>
        </is>
      </c>
      <c r="L130" s="36" t="inlineStr">
        <is>
          <t>Answers</t>
        </is>
      </c>
      <c r="M130" s="35" t="inlineStr">
        <is>
          <t>Basic Differentiation</t>
        </is>
      </c>
      <c r="N130" s="36" t="inlineStr">
        <is>
          <t>Page 1</t>
        </is>
      </c>
      <c r="O130" s="36" t="inlineStr">
        <is>
          <t>Marks</t>
        </is>
      </c>
      <c r="P130" t="inlineStr">
        <is>
          <t>P9</t>
        </is>
      </c>
    </row>
    <row r="131" outlineLevel="1" ht="32" customHeight="1">
      <c r="A131" s="31" t="inlineStr">
        <is>
          <t>Mc6</t>
        </is>
      </c>
      <c r="B131" s="32" t="inlineStr">
        <is>
          <t>Second derivative as rate of change of gradient</t>
        </is>
      </c>
      <c r="C131" s="33" t="n">
        <v>1</v>
      </c>
      <c r="D131" s="34" t="n"/>
      <c r="E131" s="35" t="n"/>
      <c r="F131" s="36" t="inlineStr">
        <is>
          <t>▶ Watch</t>
        </is>
      </c>
      <c r="G131" s="36" t="inlineStr">
        <is>
          <t>Q 4, 11–13</t>
        </is>
      </c>
      <c r="H131" s="36" t="inlineStr">
        <is>
          <t>Answers</t>
        </is>
      </c>
      <c r="I131" s="35" t="inlineStr">
        <is>
          <t>Solomon: Increasing and decreasing functions and stationary points</t>
        </is>
      </c>
      <c r="J131" s="36" t="inlineStr">
        <is>
          <t>Q 6</t>
        </is>
      </c>
      <c r="K131" s="37" t="inlineStr">
        <is>
          <t>none</t>
        </is>
      </c>
      <c r="L131" s="36" t="inlineStr">
        <is>
          <t>Answers</t>
        </is>
      </c>
      <c r="M131" s="35" t="inlineStr">
        <is>
          <t>Applications of Differentiation to Functions and Graphs (Yr. 1)</t>
        </is>
      </c>
      <c r="N131" s="36" t="inlineStr">
        <is>
          <t>Pages 1, 2</t>
        </is>
      </c>
      <c r="O131" s="36" t="inlineStr">
        <is>
          <t>Marks</t>
        </is>
      </c>
      <c r="P131" t="inlineStr">
        <is>
          <t>P9</t>
        </is>
      </c>
    </row>
    <row r="132" outlineLevel="1" ht="32" customHeight="1">
      <c r="A132" s="31" t="inlineStr">
        <is>
          <t>Mc7</t>
        </is>
      </c>
      <c r="B132" s="32" t="inlineStr">
        <is>
          <t>Stationary points: maxima and minima</t>
        </is>
      </c>
      <c r="C132" s="33" t="n">
        <v>1</v>
      </c>
      <c r="D132" s="34" t="n"/>
      <c r="E132" s="35" t="n"/>
      <c r="F132" s="36" t="inlineStr">
        <is>
          <t>▶ Watch</t>
        </is>
      </c>
      <c r="G132" s="36" t="inlineStr">
        <is>
          <t>Q 2, 7, 11–13</t>
        </is>
      </c>
      <c r="H132" s="36" t="inlineStr">
        <is>
          <t>Answers</t>
        </is>
      </c>
      <c r="I132" s="35" t="inlineStr">
        <is>
          <t>Solomon: Mixed exam-style questions on differentiation</t>
        </is>
      </c>
      <c r="J132" s="36" t="inlineStr">
        <is>
          <t>Q 2, 3, 5, 6, 9</t>
        </is>
      </c>
      <c r="K132" s="37" t="inlineStr">
        <is>
          <t>none</t>
        </is>
      </c>
      <c r="L132" s="36" t="inlineStr">
        <is>
          <t>Answers</t>
        </is>
      </c>
      <c r="M132" s="35" t="inlineStr">
        <is>
          <t>Applications of Differentiation to Functions and Graphs (Yr. 1)</t>
        </is>
      </c>
      <c r="N132" s="36" t="inlineStr">
        <is>
          <t>Pages 1, 2</t>
        </is>
      </c>
      <c r="O132" s="36" t="inlineStr">
        <is>
          <t>Marks</t>
        </is>
      </c>
      <c r="P132" t="inlineStr">
        <is>
          <t>P9</t>
        </is>
      </c>
    </row>
    <row r="133" outlineLevel="1" ht="32" customHeight="1">
      <c r="A133" s="31" t="inlineStr">
        <is>
          <t>Mc8</t>
        </is>
      </c>
      <c r="B133" s="32" t="inlineStr">
        <is>
          <t>Increasing and decreasing functions</t>
        </is>
      </c>
      <c r="C133" s="33" t="n">
        <v>1</v>
      </c>
      <c r="D133" s="34" t="n"/>
      <c r="E133" s="35" t="n"/>
      <c r="F133" s="36" t="inlineStr">
        <is>
          <t>▶ Watch</t>
        </is>
      </c>
      <c r="G133" s="36" t="inlineStr">
        <is>
          <t>Q 6</t>
        </is>
      </c>
      <c r="H133" s="36" t="inlineStr">
        <is>
          <t>Answers</t>
        </is>
      </c>
      <c r="I133" s="35" t="inlineStr">
        <is>
          <t>Solomon: Increasing and decreasing functions and stationary points</t>
        </is>
      </c>
      <c r="J133" s="36" t="inlineStr">
        <is>
          <t>Q 2–4</t>
        </is>
      </c>
      <c r="K133" s="37" t="inlineStr">
        <is>
          <t>none</t>
        </is>
      </c>
      <c r="L133" s="36" t="inlineStr">
        <is>
          <t>Answers</t>
        </is>
      </c>
      <c r="M133" s="35" t="inlineStr">
        <is>
          <t>Applications of Differentiation to Functions and Graphs (Yr. 1)</t>
        </is>
      </c>
      <c r="N133" s="36" t="inlineStr">
        <is>
          <t>Pages 1, 2</t>
        </is>
      </c>
      <c r="O133" s="36" t="inlineStr">
        <is>
          <t>Marks</t>
        </is>
      </c>
      <c r="P133" t="inlineStr">
        <is>
          <t>P9</t>
        </is>
      </c>
    </row>
    <row r="134" outlineLevel="1" ht="32" customHeight="1">
      <c r="A134" s="31" t="inlineStr">
        <is>
          <t>Mc9</t>
        </is>
      </c>
      <c r="B134" s="32" t="inlineStr">
        <is>
          <t>Tangent and normal at a point</t>
        </is>
      </c>
      <c r="C134" s="33" t="n">
        <v>1</v>
      </c>
      <c r="D134" s="34" t="n"/>
      <c r="E134" s="35" t="n"/>
      <c r="F134" s="36" t="inlineStr">
        <is>
          <t>▶ Watch</t>
        </is>
      </c>
      <c r="G134" s="36" t="inlineStr">
        <is>
          <t>Q 8, 10</t>
        </is>
      </c>
      <c r="H134" s="36" t="inlineStr">
        <is>
          <t>Answers</t>
        </is>
      </c>
      <c r="I134" s="35" t="inlineStr">
        <is>
          <t>Solomon: Gradients, tangents, normals and rates of change</t>
        </is>
      </c>
      <c r="J134" s="36" t="inlineStr">
        <is>
          <t>Q 8–15</t>
        </is>
      </c>
      <c r="K134" s="37" t="inlineStr">
        <is>
          <t>none</t>
        </is>
      </c>
      <c r="L134" s="36" t="inlineStr">
        <is>
          <t>Answers</t>
        </is>
      </c>
      <c r="M134" s="35" t="inlineStr">
        <is>
          <t>Applications of Differentiation to Functions and Graphs (Yr. 1)</t>
        </is>
      </c>
      <c r="N134" s="36" t="inlineStr">
        <is>
          <t>Pages 1, 2</t>
        </is>
      </c>
      <c r="O134" s="36" t="inlineStr">
        <is>
          <t>Marks</t>
        </is>
      </c>
      <c r="P134" t="inlineStr">
        <is>
          <t>P9</t>
        </is>
      </c>
    </row>
    <row r="135" outlineLevel="1" ht="32" customHeight="1">
      <c r="A135" s="31" t="inlineStr">
        <is>
          <t>Mc10</t>
        </is>
      </c>
      <c r="B135" s="32" t="inlineStr">
        <is>
          <t>Differentiate eᵏˣ, aᵏˣ and ln x</t>
        </is>
      </c>
      <c r="C135" s="38" t="n">
        <v>2</v>
      </c>
      <c r="D135" s="34" t="n"/>
      <c r="E135" s="35" t="n"/>
      <c r="F135" s="36" t="inlineStr">
        <is>
          <t>▶ Watch</t>
        </is>
      </c>
      <c r="G135" s="36" t="inlineStr">
        <is>
          <t>Q 1, 2, 24, 40, 54, 56, 65</t>
        </is>
      </c>
      <c r="H135" s="36" t="inlineStr">
        <is>
          <t>Answers</t>
        </is>
      </c>
      <c r="I135" s="35" t="inlineStr">
        <is>
          <t>Solomon: Differentiating exponentials and logarithms</t>
        </is>
      </c>
      <c r="J135" s="36" t="inlineStr">
        <is>
          <t>Q 1, 2, 4, 5, 7, 9, 10</t>
        </is>
      </c>
      <c r="K135" s="37" t="inlineStr">
        <is>
          <t>none</t>
        </is>
      </c>
      <c r="L135" s="36" t="inlineStr">
        <is>
          <t>Answers</t>
        </is>
      </c>
      <c r="M135" s="35" t="inlineStr">
        <is>
          <t>Exponentials and Natural Logarithms</t>
        </is>
      </c>
      <c r="N135" s="36" t="inlineStr">
        <is>
          <t>Page 2</t>
        </is>
      </c>
      <c r="O135" s="36" t="inlineStr">
        <is>
          <t>Marks</t>
        </is>
      </c>
      <c r="P135" t="inlineStr">
        <is>
          <t>P9</t>
        </is>
      </c>
    </row>
    <row r="136" outlineLevel="1" ht="32" customHeight="1">
      <c r="A136" s="31" t="inlineStr">
        <is>
          <t>Mc11</t>
        </is>
      </c>
      <c r="B136" s="32" t="inlineStr">
        <is>
          <t>Differentiate trigonometric functions</t>
        </is>
      </c>
      <c r="C136" s="38" t="n">
        <v>2</v>
      </c>
      <c r="D136" s="34" t="n"/>
      <c r="E136" s="35" t="n"/>
      <c r="F136" s="36" t="inlineStr">
        <is>
          <t>▶ Watch</t>
        </is>
      </c>
      <c r="G136" s="36" t="inlineStr">
        <is>
          <t>Q 25, 26, 31, 32, 70</t>
        </is>
      </c>
      <c r="H136" s="36" t="inlineStr">
        <is>
          <t>Answers</t>
        </is>
      </c>
      <c r="I136" s="35" t="inlineStr">
        <is>
          <t>Solomon: Differentiating trigonometric functions</t>
        </is>
      </c>
      <c r="J136" s="36" t="inlineStr">
        <is>
          <t>Q 1, 2, 5, 6</t>
        </is>
      </c>
      <c r="K136" s="37" t="inlineStr">
        <is>
          <t>none</t>
        </is>
      </c>
      <c r="L136" s="36" t="inlineStr">
        <is>
          <t>Answers</t>
        </is>
      </c>
      <c r="M136" s="40" t="inlineStr">
        <is>
          <t>none for this topic</t>
        </is>
      </c>
      <c r="N136" s="37" t="inlineStr">
        <is>
          <t>none on this topic</t>
        </is>
      </c>
      <c r="O136" s="39" t="n"/>
      <c r="P136" t="inlineStr">
        <is>
          <t>P9</t>
        </is>
      </c>
    </row>
    <row r="137" outlineLevel="1" ht="32" customHeight="1">
      <c r="A137" s="31" t="inlineStr">
        <is>
          <t>Mc12</t>
        </is>
      </c>
      <c r="B137" s="32" t="inlineStr">
        <is>
          <t>Product rule</t>
        </is>
      </c>
      <c r="C137" s="38" t="n">
        <v>2</v>
      </c>
      <c r="D137" s="34" t="n"/>
      <c r="E137" s="35" t="n"/>
      <c r="F137" s="36" t="inlineStr">
        <is>
          <t>▶ Watch</t>
        </is>
      </c>
      <c r="G137" s="36" t="inlineStr">
        <is>
          <t>Q 7–11, 13, 27, 62</t>
        </is>
      </c>
      <c r="H137" s="36" t="inlineStr">
        <is>
          <t>Answers</t>
        </is>
      </c>
      <c r="I137" s="35" t="inlineStr">
        <is>
          <t>Solomon: The product rule</t>
        </is>
      </c>
      <c r="J137" s="36" t="inlineStr">
        <is>
          <t>Q 1–8</t>
        </is>
      </c>
      <c r="K137" s="37" t="inlineStr">
        <is>
          <t>none</t>
        </is>
      </c>
      <c r="L137" s="36" t="inlineStr">
        <is>
          <t>Answers</t>
        </is>
      </c>
      <c r="M137" s="35" t="inlineStr">
        <is>
          <t>Product, Quotient and Chain Rules</t>
        </is>
      </c>
      <c r="N137" s="36" t="inlineStr">
        <is>
          <t>Pages 1–5</t>
        </is>
      </c>
      <c r="O137" s="36" t="inlineStr">
        <is>
          <t>Marks</t>
        </is>
      </c>
      <c r="P137" t="inlineStr">
        <is>
          <t>P9</t>
        </is>
      </c>
    </row>
    <row r="138" outlineLevel="1" ht="32" customHeight="1">
      <c r="A138" s="31" t="inlineStr">
        <is>
          <t>Mc13</t>
        </is>
      </c>
      <c r="B138" s="32" t="inlineStr">
        <is>
          <t>Quotient rule</t>
        </is>
      </c>
      <c r="C138" s="38" t="n">
        <v>2</v>
      </c>
      <c r="D138" s="34" t="n"/>
      <c r="E138" s="35" t="n"/>
      <c r="F138" s="36" t="inlineStr">
        <is>
          <t>▶ Watch</t>
        </is>
      </c>
      <c r="G138" s="36" t="inlineStr">
        <is>
          <t>Q 14–17, 36, 48, 53, 57</t>
        </is>
      </c>
      <c r="H138" s="36" t="inlineStr">
        <is>
          <t>Answers</t>
        </is>
      </c>
      <c r="I138" s="35" t="inlineStr">
        <is>
          <t>Solomon: The quotient rule</t>
        </is>
      </c>
      <c r="J138" s="36" t="inlineStr">
        <is>
          <t>Q 1–7</t>
        </is>
      </c>
      <c r="K138" s="37" t="inlineStr">
        <is>
          <t>none</t>
        </is>
      </c>
      <c r="L138" s="36" t="inlineStr">
        <is>
          <t>Answers</t>
        </is>
      </c>
      <c r="M138" s="35" t="inlineStr">
        <is>
          <t>Product, Quotient and Chain Rules</t>
        </is>
      </c>
      <c r="N138" s="36" t="inlineStr">
        <is>
          <t>Pages 3, 5</t>
        </is>
      </c>
      <c r="O138" s="36" t="inlineStr">
        <is>
          <t>Marks</t>
        </is>
      </c>
      <c r="P138" t="inlineStr">
        <is>
          <t>P9</t>
        </is>
      </c>
    </row>
    <row r="139" outlineLevel="1" ht="32" customHeight="1">
      <c r="A139" s="31" t="inlineStr">
        <is>
          <t>Mc14</t>
        </is>
      </c>
      <c r="B139" s="32" t="inlineStr">
        <is>
          <t>Chain rule</t>
        </is>
      </c>
      <c r="C139" s="38" t="n">
        <v>2</v>
      </c>
      <c r="D139" s="34" t="n"/>
      <c r="E139" s="35" t="n"/>
      <c r="F139" s="36" t="inlineStr">
        <is>
          <t>▶ Watch</t>
        </is>
      </c>
      <c r="G139" s="36" t="inlineStr">
        <is>
          <t>Q 2, 3, 27, 66, 70</t>
        </is>
      </c>
      <c r="H139" s="36" t="inlineStr">
        <is>
          <t>Answers</t>
        </is>
      </c>
      <c r="I139" s="35" t="inlineStr">
        <is>
          <t>Solomon: The chain rule</t>
        </is>
      </c>
      <c r="J139" s="36" t="inlineStr">
        <is>
          <t>Q 1–4, 6–9</t>
        </is>
      </c>
      <c r="K139" s="37" t="inlineStr">
        <is>
          <t>none</t>
        </is>
      </c>
      <c r="L139" s="36" t="inlineStr">
        <is>
          <t>Answers</t>
        </is>
      </c>
      <c r="M139" s="35" t="inlineStr">
        <is>
          <t>Product, Quotient and Chain Rules</t>
        </is>
      </c>
      <c r="N139" s="36" t="inlineStr">
        <is>
          <t>Pages 1, 3</t>
        </is>
      </c>
      <c r="O139" s="36" t="inlineStr">
        <is>
          <t>Marks</t>
        </is>
      </c>
      <c r="P139" t="inlineStr">
        <is>
          <t>P9</t>
        </is>
      </c>
    </row>
    <row r="140" outlineLevel="1" ht="32" customHeight="1">
      <c r="A140" s="31" t="inlineStr">
        <is>
          <t>Mc15</t>
        </is>
      </c>
      <c r="B140" s="32" t="inlineStr">
        <is>
          <t>Rates of change with the chain rule</t>
        </is>
      </c>
      <c r="C140" s="38" t="n">
        <v>2</v>
      </c>
      <c r="D140" s="34" t="n"/>
      <c r="E140" s="35" t="n"/>
      <c r="F140" s="36" t="inlineStr">
        <is>
          <t>▶ Watch</t>
        </is>
      </c>
      <c r="G140" s="36" t="inlineStr">
        <is>
          <t>Q 28, 43, 55</t>
        </is>
      </c>
      <c r="H140" s="36" t="inlineStr">
        <is>
          <t>Answers</t>
        </is>
      </c>
      <c r="I140" s="35" t="inlineStr">
        <is>
          <t>Solomon: Connected rates of change</t>
        </is>
      </c>
      <c r="J140" s="36" t="inlineStr">
        <is>
          <t>Q 1–6</t>
        </is>
      </c>
      <c r="K140" s="37" t="inlineStr">
        <is>
          <t>none</t>
        </is>
      </c>
      <c r="L140" s="36" t="inlineStr">
        <is>
          <t>Answers</t>
        </is>
      </c>
      <c r="M140" s="35" t="inlineStr">
        <is>
          <t>Product, Quotient and Chain Rules</t>
        </is>
      </c>
      <c r="N140" s="36" t="inlineStr">
        <is>
          <t>Pages 1–4</t>
        </is>
      </c>
      <c r="O140" s="36" t="inlineStr">
        <is>
          <t>Marks</t>
        </is>
      </c>
      <c r="P140" t="inlineStr">
        <is>
          <t>P9</t>
        </is>
      </c>
    </row>
    <row r="141" outlineLevel="1" ht="32" customHeight="1">
      <c r="A141" s="31" t="inlineStr">
        <is>
          <t>Mc16</t>
        </is>
      </c>
      <c r="B141" s="32" t="inlineStr">
        <is>
          <t>Implicit differentiation</t>
        </is>
      </c>
      <c r="C141" s="38" t="n">
        <v>2</v>
      </c>
      <c r="D141" s="34" t="n"/>
      <c r="E141" s="35" t="n"/>
      <c r="F141" s="36" t="inlineStr">
        <is>
          <t>▶ Watch</t>
        </is>
      </c>
      <c r="G141" s="36" t="inlineStr">
        <is>
          <t>Q 20–22, 37, 58, 60, 63, 69</t>
        </is>
      </c>
      <c r="H141" s="36" t="inlineStr">
        <is>
          <t>Answers</t>
        </is>
      </c>
      <c r="I141" s="35" t="inlineStr">
        <is>
          <t>Solomon: Differentiating functions defined implicitly</t>
        </is>
      </c>
      <c r="J141" s="36" t="inlineStr">
        <is>
          <t>Q 1–7</t>
        </is>
      </c>
      <c r="K141" s="37" t="inlineStr">
        <is>
          <t>none</t>
        </is>
      </c>
      <c r="L141" s="36" t="inlineStr">
        <is>
          <t>Answers</t>
        </is>
      </c>
      <c r="M141" s="35" t="inlineStr">
        <is>
          <t>Implicit Differentiation</t>
        </is>
      </c>
      <c r="N141" s="36" t="inlineStr">
        <is>
          <t>Pages 1, 2</t>
        </is>
      </c>
      <c r="O141" s="36" t="inlineStr">
        <is>
          <t>Marks</t>
        </is>
      </c>
      <c r="P141" t="inlineStr">
        <is>
          <t>P9</t>
        </is>
      </c>
    </row>
    <row r="142" outlineLevel="1" ht="32" customHeight="1">
      <c r="A142" s="31" t="inlineStr">
        <is>
          <t>Mc17</t>
        </is>
      </c>
      <c r="B142" s="32" t="inlineStr">
        <is>
          <t>Concavity and the second derivative</t>
        </is>
      </c>
      <c r="C142" s="38" t="n">
        <v>2</v>
      </c>
      <c r="D142" s="34" t="n"/>
      <c r="E142" s="35" t="n"/>
      <c r="F142" s="36" t="inlineStr">
        <is>
          <t>▶ Watch</t>
        </is>
      </c>
      <c r="G142" s="36" t="inlineStr">
        <is>
          <t>Q 65, 73</t>
        </is>
      </c>
      <c r="H142" s="36" t="inlineStr">
        <is>
          <t>Answers</t>
        </is>
      </c>
      <c r="I142" s="35" t="inlineStr">
        <is>
          <t>Edexcel: Basic Differentiation</t>
        </is>
      </c>
      <c r="J142" s="36" t="inlineStr">
        <is>
          <t>Page 7</t>
        </is>
      </c>
      <c r="K142" s="36" t="inlineStr">
        <is>
          <t>Marks</t>
        </is>
      </c>
      <c r="L142" s="36" t="inlineStr">
        <is>
          <t>Answers</t>
        </is>
      </c>
      <c r="M142" s="35" t="inlineStr">
        <is>
          <t>Product, Quotient and Chain Rules</t>
        </is>
      </c>
      <c r="N142" s="36" t="inlineStr">
        <is>
          <t>Page 4</t>
        </is>
      </c>
      <c r="O142" s="36" t="inlineStr">
        <is>
          <t>Marks</t>
        </is>
      </c>
      <c r="P142" t="inlineStr">
        <is>
          <t>P9</t>
        </is>
      </c>
    </row>
    <row r="143" outlineLevel="1" ht="32" customHeight="1">
      <c r="A143" s="31" t="inlineStr">
        <is>
          <t>Mc18</t>
        </is>
      </c>
      <c r="B143" s="32" t="inlineStr">
        <is>
          <t>Points of inflection</t>
        </is>
      </c>
      <c r="C143" s="38" t="n">
        <v>2</v>
      </c>
      <c r="D143" s="34" t="n"/>
      <c r="E143" s="35" t="n"/>
      <c r="F143" s="36" t="inlineStr">
        <is>
          <t>Topic page</t>
        </is>
      </c>
      <c r="G143" s="36" t="inlineStr">
        <is>
          <t>Q 47, 53, 68</t>
        </is>
      </c>
      <c r="H143" s="36" t="inlineStr">
        <is>
          <t>Answers</t>
        </is>
      </c>
      <c r="I143" s="35" t="inlineStr">
        <is>
          <t>Edexcel: Basic Differentiation</t>
        </is>
      </c>
      <c r="J143" s="36" t="inlineStr">
        <is>
          <t>Page 4</t>
        </is>
      </c>
      <c r="K143" s="36" t="inlineStr">
        <is>
          <t>Marks</t>
        </is>
      </c>
      <c r="L143" s="36" t="inlineStr">
        <is>
          <t>Answers</t>
        </is>
      </c>
      <c r="M143" s="35" t="inlineStr">
        <is>
          <t>Applications of Differentiation to Functions and Graphs (Yr. 2)</t>
        </is>
      </c>
      <c r="N143" s="36" t="inlineStr">
        <is>
          <t>Page 1</t>
        </is>
      </c>
      <c r="O143" s="36" t="inlineStr">
        <is>
          <t>Marks</t>
        </is>
      </c>
      <c r="P143" t="inlineStr">
        <is>
          <t>P9</t>
        </is>
      </c>
    </row>
    <row r="144" ht="10" customHeight="1"/>
    <row r="145" ht="26" customHeight="1">
      <c r="A145" s="27" t="n">
        <v>10</v>
      </c>
      <c r="B145" s="28" t="inlineStr">
        <is>
          <t>Integration</t>
        </is>
      </c>
      <c r="C145" s="29" t="n"/>
      <c r="D145" s="29" t="n"/>
      <c r="E145" s="30" t="inlineStr">
        <is>
          <t>12 topics  ·  Year 1: 5  ·  Year 2: 7</t>
        </is>
      </c>
      <c r="F145" s="29" t="n"/>
      <c r="G145" s="29" t="n"/>
      <c r="H145" s="29" t="n"/>
      <c r="I145" s="29" t="n"/>
      <c r="J145" s="29" t="n"/>
      <c r="K145" s="29" t="n"/>
      <c r="L145" s="29" t="n"/>
      <c r="M145" s="29" t="n"/>
      <c r="N145" s="29" t="n"/>
      <c r="O145" s="29" t="n"/>
    </row>
    <row r="146" outlineLevel="1" ht="32" customHeight="1">
      <c r="A146" s="31" t="inlineStr">
        <is>
          <t>Mc19</t>
        </is>
      </c>
      <c r="B146" s="32" t="inlineStr">
        <is>
          <t>Integration as reverse of differentiation</t>
        </is>
      </c>
      <c r="C146" s="33" t="n">
        <v>1</v>
      </c>
      <c r="D146" s="34" t="n"/>
      <c r="E146" s="35" t="n"/>
      <c r="F146" s="36" t="inlineStr">
        <is>
          <t>Topic page</t>
        </is>
      </c>
      <c r="G146" s="36" t="inlineStr">
        <is>
          <t>Q 1, 2</t>
        </is>
      </c>
      <c r="H146" s="36" t="inlineStr">
        <is>
          <t>Answers</t>
        </is>
      </c>
      <c r="I146" s="35" t="inlineStr">
        <is>
          <t>Solomon: Integration</t>
        </is>
      </c>
      <c r="J146" s="36" t="inlineStr">
        <is>
          <t>Q 6</t>
        </is>
      </c>
      <c r="K146" s="37" t="inlineStr">
        <is>
          <t>none</t>
        </is>
      </c>
      <c r="L146" s="36" t="inlineStr">
        <is>
          <t>Answers</t>
        </is>
      </c>
      <c r="M146" s="35" t="inlineStr">
        <is>
          <t>Integration as the Reverse of Differentiation and Area Under a Curve (Yr. 1)</t>
        </is>
      </c>
      <c r="N146" s="36" t="inlineStr">
        <is>
          <t>Page 2</t>
        </is>
      </c>
      <c r="O146" s="36" t="inlineStr">
        <is>
          <t>Marks</t>
        </is>
      </c>
      <c r="P146" t="inlineStr">
        <is>
          <t>P10</t>
        </is>
      </c>
    </row>
    <row r="147" outlineLevel="1" ht="32" customHeight="1">
      <c r="A147" s="31" t="inlineStr">
        <is>
          <t>Mc20</t>
        </is>
      </c>
      <c r="B147" s="32" t="inlineStr">
        <is>
          <t>Integrate kxⁿ (n ≠ −1)</t>
        </is>
      </c>
      <c r="C147" s="33" t="n">
        <v>1</v>
      </c>
      <c r="D147" s="34" t="n"/>
      <c r="E147" s="35" t="n"/>
      <c r="F147" s="36" t="inlineStr">
        <is>
          <t>▶ Watch</t>
        </is>
      </c>
      <c r="G147" s="36" t="inlineStr">
        <is>
          <t>Q 1–3, 5–8</t>
        </is>
      </c>
      <c r="H147" s="36" t="inlineStr">
        <is>
          <t>Answers</t>
        </is>
      </c>
      <c r="I147" s="35" t="inlineStr">
        <is>
          <t>Solomon: Integration</t>
        </is>
      </c>
      <c r="J147" s="36" t="inlineStr">
        <is>
          <t>Q 1–5</t>
        </is>
      </c>
      <c r="K147" s="37" t="inlineStr">
        <is>
          <t>none</t>
        </is>
      </c>
      <c r="L147" s="36" t="inlineStr">
        <is>
          <t>Answers</t>
        </is>
      </c>
      <c r="M147" s="35" t="inlineStr">
        <is>
          <t>Integration as the Reverse of Differentiation and Area Under a Curve (Yr. 1)</t>
        </is>
      </c>
      <c r="N147" s="36" t="inlineStr">
        <is>
          <t>Pages 1–3</t>
        </is>
      </c>
      <c r="O147" s="36" t="inlineStr">
        <is>
          <t>Marks</t>
        </is>
      </c>
      <c r="P147" t="inlineStr">
        <is>
          <t>P10</t>
        </is>
      </c>
    </row>
    <row r="148" outlineLevel="1" ht="32" customHeight="1">
      <c r="A148" s="31" t="inlineStr">
        <is>
          <t>Mc21</t>
        </is>
      </c>
      <c r="B148" s="32" t="inlineStr">
        <is>
          <t>Constant of integration</t>
        </is>
      </c>
      <c r="C148" s="33" t="n">
        <v>1</v>
      </c>
      <c r="D148" s="34" t="n"/>
      <c r="E148" s="35" t="n"/>
      <c r="F148" s="36" t="inlineStr">
        <is>
          <t>▶ Watch</t>
        </is>
      </c>
      <c r="G148" s="36" t="inlineStr">
        <is>
          <t>Q 4, 7, 9</t>
        </is>
      </c>
      <c r="H148" s="36" t="inlineStr">
        <is>
          <t>Answers</t>
        </is>
      </c>
      <c r="I148" s="35" t="inlineStr">
        <is>
          <t>Solomon: Boundary conditions</t>
        </is>
      </c>
      <c r="J148" s="36" t="inlineStr">
        <is>
          <t>Q 1–8</t>
        </is>
      </c>
      <c r="K148" s="37" t="inlineStr">
        <is>
          <t>none</t>
        </is>
      </c>
      <c r="L148" s="36" t="inlineStr">
        <is>
          <t>Answers</t>
        </is>
      </c>
      <c r="M148" s="35" t="inlineStr">
        <is>
          <t>Integration as the Reverse of Differentiation and Area Under a Curve (Yr. 1)</t>
        </is>
      </c>
      <c r="N148" s="36" t="inlineStr">
        <is>
          <t>Page 2</t>
        </is>
      </c>
      <c r="O148" s="36" t="inlineStr">
        <is>
          <t>Marks</t>
        </is>
      </c>
      <c r="P148" t="inlineStr">
        <is>
          <t>P10</t>
        </is>
      </c>
    </row>
    <row r="149" outlineLevel="1" ht="32" customHeight="1">
      <c r="A149" s="31" t="inlineStr">
        <is>
          <t>Mc22</t>
        </is>
      </c>
      <c r="B149" s="32" t="inlineStr">
        <is>
          <t>Indefinite and definite integrals</t>
        </is>
      </c>
      <c r="C149" s="33" t="n">
        <v>1</v>
      </c>
      <c r="D149" s="34" t="n"/>
      <c r="E149" s="35" t="n"/>
      <c r="F149" s="36" t="inlineStr">
        <is>
          <t>▶ Watch</t>
        </is>
      </c>
      <c r="G149" s="36" t="inlineStr">
        <is>
          <t>Q 10–12</t>
        </is>
      </c>
      <c r="H149" s="36" t="inlineStr">
        <is>
          <t>Answers</t>
        </is>
      </c>
      <c r="I149" s="35" t="inlineStr">
        <is>
          <t>Solomon: Definite integrals and the area under a curve</t>
        </is>
      </c>
      <c r="J149" s="36" t="inlineStr">
        <is>
          <t>Q 1–4, 10</t>
        </is>
      </c>
      <c r="K149" s="37" t="inlineStr">
        <is>
          <t>none</t>
        </is>
      </c>
      <c r="L149" s="36" t="inlineStr">
        <is>
          <t>Answers</t>
        </is>
      </c>
      <c r="M149" s="35" t="inlineStr">
        <is>
          <t>Integration as the Reverse of Differentiation and Area Under a Curve (Yr. 1)</t>
        </is>
      </c>
      <c r="N149" s="36" t="inlineStr">
        <is>
          <t>Pages 2, 3</t>
        </is>
      </c>
      <c r="O149" s="36" t="inlineStr">
        <is>
          <t>Marks</t>
        </is>
      </c>
      <c r="P149" t="inlineStr">
        <is>
          <t>P10</t>
        </is>
      </c>
    </row>
    <row r="150" outlineLevel="1" ht="32" customHeight="1">
      <c r="A150" s="31" t="inlineStr">
        <is>
          <t>Mc23</t>
        </is>
      </c>
      <c r="B150" s="32" t="inlineStr">
        <is>
          <t>Area between a graph and the x-axis</t>
        </is>
      </c>
      <c r="C150" s="33" t="n">
        <v>1</v>
      </c>
      <c r="D150" s="34" t="n"/>
      <c r="E150" s="35" t="n"/>
      <c r="F150" s="36" t="inlineStr">
        <is>
          <t>▶ Watch</t>
        </is>
      </c>
      <c r="G150" s="36" t="inlineStr">
        <is>
          <t>Q 11</t>
        </is>
      </c>
      <c r="H150" s="36" t="inlineStr">
        <is>
          <t>Answers</t>
        </is>
      </c>
      <c r="I150" s="35" t="inlineStr">
        <is>
          <t>Solomon: Definite integrals and the area under a curve</t>
        </is>
      </c>
      <c r="J150" s="36" t="inlineStr">
        <is>
          <t>Q 5–11</t>
        </is>
      </c>
      <c r="K150" s="37" t="inlineStr">
        <is>
          <t>none</t>
        </is>
      </c>
      <c r="L150" s="36" t="inlineStr">
        <is>
          <t>Answers</t>
        </is>
      </c>
      <c r="M150" s="35" t="inlineStr">
        <is>
          <t>Integration as the Reverse of Differentiation and Area Under a Curve (Yr. 1)</t>
        </is>
      </c>
      <c r="N150" s="36" t="inlineStr">
        <is>
          <t>Pages 2–4</t>
        </is>
      </c>
      <c r="O150" s="36" t="inlineStr">
        <is>
          <t>Marks</t>
        </is>
      </c>
      <c r="P150" t="inlineStr">
        <is>
          <t>P10</t>
        </is>
      </c>
    </row>
    <row r="151" outlineLevel="1" ht="32" customHeight="1">
      <c r="A151" s="31" t="inlineStr">
        <is>
          <t>Mc24</t>
        </is>
      </c>
      <c r="B151" s="32" t="inlineStr">
        <is>
          <t>Integrate eᵏˣ, 1/x, sin kx, cos kx</t>
        </is>
      </c>
      <c r="C151" s="38" t="n">
        <v>2</v>
      </c>
      <c r="D151" s="34" t="n"/>
      <c r="E151" s="35" t="n"/>
      <c r="F151" s="36" t="inlineStr">
        <is>
          <t>▶ Watch</t>
        </is>
      </c>
      <c r="G151" s="36" t="inlineStr">
        <is>
          <t>Q 5, 6, 27–29</t>
        </is>
      </c>
      <c r="H151" s="36" t="inlineStr">
        <is>
          <t>Answers</t>
        </is>
      </c>
      <c r="I151" s="35" t="inlineStr">
        <is>
          <t>Solomon: Integrating exponentials and the reciprocal of x</t>
        </is>
      </c>
      <c r="J151" s="36" t="inlineStr">
        <is>
          <t>Q 1–8</t>
        </is>
      </c>
      <c r="K151" s="37" t="inlineStr">
        <is>
          <t>none</t>
        </is>
      </c>
      <c r="L151" s="36" t="inlineStr">
        <is>
          <t>Answers</t>
        </is>
      </c>
      <c r="M151" s="35" t="inlineStr">
        <is>
          <t>Integration as Inverse of Differentiation and to Find Area Under a Curve (Yr. 2)</t>
        </is>
      </c>
      <c r="N151" s="36" t="inlineStr">
        <is>
          <t>Pages 2, 3</t>
        </is>
      </c>
      <c r="O151" s="36" t="inlineStr">
        <is>
          <t>Marks</t>
        </is>
      </c>
      <c r="P151" t="inlineStr">
        <is>
          <t>P10</t>
        </is>
      </c>
    </row>
    <row r="152" outlineLevel="1" ht="20" customHeight="1">
      <c r="A152" s="31" t="inlineStr">
        <is>
          <t>Mc25</t>
        </is>
      </c>
      <c r="B152" s="32" t="inlineStr">
        <is>
          <t>Integration as the limit of a sum</t>
        </is>
      </c>
      <c r="C152" s="38" t="n">
        <v>2</v>
      </c>
      <c r="D152" s="34" t="n"/>
      <c r="E152" s="35" t="n"/>
      <c r="F152" s="36" t="inlineStr">
        <is>
          <t>Topic page</t>
        </is>
      </c>
      <c r="G152" s="36" t="inlineStr">
        <is>
          <t>Q 46</t>
        </is>
      </c>
      <c r="H152" s="36" t="inlineStr">
        <is>
          <t>Answers</t>
        </is>
      </c>
      <c r="I152" s="35" t="inlineStr">
        <is>
          <t>Edexcel: Definite Integration</t>
        </is>
      </c>
      <c r="J152" s="36" t="inlineStr">
        <is>
          <t>Page 1</t>
        </is>
      </c>
      <c r="K152" s="36" t="inlineStr">
        <is>
          <t>Marks</t>
        </is>
      </c>
      <c r="L152" s="36" t="inlineStr">
        <is>
          <t>Answers</t>
        </is>
      </c>
      <c r="M152" s="40" t="inlineStr">
        <is>
          <t>none for this topic</t>
        </is>
      </c>
      <c r="N152" s="37" t="inlineStr">
        <is>
          <t>none on this topic</t>
        </is>
      </c>
      <c r="O152" s="39" t="n"/>
      <c r="P152" t="inlineStr">
        <is>
          <t>P10</t>
        </is>
      </c>
    </row>
    <row r="153" outlineLevel="1" ht="32" customHeight="1">
      <c r="A153" s="31" t="inlineStr">
        <is>
          <t>Mc26</t>
        </is>
      </c>
      <c r="B153" s="32" t="inlineStr">
        <is>
          <t>Area between two curves</t>
        </is>
      </c>
      <c r="C153" s="38" t="n">
        <v>2</v>
      </c>
      <c r="D153" s="34" t="n"/>
      <c r="E153" s="35" t="n"/>
      <c r="F153" s="36" t="inlineStr">
        <is>
          <t>▶ Watch</t>
        </is>
      </c>
      <c r="G153" s="36" t="inlineStr">
        <is>
          <t>Q 10, 12</t>
        </is>
      </c>
      <c r="H153" s="36" t="inlineStr">
        <is>
          <t>Answers</t>
        </is>
      </c>
      <c r="I153" s="35" t="inlineStr">
        <is>
          <t>Solomon: Area under a curve – further questions</t>
        </is>
      </c>
      <c r="J153" s="36" t="inlineStr">
        <is>
          <t>Q 1–4</t>
        </is>
      </c>
      <c r="K153" s="37" t="inlineStr">
        <is>
          <t>none</t>
        </is>
      </c>
      <c r="L153" s="36" t="inlineStr">
        <is>
          <t>Answers</t>
        </is>
      </c>
      <c r="M153" s="35" t="inlineStr">
        <is>
          <t>Integration as Inverse of Differentiation and to Find Area Under a Curve (Yr. 2)</t>
        </is>
      </c>
      <c r="N153" s="36" t="inlineStr">
        <is>
          <t>Pages 1–3</t>
        </is>
      </c>
      <c r="O153" s="36" t="inlineStr">
        <is>
          <t>Marks</t>
        </is>
      </c>
      <c r="P153" t="inlineStr">
        <is>
          <t>P10</t>
        </is>
      </c>
    </row>
    <row r="154" outlineLevel="1" ht="32" customHeight="1">
      <c r="A154" s="31" t="inlineStr">
        <is>
          <t>Mc27</t>
        </is>
      </c>
      <c r="B154" s="32" t="inlineStr">
        <is>
          <t>Integration by substitution (reverse chain rule)</t>
        </is>
      </c>
      <c r="C154" s="38" t="n">
        <v>2</v>
      </c>
      <c r="D154" s="34" t="n"/>
      <c r="E154" s="35" t="n"/>
      <c r="F154" s="36" t="inlineStr">
        <is>
          <t>▶ Watch</t>
        </is>
      </c>
      <c r="G154" s="36" t="inlineStr">
        <is>
          <t>Q 8–10, 12, 14, 26, 45, 63</t>
        </is>
      </c>
      <c r="H154" s="36" t="inlineStr">
        <is>
          <t>Answers</t>
        </is>
      </c>
      <c r="I154" s="35" t="inlineStr">
        <is>
          <t>Solomon: Integration by substitution</t>
        </is>
      </c>
      <c r="J154" s="36" t="inlineStr">
        <is>
          <t>Q 1–8</t>
        </is>
      </c>
      <c r="K154" s="37" t="inlineStr">
        <is>
          <t>none</t>
        </is>
      </c>
      <c r="L154" s="36" t="inlineStr">
        <is>
          <t>Answers</t>
        </is>
      </c>
      <c r="M154" s="35" t="inlineStr">
        <is>
          <t>Integration by Substitution</t>
        </is>
      </c>
      <c r="N154" s="36" t="inlineStr">
        <is>
          <t>Pages 1, 3, 5</t>
        </is>
      </c>
      <c r="O154" s="36" t="inlineStr">
        <is>
          <t>Marks</t>
        </is>
      </c>
      <c r="P154" t="inlineStr">
        <is>
          <t>P10</t>
        </is>
      </c>
    </row>
    <row r="155" outlineLevel="1" ht="32" customHeight="1">
      <c r="A155" s="31" t="inlineStr">
        <is>
          <t>Mc28</t>
        </is>
      </c>
      <c r="B155" s="32" t="inlineStr">
        <is>
          <t>Integration by substitution (other cases)</t>
        </is>
      </c>
      <c r="C155" s="38" t="n">
        <v>2</v>
      </c>
      <c r="D155" s="34" t="n"/>
      <c r="E155" s="35" t="n"/>
      <c r="F155" s="36" t="inlineStr">
        <is>
          <t>▶ Watch</t>
        </is>
      </c>
      <c r="G155" s="36" t="inlineStr">
        <is>
          <t>Q 11, 47, 48, 61, 69</t>
        </is>
      </c>
      <c r="H155" s="36" t="inlineStr">
        <is>
          <t>Answers</t>
        </is>
      </c>
      <c r="I155" s="35" t="inlineStr">
        <is>
          <t>Solomon: Integration by substitution</t>
        </is>
      </c>
      <c r="J155" s="36" t="inlineStr">
        <is>
          <t>Q 9–11</t>
        </is>
      </c>
      <c r="K155" s="37" t="inlineStr">
        <is>
          <t>none</t>
        </is>
      </c>
      <c r="L155" s="36" t="inlineStr">
        <is>
          <t>Answers</t>
        </is>
      </c>
      <c r="M155" s="35" t="inlineStr">
        <is>
          <t>Integration by Substitution</t>
        </is>
      </c>
      <c r="N155" s="36" t="inlineStr">
        <is>
          <t>Pages 2, 5, 6</t>
        </is>
      </c>
      <c r="O155" s="36" t="inlineStr">
        <is>
          <t>Marks</t>
        </is>
      </c>
      <c r="P155" t="inlineStr">
        <is>
          <t>P10</t>
        </is>
      </c>
    </row>
    <row r="156" outlineLevel="1" ht="20" customHeight="1">
      <c r="A156" s="31" t="inlineStr">
        <is>
          <t>Mc29</t>
        </is>
      </c>
      <c r="B156" s="32" t="inlineStr">
        <is>
          <t>Integration by parts</t>
        </is>
      </c>
      <c r="C156" s="38" t="n">
        <v>2</v>
      </c>
      <c r="D156" s="34" t="n"/>
      <c r="E156" s="35" t="n"/>
      <c r="F156" s="36" t="inlineStr">
        <is>
          <t>▶ Watch</t>
        </is>
      </c>
      <c r="G156" s="36" t="inlineStr">
        <is>
          <t>Q 18, 19, 21–25, 67</t>
        </is>
      </c>
      <c r="H156" s="36" t="inlineStr">
        <is>
          <t>Answers</t>
        </is>
      </c>
      <c r="I156" s="35" t="inlineStr">
        <is>
          <t>Solomon: Integration by parts</t>
        </is>
      </c>
      <c r="J156" s="36" t="inlineStr">
        <is>
          <t>Q 1, 2, 4–9</t>
        </is>
      </c>
      <c r="K156" s="37" t="inlineStr">
        <is>
          <t>none</t>
        </is>
      </c>
      <c r="L156" s="36" t="inlineStr">
        <is>
          <t>Answers</t>
        </is>
      </c>
      <c r="M156" s="35" t="inlineStr">
        <is>
          <t>Integration by Parts</t>
        </is>
      </c>
      <c r="N156" s="36" t="inlineStr">
        <is>
          <t>Pages 1–3</t>
        </is>
      </c>
      <c r="O156" s="36" t="inlineStr">
        <is>
          <t>Marks</t>
        </is>
      </c>
      <c r="P156" t="inlineStr">
        <is>
          <t>P10</t>
        </is>
      </c>
    </row>
    <row r="157" outlineLevel="1" ht="32" customHeight="1">
      <c r="A157" s="31" t="inlineStr">
        <is>
          <t>Mc30</t>
        </is>
      </c>
      <c r="B157" s="32" t="inlineStr">
        <is>
          <t>Integration using partial fractions</t>
        </is>
      </c>
      <c r="C157" s="38" t="n">
        <v>2</v>
      </c>
      <c r="D157" s="34" t="n"/>
      <c r="E157" s="35" t="n"/>
      <c r="F157" s="36" t="inlineStr">
        <is>
          <t>▶ Watch</t>
        </is>
      </c>
      <c r="G157" s="36" t="inlineStr">
        <is>
          <t>Q 31, 32, 35, 48, 49, 65</t>
        </is>
      </c>
      <c r="H157" s="36" t="inlineStr">
        <is>
          <t>Answers</t>
        </is>
      </c>
      <c r="I157" s="35" t="inlineStr">
        <is>
          <t>Solomon: Integration using partial fractions</t>
        </is>
      </c>
      <c r="J157" s="36" t="inlineStr">
        <is>
          <t>Q 1–3, 7–10</t>
        </is>
      </c>
      <c r="K157" s="37" t="inlineStr">
        <is>
          <t>none</t>
        </is>
      </c>
      <c r="L157" s="36" t="inlineStr">
        <is>
          <t>Answers</t>
        </is>
      </c>
      <c r="M157" s="35" t="inlineStr">
        <is>
          <t>Differential Equations</t>
        </is>
      </c>
      <c r="N157" s="36" t="inlineStr">
        <is>
          <t>Pages 1, 3–7</t>
        </is>
      </c>
      <c r="O157" s="36" t="inlineStr">
        <is>
          <t>Marks</t>
        </is>
      </c>
      <c r="P157" t="inlineStr">
        <is>
          <t>P10</t>
        </is>
      </c>
    </row>
    <row r="158" ht="10" customHeight="1"/>
    <row r="159" ht="26" customHeight="1">
      <c r="A159" s="27" t="n">
        <v>11</v>
      </c>
      <c r="B159" s="28" t="inlineStr">
        <is>
          <t>Differential equations</t>
        </is>
      </c>
      <c r="C159" s="29" t="n"/>
      <c r="D159" s="29" t="n"/>
      <c r="E159" s="30" t="inlineStr">
        <is>
          <t>3 topics  ·  Year 2: 3</t>
        </is>
      </c>
      <c r="F159" s="29" t="n"/>
      <c r="G159" s="29" t="n"/>
      <c r="H159" s="29" t="n"/>
      <c r="I159" s="29" t="n"/>
      <c r="J159" s="29" t="n"/>
      <c r="K159" s="29" t="n"/>
      <c r="L159" s="29" t="n"/>
      <c r="M159" s="29" t="n"/>
      <c r="N159" s="29" t="n"/>
      <c r="O159" s="29" t="n"/>
    </row>
    <row r="160" outlineLevel="1" ht="32" customHeight="1">
      <c r="A160" s="31" t="inlineStr">
        <is>
          <t>Mc31</t>
        </is>
      </c>
      <c r="B160" s="32" t="inlineStr">
        <is>
          <t>Formulate first order differential equations</t>
        </is>
      </c>
      <c r="C160" s="38" t="n">
        <v>2</v>
      </c>
      <c r="D160" s="34" t="n"/>
      <c r="E160" s="35" t="n"/>
      <c r="F160" s="36" t="inlineStr">
        <is>
          <t>▶ Watch</t>
        </is>
      </c>
      <c r="G160" s="36" t="inlineStr">
        <is>
          <t>Q 33, 34, 43, 51, 71</t>
        </is>
      </c>
      <c r="H160" s="36" t="inlineStr">
        <is>
          <t>Answers</t>
        </is>
      </c>
      <c r="I160" s="35" t="inlineStr">
        <is>
          <t>Solomon: Differential equations – further questions</t>
        </is>
      </c>
      <c r="J160" s="36" t="inlineStr">
        <is>
          <t>Q 3–8</t>
        </is>
      </c>
      <c r="K160" s="37" t="inlineStr">
        <is>
          <t>none</t>
        </is>
      </c>
      <c r="L160" s="36" t="inlineStr">
        <is>
          <t>Answers</t>
        </is>
      </c>
      <c r="M160" s="35" t="inlineStr">
        <is>
          <t>Differential Equations</t>
        </is>
      </c>
      <c r="N160" s="36" t="inlineStr">
        <is>
          <t>Pages 5, 6</t>
        </is>
      </c>
      <c r="O160" s="36" t="inlineStr">
        <is>
          <t>Marks</t>
        </is>
      </c>
      <c r="P160" t="inlineStr">
        <is>
          <t>P11</t>
        </is>
      </c>
    </row>
    <row r="161" outlineLevel="1" ht="32" customHeight="1">
      <c r="A161" s="31" t="inlineStr">
        <is>
          <t>Mc32</t>
        </is>
      </c>
      <c r="B161" s="32" t="inlineStr">
        <is>
          <t>Solve first order differential equations</t>
        </is>
      </c>
      <c r="C161" s="38" t="n">
        <v>2</v>
      </c>
      <c r="D161" s="34" t="n"/>
      <c r="E161" s="35" t="n"/>
      <c r="F161" s="36" t="inlineStr">
        <is>
          <t>▶ Watch</t>
        </is>
      </c>
      <c r="G161" s="36" t="inlineStr">
        <is>
          <t>Q 35–39, 64, 68, 70</t>
        </is>
      </c>
      <c r="H161" s="36" t="inlineStr">
        <is>
          <t>Answers</t>
        </is>
      </c>
      <c r="I161" s="35" t="inlineStr">
        <is>
          <t>Solomon: Differential equations</t>
        </is>
      </c>
      <c r="J161" s="36" t="inlineStr">
        <is>
          <t>Q 3–5</t>
        </is>
      </c>
      <c r="K161" s="37" t="inlineStr">
        <is>
          <t>none</t>
        </is>
      </c>
      <c r="L161" s="36" t="inlineStr">
        <is>
          <t>Answers</t>
        </is>
      </c>
      <c r="M161" s="35" t="inlineStr">
        <is>
          <t>Differential Equations</t>
        </is>
      </c>
      <c r="N161" s="36" t="inlineStr">
        <is>
          <t>Pages 2, 3, 5–7</t>
        </is>
      </c>
      <c r="O161" s="36" t="inlineStr">
        <is>
          <t>Marks</t>
        </is>
      </c>
      <c r="P161" t="inlineStr">
        <is>
          <t>P11</t>
        </is>
      </c>
    </row>
    <row r="162" outlineLevel="1" ht="32" customHeight="1">
      <c r="A162" s="31" t="inlineStr">
        <is>
          <t>Mc33</t>
        </is>
      </c>
      <c r="B162" s="32" t="inlineStr">
        <is>
          <t>Interpret solutions of differential equations</t>
        </is>
      </c>
      <c r="C162" s="38" t="n">
        <v>2</v>
      </c>
      <c r="D162" s="34" t="n"/>
      <c r="E162" s="35" t="n"/>
      <c r="F162" s="36" t="inlineStr">
        <is>
          <t>Topic page</t>
        </is>
      </c>
      <c r="G162" s="36" t="inlineStr">
        <is>
          <t>Q 33, 34, 39, 43, 51, 71</t>
        </is>
      </c>
      <c r="H162" s="36" t="inlineStr">
        <is>
          <t>Answers</t>
        </is>
      </c>
      <c r="I162" s="35" t="inlineStr">
        <is>
          <t>Solomon: Differential equations – further questions</t>
        </is>
      </c>
      <c r="J162" s="36" t="inlineStr">
        <is>
          <t>Q 4, 6–9</t>
        </is>
      </c>
      <c r="K162" s="37" t="inlineStr">
        <is>
          <t>none</t>
        </is>
      </c>
      <c r="L162" s="36" t="inlineStr">
        <is>
          <t>Answers</t>
        </is>
      </c>
      <c r="M162" s="35" t="inlineStr">
        <is>
          <t>Differential Equations</t>
        </is>
      </c>
      <c r="N162" s="36" t="inlineStr">
        <is>
          <t>Pages 1–7</t>
        </is>
      </c>
      <c r="O162" s="36" t="inlineStr">
        <is>
          <t>Marks</t>
        </is>
      </c>
      <c r="P162" t="inlineStr">
        <is>
          <t>P11</t>
        </is>
      </c>
    </row>
    <row r="163" ht="10" customHeight="1"/>
    <row r="164" ht="26" customHeight="1">
      <c r="A164" s="27" t="n">
        <v>12</v>
      </c>
      <c r="B164" s="28" t="inlineStr">
        <is>
          <t>Numerical methods</t>
        </is>
      </c>
      <c r="C164" s="29" t="n"/>
      <c r="D164" s="29" t="n"/>
      <c r="E164" s="30" t="inlineStr">
        <is>
          <t>8 topics  ·  Year 2: 8</t>
        </is>
      </c>
      <c r="F164" s="29" t="n"/>
      <c r="G164" s="29" t="n"/>
      <c r="H164" s="29" t="n"/>
      <c r="I164" s="29" t="n"/>
      <c r="J164" s="29" t="n"/>
      <c r="K164" s="29" t="n"/>
      <c r="L164" s="29" t="n"/>
      <c r="M164" s="29" t="n"/>
      <c r="N164" s="29" t="n"/>
      <c r="O164" s="29" t="n"/>
    </row>
    <row r="165" outlineLevel="1" ht="32" customHeight="1">
      <c r="A165" s="31" t="inlineStr">
        <is>
          <t>Me1</t>
        </is>
      </c>
      <c r="B165" s="32" t="inlineStr">
        <is>
          <t>Locate roots by change of sign</t>
        </is>
      </c>
      <c r="C165" s="38" t="n">
        <v>2</v>
      </c>
      <c r="D165" s="34" t="n"/>
      <c r="E165" s="35" t="n"/>
      <c r="F165" s="36" t="inlineStr">
        <is>
          <t>▶ Watch</t>
        </is>
      </c>
      <c r="G165" s="36" t="inlineStr">
        <is>
          <t>Q 1–3, 6, 7, 14, 16, 18</t>
        </is>
      </c>
      <c r="H165" s="36" t="inlineStr">
        <is>
          <t>Answers</t>
        </is>
      </c>
      <c r="I165" s="35" t="inlineStr">
        <is>
          <t>Solomon: Locating roots using changes of sign</t>
        </is>
      </c>
      <c r="J165" s="36" t="inlineStr">
        <is>
          <t>Q 1–7</t>
        </is>
      </c>
      <c r="K165" s="37" t="inlineStr">
        <is>
          <t>none</t>
        </is>
      </c>
      <c r="L165" s="36" t="inlineStr">
        <is>
          <t>Answers</t>
        </is>
      </c>
      <c r="M165" s="35" t="inlineStr">
        <is>
          <t>Solution of Equations</t>
        </is>
      </c>
      <c r="N165" s="36" t="inlineStr">
        <is>
          <t>Pages 1–4</t>
        </is>
      </c>
      <c r="O165" s="36" t="inlineStr">
        <is>
          <t>Marks</t>
        </is>
      </c>
      <c r="P165" t="inlineStr">
        <is>
          <t>P12</t>
        </is>
      </c>
    </row>
    <row r="166" outlineLevel="1" ht="20" customHeight="1">
      <c r="A166" s="31" t="inlineStr">
        <is>
          <t>Me2</t>
        </is>
      </c>
      <c r="B166" s="32" t="inlineStr">
        <is>
          <t>When change of sign methods fail</t>
        </is>
      </c>
      <c r="C166" s="38" t="n">
        <v>2</v>
      </c>
      <c r="D166" s="34" t="n"/>
      <c r="E166" s="35" t="n"/>
      <c r="F166" s="36" t="inlineStr">
        <is>
          <t>Topic page</t>
        </is>
      </c>
      <c r="G166" s="37" t="inlineStr">
        <is>
          <t>none on this topic</t>
        </is>
      </c>
      <c r="H166" s="39" t="n"/>
      <c r="I166" s="40" t="inlineStr">
        <is>
          <t>none for this topic</t>
        </is>
      </c>
      <c r="J166" s="37" t="inlineStr">
        <is>
          <t>none on this topic</t>
        </is>
      </c>
      <c r="K166" s="39" t="n"/>
      <c r="L166" s="39" t="n"/>
      <c r="M166" s="40" t="inlineStr">
        <is>
          <t>none for this topic</t>
        </is>
      </c>
      <c r="N166" s="37" t="inlineStr">
        <is>
          <t>none on this topic</t>
        </is>
      </c>
      <c r="O166" s="39" t="n"/>
      <c r="P166" t="inlineStr">
        <is>
          <t>P12</t>
        </is>
      </c>
    </row>
    <row r="167" outlineLevel="1" ht="32" customHeight="1">
      <c r="A167" s="31" t="inlineStr">
        <is>
          <t>Me3</t>
        </is>
      </c>
      <c r="B167" s="32" t="inlineStr">
        <is>
          <t>Fixed point iteration</t>
        </is>
      </c>
      <c r="C167" s="38" t="n">
        <v>2</v>
      </c>
      <c r="D167" s="34" t="n"/>
      <c r="E167" s="35" t="n"/>
      <c r="F167" s="36" t="inlineStr">
        <is>
          <t>▶ Watch</t>
        </is>
      </c>
      <c r="G167" s="36" t="inlineStr">
        <is>
          <t>Q 1–4, 10, 14, 19</t>
        </is>
      </c>
      <c r="H167" s="36" t="inlineStr">
        <is>
          <t>Answers</t>
        </is>
      </c>
      <c r="I167" s="35" t="inlineStr">
        <is>
          <t>Solomon: Iterative methods of solving equations</t>
        </is>
      </c>
      <c r="J167" s="36" t="inlineStr">
        <is>
          <t>Q 1–5</t>
        </is>
      </c>
      <c r="K167" s="37" t="inlineStr">
        <is>
          <t>none</t>
        </is>
      </c>
      <c r="L167" s="36" t="inlineStr">
        <is>
          <t>Answers</t>
        </is>
      </c>
      <c r="M167" s="40" t="inlineStr">
        <is>
          <t>none for this topic</t>
        </is>
      </c>
      <c r="N167" s="37" t="inlineStr">
        <is>
          <t>none on this topic</t>
        </is>
      </c>
      <c r="O167" s="39" t="n"/>
      <c r="P167" t="inlineStr">
        <is>
          <t>P12</t>
        </is>
      </c>
    </row>
    <row r="168" outlineLevel="1" ht="20" customHeight="1">
      <c r="A168" s="31" t="inlineStr">
        <is>
          <t>Me4</t>
        </is>
      </c>
      <c r="B168" s="32" t="inlineStr">
        <is>
          <t>Newton-Raphson method</t>
        </is>
      </c>
      <c r="C168" s="38" t="n">
        <v>2</v>
      </c>
      <c r="D168" s="34" t="n"/>
      <c r="E168" s="35" t="n"/>
      <c r="F168" s="36" t="inlineStr">
        <is>
          <t>▶ Watch</t>
        </is>
      </c>
      <c r="G168" s="36" t="inlineStr">
        <is>
          <t>Q 5–7, 9, 13, 16–18</t>
        </is>
      </c>
      <c r="H168" s="36" t="inlineStr">
        <is>
          <t>Answers</t>
        </is>
      </c>
      <c r="I168" s="35" t="inlineStr">
        <is>
          <t>Edexcel: Newton Raphson</t>
        </is>
      </c>
      <c r="J168" s="36" t="inlineStr">
        <is>
          <t>Pages 1, 2</t>
        </is>
      </c>
      <c r="K168" s="37" t="inlineStr">
        <is>
          <t>none</t>
        </is>
      </c>
      <c r="L168" s="36" t="inlineStr">
        <is>
          <t>Answers</t>
        </is>
      </c>
      <c r="M168" s="35" t="inlineStr">
        <is>
          <t>Solution of Equations</t>
        </is>
      </c>
      <c r="N168" s="36" t="inlineStr">
        <is>
          <t>Pages 1–4</t>
        </is>
      </c>
      <c r="O168" s="36" t="inlineStr">
        <is>
          <t>Marks</t>
        </is>
      </c>
      <c r="P168" t="inlineStr">
        <is>
          <t>P12</t>
        </is>
      </c>
    </row>
    <row r="169" outlineLevel="1" ht="20" customHeight="1">
      <c r="A169" s="31" t="inlineStr">
        <is>
          <t>Me5</t>
        </is>
      </c>
      <c r="B169" s="32" t="inlineStr">
        <is>
          <t>Convergence of iterations</t>
        </is>
      </c>
      <c r="C169" s="38" t="n">
        <v>2</v>
      </c>
      <c r="D169" s="34" t="n"/>
      <c r="E169" s="35" t="n"/>
      <c r="F169" s="36" t="inlineStr">
        <is>
          <t>Topic page</t>
        </is>
      </c>
      <c r="G169" s="36" t="inlineStr">
        <is>
          <t>Q 9, 11, 12, 15, 18</t>
        </is>
      </c>
      <c r="H169" s="36" t="inlineStr">
        <is>
          <t>Answers</t>
        </is>
      </c>
      <c r="I169" s="35" t="inlineStr">
        <is>
          <t>Edexcel: Location of Roots</t>
        </is>
      </c>
      <c r="J169" s="36" t="inlineStr">
        <is>
          <t>Pages 1, 5, 6</t>
        </is>
      </c>
      <c r="K169" s="37" t="inlineStr">
        <is>
          <t>none</t>
        </is>
      </c>
      <c r="L169" s="36" t="inlineStr">
        <is>
          <t>Answers</t>
        </is>
      </c>
      <c r="M169" s="35" t="inlineStr">
        <is>
          <t>Solution of Equations</t>
        </is>
      </c>
      <c r="N169" s="36" t="inlineStr">
        <is>
          <t>Pages 2, 3</t>
        </is>
      </c>
      <c r="O169" s="36" t="inlineStr">
        <is>
          <t>Marks</t>
        </is>
      </c>
      <c r="P169" t="inlineStr">
        <is>
          <t>P12</t>
        </is>
      </c>
    </row>
    <row r="170" outlineLevel="1" ht="32" customHeight="1">
      <c r="A170" s="31" t="inlineStr">
        <is>
          <t>Mc34</t>
        </is>
      </c>
      <c r="B170" s="32" t="inlineStr">
        <is>
          <t>Trapezium rule</t>
        </is>
      </c>
      <c r="C170" s="38" t="n">
        <v>2</v>
      </c>
      <c r="D170" s="34" t="n"/>
      <c r="E170" s="35" t="n"/>
      <c r="F170" s="36" t="inlineStr">
        <is>
          <t>▶ Watch</t>
        </is>
      </c>
      <c r="G170" s="36" t="inlineStr">
        <is>
          <t>Q 50, 52, 62, 66</t>
        </is>
      </c>
      <c r="H170" s="36" t="inlineStr">
        <is>
          <t>Answers</t>
        </is>
      </c>
      <c r="I170" s="35" t="inlineStr">
        <is>
          <t>Solomon: Numerical integration – the trapezium rule</t>
        </is>
      </c>
      <c r="J170" s="36" t="inlineStr">
        <is>
          <t>Q 1–8</t>
        </is>
      </c>
      <c r="K170" s="37" t="inlineStr">
        <is>
          <t>none</t>
        </is>
      </c>
      <c r="L170" s="36" t="inlineStr">
        <is>
          <t>Answers</t>
        </is>
      </c>
      <c r="M170" s="35" t="inlineStr">
        <is>
          <t>Numerical Integration</t>
        </is>
      </c>
      <c r="N170" s="36" t="inlineStr">
        <is>
          <t>Pages 1–5</t>
        </is>
      </c>
      <c r="O170" s="36" t="inlineStr">
        <is>
          <t>Marks</t>
        </is>
      </c>
      <c r="P170" t="inlineStr">
        <is>
          <t>P12</t>
        </is>
      </c>
    </row>
    <row r="171" outlineLevel="1" ht="20" customHeight="1">
      <c r="A171" s="31" t="inlineStr">
        <is>
          <t>Mc35</t>
        </is>
      </c>
      <c r="B171" s="32" t="inlineStr">
        <is>
          <t>Upper and lower bounds for area using rectangles</t>
        </is>
      </c>
      <c r="C171" s="38" t="n">
        <v>2</v>
      </c>
      <c r="D171" s="34" t="n"/>
      <c r="E171" s="35" t="n"/>
      <c r="F171" s="36" t="inlineStr">
        <is>
          <t>Topic page</t>
        </is>
      </c>
      <c r="G171" s="37" t="inlineStr">
        <is>
          <t>none on this topic</t>
        </is>
      </c>
      <c r="H171" s="39" t="n"/>
      <c r="I171" s="40" t="inlineStr">
        <is>
          <t>none for this topic</t>
        </is>
      </c>
      <c r="J171" s="37" t="inlineStr">
        <is>
          <t>none on this topic</t>
        </is>
      </c>
      <c r="K171" s="39" t="n"/>
      <c r="L171" s="39" t="n"/>
      <c r="M171" s="40" t="inlineStr">
        <is>
          <t>none for this topic</t>
        </is>
      </c>
      <c r="N171" s="37" t="inlineStr">
        <is>
          <t>none on this topic</t>
        </is>
      </c>
      <c r="O171" s="39" t="n"/>
      <c r="P171" t="inlineStr">
        <is>
          <t>P12</t>
        </is>
      </c>
    </row>
    <row r="172" outlineLevel="1" ht="20" customHeight="1">
      <c r="A172" s="31" t="inlineStr">
        <is>
          <t>Me6</t>
        </is>
      </c>
      <c r="B172" s="32" t="inlineStr">
        <is>
          <t>Numerical methods to solve problems</t>
        </is>
      </c>
      <c r="C172" s="38" t="n">
        <v>2</v>
      </c>
      <c r="D172" s="34" t="n"/>
      <c r="E172" s="35" t="n"/>
      <c r="F172" s="36" t="inlineStr">
        <is>
          <t>▶ Watch</t>
        </is>
      </c>
      <c r="G172" s="36" t="inlineStr">
        <is>
          <t>Q 13</t>
        </is>
      </c>
      <c r="H172" s="36" t="inlineStr">
        <is>
          <t>Answers</t>
        </is>
      </c>
      <c r="I172" s="35" t="inlineStr">
        <is>
          <t>Edexcel: Iterative Equations</t>
        </is>
      </c>
      <c r="J172" s="36" t="inlineStr">
        <is>
          <t>Page 2</t>
        </is>
      </c>
      <c r="K172" s="36" t="inlineStr">
        <is>
          <t>Marks</t>
        </is>
      </c>
      <c r="L172" s="36" t="inlineStr">
        <is>
          <t>Answers</t>
        </is>
      </c>
      <c r="M172" s="40" t="inlineStr">
        <is>
          <t>none for this topic</t>
        </is>
      </c>
      <c r="N172" s="37" t="inlineStr">
        <is>
          <t>none on this topic</t>
        </is>
      </c>
      <c r="O172" s="39" t="n"/>
      <c r="P172" t="inlineStr">
        <is>
          <t>P12</t>
        </is>
      </c>
    </row>
    <row r="173" ht="10" customHeight="1"/>
    <row r="174" ht="26" customHeight="1">
      <c r="A174" s="27" t="n">
        <v>13</v>
      </c>
      <c r="B174" s="28" t="inlineStr">
        <is>
          <t>Vectors</t>
        </is>
      </c>
      <c r="C174" s="29" t="n"/>
      <c r="D174" s="29" t="n"/>
      <c r="E174" s="30" t="inlineStr">
        <is>
          <t>7 topics  ·  Year 1: 6  ·  Year 2: 1</t>
        </is>
      </c>
      <c r="F174" s="29" t="n"/>
      <c r="G174" s="29" t="n"/>
      <c r="H174" s="29" t="n"/>
      <c r="I174" s="29" t="n"/>
      <c r="J174" s="29" t="n"/>
      <c r="K174" s="29" t="n"/>
      <c r="L174" s="29" t="n"/>
      <c r="M174" s="29" t="n"/>
      <c r="N174" s="29" t="n"/>
      <c r="O174" s="29" t="n"/>
    </row>
    <row r="175" outlineLevel="1" ht="32" customHeight="1">
      <c r="A175" s="31" t="inlineStr">
        <is>
          <t>Mv1</t>
        </is>
      </c>
      <c r="B175" s="32" t="inlineStr">
        <is>
          <t>Language of vectors in two dimensions</t>
        </is>
      </c>
      <c r="C175" s="33" t="n">
        <v>1</v>
      </c>
      <c r="D175" s="34" t="n"/>
      <c r="E175" s="35" t="n"/>
      <c r="F175" s="36" t="inlineStr">
        <is>
          <t>▶ Watch</t>
        </is>
      </c>
      <c r="G175" s="36" t="inlineStr">
        <is>
          <t>Q 8, 9, 11</t>
        </is>
      </c>
      <c r="H175" s="36" t="inlineStr">
        <is>
          <t>Answers</t>
        </is>
      </c>
      <c r="I175" s="35" t="inlineStr">
        <is>
          <t>Solomon: Cartesian components of a vector</t>
        </is>
      </c>
      <c r="J175" s="36" t="inlineStr">
        <is>
          <t>Q 5, 6, 8, 9</t>
        </is>
      </c>
      <c r="K175" s="37" t="inlineStr">
        <is>
          <t>none</t>
        </is>
      </c>
      <c r="L175" s="36" t="inlineStr">
        <is>
          <t>Answers</t>
        </is>
      </c>
      <c r="M175" s="35" t="inlineStr">
        <is>
          <t>Vectors (Yr. 1)</t>
        </is>
      </c>
      <c r="N175" s="36" t="inlineStr">
        <is>
          <t>Page 1</t>
        </is>
      </c>
      <c r="O175" s="36" t="inlineStr">
        <is>
          <t>Marks</t>
        </is>
      </c>
      <c r="P175" t="inlineStr">
        <is>
          <t>P13</t>
        </is>
      </c>
    </row>
    <row r="176" outlineLevel="1" ht="20" customHeight="1">
      <c r="A176" s="31" t="inlineStr">
        <is>
          <t>Mv2</t>
        </is>
      </c>
      <c r="B176" s="32" t="inlineStr">
        <is>
          <t>Add, subtract and scale vectors</t>
        </is>
      </c>
      <c r="C176" s="33" t="n">
        <v>1</v>
      </c>
      <c r="D176" s="34" t="n"/>
      <c r="E176" s="35" t="n"/>
      <c r="F176" s="36" t="inlineStr">
        <is>
          <t>Topic page</t>
        </is>
      </c>
      <c r="G176" s="36" t="inlineStr">
        <is>
          <t>Q 1, 4, 6, 8, 9</t>
        </is>
      </c>
      <c r="H176" s="36" t="inlineStr">
        <is>
          <t>Answers</t>
        </is>
      </c>
      <c r="I176" s="35" t="inlineStr">
        <is>
          <t>Solomon: Vectors</t>
        </is>
      </c>
      <c r="J176" s="36" t="inlineStr">
        <is>
          <t>Q 1, 2, 4, 5, 7–10</t>
        </is>
      </c>
      <c r="K176" s="37" t="inlineStr">
        <is>
          <t>none</t>
        </is>
      </c>
      <c r="L176" s="36" t="inlineStr">
        <is>
          <t>Answers</t>
        </is>
      </c>
      <c r="M176" s="35" t="inlineStr">
        <is>
          <t>Vectors (Yr. 1)</t>
        </is>
      </c>
      <c r="N176" s="36" t="inlineStr">
        <is>
          <t>Page 1</t>
        </is>
      </c>
      <c r="O176" s="36" t="inlineStr">
        <is>
          <t>Marks</t>
        </is>
      </c>
      <c r="P176" t="inlineStr">
        <is>
          <t>P13</t>
        </is>
      </c>
    </row>
    <row r="177" outlineLevel="1" ht="32" customHeight="1">
      <c r="A177" s="31" t="inlineStr">
        <is>
          <t>Mv3</t>
        </is>
      </c>
      <c r="B177" s="32" t="inlineStr">
        <is>
          <t>Magnitude and direction of a vector</t>
        </is>
      </c>
      <c r="C177" s="33" t="n">
        <v>1</v>
      </c>
      <c r="D177" s="34" t="n"/>
      <c r="E177" s="35" t="n"/>
      <c r="F177" s="36" t="inlineStr">
        <is>
          <t>▶ Watch</t>
        </is>
      </c>
      <c r="G177" s="36" t="inlineStr">
        <is>
          <t>Q 1–3, 5, 7</t>
        </is>
      </c>
      <c r="H177" s="36" t="inlineStr">
        <is>
          <t>Answers</t>
        </is>
      </c>
      <c r="I177" s="35" t="inlineStr">
        <is>
          <t>Solomon: Cartesian components of a vector</t>
        </is>
      </c>
      <c r="J177" s="36" t="inlineStr">
        <is>
          <t>Q 3, 4, 6, 8</t>
        </is>
      </c>
      <c r="K177" s="37" t="inlineStr">
        <is>
          <t>none</t>
        </is>
      </c>
      <c r="L177" s="36" t="inlineStr">
        <is>
          <t>Answers</t>
        </is>
      </c>
      <c r="M177" s="35" t="inlineStr">
        <is>
          <t>Vectors (Yr. 2)</t>
        </is>
      </c>
      <c r="N177" s="36" t="inlineStr">
        <is>
          <t>Pages 1, 2</t>
        </is>
      </c>
      <c r="O177" s="36" t="inlineStr">
        <is>
          <t>Marks</t>
        </is>
      </c>
      <c r="P177" t="inlineStr">
        <is>
          <t>P13</t>
        </is>
      </c>
    </row>
    <row r="178" outlineLevel="1" ht="32" customHeight="1">
      <c r="A178" s="31" t="inlineStr">
        <is>
          <t>Mv4</t>
        </is>
      </c>
      <c r="B178" s="32" t="inlineStr">
        <is>
          <t>Position vectors</t>
        </is>
      </c>
      <c r="C178" s="33" t="n">
        <v>1</v>
      </c>
      <c r="D178" s="34" t="n"/>
      <c r="E178" s="35" t="n"/>
      <c r="F178" s="36" t="inlineStr">
        <is>
          <t>▶ Watch</t>
        </is>
      </c>
      <c r="G178" s="36" t="inlineStr">
        <is>
          <t>Q 2, 3, 5, 9, 10</t>
        </is>
      </c>
      <c r="H178" s="36" t="inlineStr">
        <is>
          <t>Answers</t>
        </is>
      </c>
      <c r="I178" s="35" t="inlineStr">
        <is>
          <t>Solomon: Cartesian components of a vector</t>
        </is>
      </c>
      <c r="J178" s="36" t="inlineStr">
        <is>
          <t>Q 1, 10</t>
        </is>
      </c>
      <c r="K178" s="37" t="inlineStr">
        <is>
          <t>none</t>
        </is>
      </c>
      <c r="L178" s="36" t="inlineStr">
        <is>
          <t>Answers</t>
        </is>
      </c>
      <c r="M178" s="35" t="inlineStr">
        <is>
          <t>Vectors (Yr. 1)</t>
        </is>
      </c>
      <c r="N178" s="36" t="inlineStr">
        <is>
          <t>Page 1</t>
        </is>
      </c>
      <c r="O178" s="36" t="inlineStr">
        <is>
          <t>Marks</t>
        </is>
      </c>
      <c r="P178" t="inlineStr">
        <is>
          <t>P13</t>
        </is>
      </c>
    </row>
    <row r="179" outlineLevel="1" ht="32" customHeight="1">
      <c r="A179" s="31" t="inlineStr">
        <is>
          <t>Mv5</t>
        </is>
      </c>
      <c r="B179" s="32" t="inlineStr">
        <is>
          <t>Distance between points by position vectors</t>
        </is>
      </c>
      <c r="C179" s="33" t="n">
        <v>1</v>
      </c>
      <c r="D179" s="34" t="n"/>
      <c r="E179" s="35" t="n"/>
      <c r="F179" s="36" t="inlineStr">
        <is>
          <t>Topic page</t>
        </is>
      </c>
      <c r="G179" s="36" t="inlineStr">
        <is>
          <t>Q 2, 3, 5, 9</t>
        </is>
      </c>
      <c r="H179" s="36" t="inlineStr">
        <is>
          <t>Answers</t>
        </is>
      </c>
      <c r="I179" s="35" t="inlineStr">
        <is>
          <t>Solomon: Cartesian components of a vector</t>
        </is>
      </c>
      <c r="J179" s="36" t="inlineStr">
        <is>
          <t>Q 10, 11</t>
        </is>
      </c>
      <c r="K179" s="37" t="inlineStr">
        <is>
          <t>none</t>
        </is>
      </c>
      <c r="L179" s="36" t="inlineStr">
        <is>
          <t>Answers</t>
        </is>
      </c>
      <c r="M179" s="35" t="inlineStr">
        <is>
          <t>Vectors (Yr. 1)</t>
        </is>
      </c>
      <c r="N179" s="36" t="inlineStr">
        <is>
          <t>Page 1</t>
        </is>
      </c>
      <c r="O179" s="36" t="inlineStr">
        <is>
          <t>Marks</t>
        </is>
      </c>
      <c r="P179" t="inlineStr">
        <is>
          <t>P13</t>
        </is>
      </c>
    </row>
    <row r="180" outlineLevel="1" ht="20" customHeight="1">
      <c r="A180" s="31" t="inlineStr">
        <is>
          <t>Mv6</t>
        </is>
      </c>
      <c r="B180" s="32" t="inlineStr">
        <is>
          <t>Vectors to solve problems</t>
        </is>
      </c>
      <c r="C180" s="33" t="n">
        <v>1</v>
      </c>
      <c r="D180" s="34" t="n"/>
      <c r="E180" s="35" t="n"/>
      <c r="F180" s="36" t="inlineStr">
        <is>
          <t>▶ Watch</t>
        </is>
      </c>
      <c r="G180" s="36" t="inlineStr">
        <is>
          <t>Q 1, 4, 8–11</t>
        </is>
      </c>
      <c r="H180" s="36" t="inlineStr">
        <is>
          <t>Answers</t>
        </is>
      </c>
      <c r="I180" s="35" t="inlineStr">
        <is>
          <t>Edexcel: Vectors</t>
        </is>
      </c>
      <c r="J180" s="36" t="inlineStr">
        <is>
          <t>Pages 1–3, 7</t>
        </is>
      </c>
      <c r="K180" s="36" t="inlineStr">
        <is>
          <t>Marks</t>
        </is>
      </c>
      <c r="L180" s="36" t="inlineStr">
        <is>
          <t>Answers</t>
        </is>
      </c>
      <c r="M180" s="35" t="inlineStr">
        <is>
          <t>Vectors (Yr. 1)</t>
        </is>
      </c>
      <c r="N180" s="36" t="inlineStr">
        <is>
          <t>Page 1</t>
        </is>
      </c>
      <c r="O180" s="36" t="inlineStr">
        <is>
          <t>Marks</t>
        </is>
      </c>
      <c r="P180" t="inlineStr">
        <is>
          <t>P13</t>
        </is>
      </c>
    </row>
    <row r="181" outlineLevel="1" ht="32" customHeight="1">
      <c r="A181" s="31" t="inlineStr">
        <is>
          <t>Mv7</t>
        </is>
      </c>
      <c r="B181" s="32" t="inlineStr">
        <is>
          <t>Language of vectors in three dimensions</t>
        </is>
      </c>
      <c r="C181" s="38" t="n">
        <v>2</v>
      </c>
      <c r="D181" s="34" t="n"/>
      <c r="E181" s="35" t="n"/>
      <c r="F181" s="36" t="inlineStr">
        <is>
          <t>▶ Watch</t>
        </is>
      </c>
      <c r="G181" s="36" t="inlineStr">
        <is>
          <t>Q 1, 3, 5, 7–10, 12</t>
        </is>
      </c>
      <c r="H181" s="36" t="inlineStr">
        <is>
          <t>Answers</t>
        </is>
      </c>
      <c r="I181" s="35" t="inlineStr">
        <is>
          <t>Solomon: Cartesian components of a vector</t>
        </is>
      </c>
      <c r="J181" s="36" t="inlineStr">
        <is>
          <t>Q 11–13, 15–18, 20</t>
        </is>
      </c>
      <c r="K181" s="37" t="inlineStr">
        <is>
          <t>none</t>
        </is>
      </c>
      <c r="L181" s="36" t="inlineStr">
        <is>
          <t>Answers</t>
        </is>
      </c>
      <c r="M181" s="35" t="inlineStr">
        <is>
          <t>Vectors (Yr. 2)</t>
        </is>
      </c>
      <c r="N181" s="36" t="inlineStr">
        <is>
          <t>Pages 1, 2</t>
        </is>
      </c>
      <c r="O181" s="36" t="inlineStr">
        <is>
          <t>Marks</t>
        </is>
      </c>
      <c r="P181" t="inlineStr">
        <is>
          <t>P13</t>
        </is>
      </c>
    </row>
  </sheetData>
  <mergeCells count="4">
    <mergeCell ref="M5:O5"/>
    <mergeCell ref="A5:E5"/>
    <mergeCell ref="F5:H5"/>
    <mergeCell ref="I5:L5"/>
  </mergeCells>
  <conditionalFormatting sqref="D7:D181">
    <cfRule type="cellIs" priority="1" operator="equal" dxfId="0">
      <formula>"R"</formula>
    </cfRule>
    <cfRule type="cellIs" priority="3" operator="equal" dxfId="1">
      <formula>"A"</formula>
    </cfRule>
    <cfRule type="cellIs" priority="5" operator="equal" dxfId="2">
      <formula>"G"</formula>
    </cfRule>
  </conditionalFormatting>
  <conditionalFormatting sqref="B7:B181">
    <cfRule type="expression" priority="2" dxfId="3">
      <formula>$D7="R"</formula>
    </cfRule>
    <cfRule type="expression" priority="4" dxfId="4">
      <formula>$D7="A"</formula>
    </cfRule>
    <cfRule type="expression" priority="6" dxfId="5">
      <formula>$D7="G"</formula>
    </cfRule>
  </conditionalFormatting>
  <dataValidations count="1">
    <dataValidation sqref="D7:D181"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K9" r:id="rId5"/>
    <hyperlink xmlns:r="http://schemas.openxmlformats.org/officeDocument/2006/relationships" ref="L9" r:id="rId6"/>
    <hyperlink xmlns:r="http://schemas.openxmlformats.org/officeDocument/2006/relationships" ref="N9" r:id="rId7"/>
    <hyperlink xmlns:r="http://schemas.openxmlformats.org/officeDocument/2006/relationships" ref="O9" r:id="rId8"/>
    <hyperlink xmlns:r="http://schemas.openxmlformats.org/officeDocument/2006/relationships" ref="F10" r:id="rId9"/>
    <hyperlink xmlns:r="http://schemas.openxmlformats.org/officeDocument/2006/relationships" ref="G10" r:id="rId10"/>
    <hyperlink xmlns:r="http://schemas.openxmlformats.org/officeDocument/2006/relationships" ref="H10" r:id="rId11"/>
    <hyperlink xmlns:r="http://schemas.openxmlformats.org/officeDocument/2006/relationships" ref="J10" r:id="rId12"/>
    <hyperlink xmlns:r="http://schemas.openxmlformats.org/officeDocument/2006/relationships" ref="L10" r:id="rId13"/>
    <hyperlink xmlns:r="http://schemas.openxmlformats.org/officeDocument/2006/relationships" ref="N10" r:id="rId14"/>
    <hyperlink xmlns:r="http://schemas.openxmlformats.org/officeDocument/2006/relationships" ref="O10" r:id="rId15"/>
    <hyperlink xmlns:r="http://schemas.openxmlformats.org/officeDocument/2006/relationships" ref="F11" r:id="rId16"/>
    <hyperlink xmlns:r="http://schemas.openxmlformats.org/officeDocument/2006/relationships" ref="G11" r:id="rId17"/>
    <hyperlink xmlns:r="http://schemas.openxmlformats.org/officeDocument/2006/relationships" ref="H11" r:id="rId18"/>
    <hyperlink xmlns:r="http://schemas.openxmlformats.org/officeDocument/2006/relationships" ref="J11" r:id="rId19"/>
    <hyperlink xmlns:r="http://schemas.openxmlformats.org/officeDocument/2006/relationships" ref="L11" r:id="rId20"/>
    <hyperlink xmlns:r="http://schemas.openxmlformats.org/officeDocument/2006/relationships" ref="N11" r:id="rId21"/>
    <hyperlink xmlns:r="http://schemas.openxmlformats.org/officeDocument/2006/relationships" ref="O11" r:id="rId22"/>
    <hyperlink xmlns:r="http://schemas.openxmlformats.org/officeDocument/2006/relationships" ref="F14" r:id="rId23"/>
    <hyperlink xmlns:r="http://schemas.openxmlformats.org/officeDocument/2006/relationships" ref="F15" r:id="rId24"/>
    <hyperlink xmlns:r="http://schemas.openxmlformats.org/officeDocument/2006/relationships" ref="G15" r:id="rId25"/>
    <hyperlink xmlns:r="http://schemas.openxmlformats.org/officeDocument/2006/relationships" ref="H15" r:id="rId26"/>
    <hyperlink xmlns:r="http://schemas.openxmlformats.org/officeDocument/2006/relationships" ref="J15" r:id="rId27"/>
    <hyperlink xmlns:r="http://schemas.openxmlformats.org/officeDocument/2006/relationships" ref="L15" r:id="rId28"/>
    <hyperlink xmlns:r="http://schemas.openxmlformats.org/officeDocument/2006/relationships" ref="N15" r:id="rId29"/>
    <hyperlink xmlns:r="http://schemas.openxmlformats.org/officeDocument/2006/relationships" ref="O15" r:id="rId30"/>
    <hyperlink xmlns:r="http://schemas.openxmlformats.org/officeDocument/2006/relationships" ref="F16" r:id="rId31"/>
    <hyperlink xmlns:r="http://schemas.openxmlformats.org/officeDocument/2006/relationships" ref="G16" r:id="rId32"/>
    <hyperlink xmlns:r="http://schemas.openxmlformats.org/officeDocument/2006/relationships" ref="H16" r:id="rId33"/>
    <hyperlink xmlns:r="http://schemas.openxmlformats.org/officeDocument/2006/relationships" ref="J16" r:id="rId34"/>
    <hyperlink xmlns:r="http://schemas.openxmlformats.org/officeDocument/2006/relationships" ref="N16" r:id="rId35"/>
    <hyperlink xmlns:r="http://schemas.openxmlformats.org/officeDocument/2006/relationships" ref="O16" r:id="rId36"/>
    <hyperlink xmlns:r="http://schemas.openxmlformats.org/officeDocument/2006/relationships" ref="F17" r:id="rId37"/>
    <hyperlink xmlns:r="http://schemas.openxmlformats.org/officeDocument/2006/relationships" ref="G17" r:id="rId38"/>
    <hyperlink xmlns:r="http://schemas.openxmlformats.org/officeDocument/2006/relationships" ref="H17" r:id="rId39"/>
    <hyperlink xmlns:r="http://schemas.openxmlformats.org/officeDocument/2006/relationships" ref="J17" r:id="rId40"/>
    <hyperlink xmlns:r="http://schemas.openxmlformats.org/officeDocument/2006/relationships" ref="L17" r:id="rId41"/>
    <hyperlink xmlns:r="http://schemas.openxmlformats.org/officeDocument/2006/relationships" ref="N17" r:id="rId42"/>
    <hyperlink xmlns:r="http://schemas.openxmlformats.org/officeDocument/2006/relationships" ref="O17" r:id="rId43"/>
    <hyperlink xmlns:r="http://schemas.openxmlformats.org/officeDocument/2006/relationships" ref="F18" r:id="rId44"/>
    <hyperlink xmlns:r="http://schemas.openxmlformats.org/officeDocument/2006/relationships" ref="G18" r:id="rId45"/>
    <hyperlink xmlns:r="http://schemas.openxmlformats.org/officeDocument/2006/relationships" ref="H18" r:id="rId46"/>
    <hyperlink xmlns:r="http://schemas.openxmlformats.org/officeDocument/2006/relationships" ref="J18" r:id="rId47"/>
    <hyperlink xmlns:r="http://schemas.openxmlformats.org/officeDocument/2006/relationships" ref="N18" r:id="rId48"/>
    <hyperlink xmlns:r="http://schemas.openxmlformats.org/officeDocument/2006/relationships" ref="O18" r:id="rId49"/>
    <hyperlink xmlns:r="http://schemas.openxmlformats.org/officeDocument/2006/relationships" ref="F19" r:id="rId50"/>
    <hyperlink xmlns:r="http://schemas.openxmlformats.org/officeDocument/2006/relationships" ref="G19" r:id="rId51"/>
    <hyperlink xmlns:r="http://schemas.openxmlformats.org/officeDocument/2006/relationships" ref="H19" r:id="rId52"/>
    <hyperlink xmlns:r="http://schemas.openxmlformats.org/officeDocument/2006/relationships" ref="J19" r:id="rId53"/>
    <hyperlink xmlns:r="http://schemas.openxmlformats.org/officeDocument/2006/relationships" ref="K19" r:id="rId54"/>
    <hyperlink xmlns:r="http://schemas.openxmlformats.org/officeDocument/2006/relationships" ref="L19" r:id="rId55"/>
    <hyperlink xmlns:r="http://schemas.openxmlformats.org/officeDocument/2006/relationships" ref="N19" r:id="rId56"/>
    <hyperlink xmlns:r="http://schemas.openxmlformats.org/officeDocument/2006/relationships" ref="O19" r:id="rId57"/>
    <hyperlink xmlns:r="http://schemas.openxmlformats.org/officeDocument/2006/relationships" ref="F20" r:id="rId58"/>
    <hyperlink xmlns:r="http://schemas.openxmlformats.org/officeDocument/2006/relationships" ref="G20" r:id="rId59"/>
    <hyperlink xmlns:r="http://schemas.openxmlformats.org/officeDocument/2006/relationships" ref="H20" r:id="rId60"/>
    <hyperlink xmlns:r="http://schemas.openxmlformats.org/officeDocument/2006/relationships" ref="J20" r:id="rId61"/>
    <hyperlink xmlns:r="http://schemas.openxmlformats.org/officeDocument/2006/relationships" ref="N20" r:id="rId62"/>
    <hyperlink xmlns:r="http://schemas.openxmlformats.org/officeDocument/2006/relationships" ref="O20" r:id="rId63"/>
    <hyperlink xmlns:r="http://schemas.openxmlformats.org/officeDocument/2006/relationships" ref="F21" r:id="rId64"/>
    <hyperlink xmlns:r="http://schemas.openxmlformats.org/officeDocument/2006/relationships" ref="G21" r:id="rId65"/>
    <hyperlink xmlns:r="http://schemas.openxmlformats.org/officeDocument/2006/relationships" ref="H21" r:id="rId66"/>
    <hyperlink xmlns:r="http://schemas.openxmlformats.org/officeDocument/2006/relationships" ref="J21" r:id="rId67"/>
    <hyperlink xmlns:r="http://schemas.openxmlformats.org/officeDocument/2006/relationships" ref="N21" r:id="rId68"/>
    <hyperlink xmlns:r="http://schemas.openxmlformats.org/officeDocument/2006/relationships" ref="O21" r:id="rId69"/>
    <hyperlink xmlns:r="http://schemas.openxmlformats.org/officeDocument/2006/relationships" ref="F22" r:id="rId70"/>
    <hyperlink xmlns:r="http://schemas.openxmlformats.org/officeDocument/2006/relationships" ref="G22" r:id="rId71"/>
    <hyperlink xmlns:r="http://schemas.openxmlformats.org/officeDocument/2006/relationships" ref="H22" r:id="rId72"/>
    <hyperlink xmlns:r="http://schemas.openxmlformats.org/officeDocument/2006/relationships" ref="J22" r:id="rId73"/>
    <hyperlink xmlns:r="http://schemas.openxmlformats.org/officeDocument/2006/relationships" ref="N22" r:id="rId74"/>
    <hyperlink xmlns:r="http://schemas.openxmlformats.org/officeDocument/2006/relationships" ref="O22" r:id="rId75"/>
    <hyperlink xmlns:r="http://schemas.openxmlformats.org/officeDocument/2006/relationships" ref="F23" r:id="rId76"/>
    <hyperlink xmlns:r="http://schemas.openxmlformats.org/officeDocument/2006/relationships" ref="G23" r:id="rId77"/>
    <hyperlink xmlns:r="http://schemas.openxmlformats.org/officeDocument/2006/relationships" ref="H23" r:id="rId78"/>
    <hyperlink xmlns:r="http://schemas.openxmlformats.org/officeDocument/2006/relationships" ref="J23" r:id="rId79"/>
    <hyperlink xmlns:r="http://schemas.openxmlformats.org/officeDocument/2006/relationships" ref="L23" r:id="rId80"/>
    <hyperlink xmlns:r="http://schemas.openxmlformats.org/officeDocument/2006/relationships" ref="N23" r:id="rId81"/>
    <hyperlink xmlns:r="http://schemas.openxmlformats.org/officeDocument/2006/relationships" ref="O23" r:id="rId82"/>
    <hyperlink xmlns:r="http://schemas.openxmlformats.org/officeDocument/2006/relationships" ref="F24" r:id="rId83"/>
    <hyperlink xmlns:r="http://schemas.openxmlformats.org/officeDocument/2006/relationships" ref="G24" r:id="rId84"/>
    <hyperlink xmlns:r="http://schemas.openxmlformats.org/officeDocument/2006/relationships" ref="H24" r:id="rId85"/>
    <hyperlink xmlns:r="http://schemas.openxmlformats.org/officeDocument/2006/relationships" ref="J24" r:id="rId86"/>
    <hyperlink xmlns:r="http://schemas.openxmlformats.org/officeDocument/2006/relationships" ref="L24" r:id="rId87"/>
    <hyperlink xmlns:r="http://schemas.openxmlformats.org/officeDocument/2006/relationships" ref="N24" r:id="rId88"/>
    <hyperlink xmlns:r="http://schemas.openxmlformats.org/officeDocument/2006/relationships" ref="O24" r:id="rId89"/>
    <hyperlink xmlns:r="http://schemas.openxmlformats.org/officeDocument/2006/relationships" ref="F25" r:id="rId90"/>
    <hyperlink xmlns:r="http://schemas.openxmlformats.org/officeDocument/2006/relationships" ref="G25" r:id="rId91"/>
    <hyperlink xmlns:r="http://schemas.openxmlformats.org/officeDocument/2006/relationships" ref="H25" r:id="rId92"/>
    <hyperlink xmlns:r="http://schemas.openxmlformats.org/officeDocument/2006/relationships" ref="J25" r:id="rId93"/>
    <hyperlink xmlns:r="http://schemas.openxmlformats.org/officeDocument/2006/relationships" ref="L25" r:id="rId94"/>
    <hyperlink xmlns:r="http://schemas.openxmlformats.org/officeDocument/2006/relationships" ref="N25" r:id="rId95"/>
    <hyperlink xmlns:r="http://schemas.openxmlformats.org/officeDocument/2006/relationships" ref="O25" r:id="rId96"/>
    <hyperlink xmlns:r="http://schemas.openxmlformats.org/officeDocument/2006/relationships" ref="F26" r:id="rId97"/>
    <hyperlink xmlns:r="http://schemas.openxmlformats.org/officeDocument/2006/relationships" ref="G26" r:id="rId98"/>
    <hyperlink xmlns:r="http://schemas.openxmlformats.org/officeDocument/2006/relationships" ref="H26" r:id="rId99"/>
    <hyperlink xmlns:r="http://schemas.openxmlformats.org/officeDocument/2006/relationships" ref="J26" r:id="rId100"/>
    <hyperlink xmlns:r="http://schemas.openxmlformats.org/officeDocument/2006/relationships" ref="L26" r:id="rId101"/>
    <hyperlink xmlns:r="http://schemas.openxmlformats.org/officeDocument/2006/relationships" ref="N26" r:id="rId102"/>
    <hyperlink xmlns:r="http://schemas.openxmlformats.org/officeDocument/2006/relationships" ref="O26" r:id="rId103"/>
    <hyperlink xmlns:r="http://schemas.openxmlformats.org/officeDocument/2006/relationships" ref="F27" r:id="rId104"/>
    <hyperlink xmlns:r="http://schemas.openxmlformats.org/officeDocument/2006/relationships" ref="G27" r:id="rId105"/>
    <hyperlink xmlns:r="http://schemas.openxmlformats.org/officeDocument/2006/relationships" ref="H27" r:id="rId106"/>
    <hyperlink xmlns:r="http://schemas.openxmlformats.org/officeDocument/2006/relationships" ref="F28" r:id="rId107"/>
    <hyperlink xmlns:r="http://schemas.openxmlformats.org/officeDocument/2006/relationships" ref="G28" r:id="rId108"/>
    <hyperlink xmlns:r="http://schemas.openxmlformats.org/officeDocument/2006/relationships" ref="H28" r:id="rId109"/>
    <hyperlink xmlns:r="http://schemas.openxmlformats.org/officeDocument/2006/relationships" ref="J28" r:id="rId110"/>
    <hyperlink xmlns:r="http://schemas.openxmlformats.org/officeDocument/2006/relationships" ref="K28" r:id="rId111"/>
    <hyperlink xmlns:r="http://schemas.openxmlformats.org/officeDocument/2006/relationships" ref="L28" r:id="rId112"/>
    <hyperlink xmlns:r="http://schemas.openxmlformats.org/officeDocument/2006/relationships" ref="N28" r:id="rId113"/>
    <hyperlink xmlns:r="http://schemas.openxmlformats.org/officeDocument/2006/relationships" ref="O28" r:id="rId114"/>
    <hyperlink xmlns:r="http://schemas.openxmlformats.org/officeDocument/2006/relationships" ref="F29" r:id="rId115"/>
    <hyperlink xmlns:r="http://schemas.openxmlformats.org/officeDocument/2006/relationships" ref="G29" r:id="rId116"/>
    <hyperlink xmlns:r="http://schemas.openxmlformats.org/officeDocument/2006/relationships" ref="H29" r:id="rId117"/>
    <hyperlink xmlns:r="http://schemas.openxmlformats.org/officeDocument/2006/relationships" ref="J29" r:id="rId118"/>
    <hyperlink xmlns:r="http://schemas.openxmlformats.org/officeDocument/2006/relationships" ref="L29" r:id="rId119"/>
    <hyperlink xmlns:r="http://schemas.openxmlformats.org/officeDocument/2006/relationships" ref="N29" r:id="rId120"/>
    <hyperlink xmlns:r="http://schemas.openxmlformats.org/officeDocument/2006/relationships" ref="O29" r:id="rId121"/>
    <hyperlink xmlns:r="http://schemas.openxmlformats.org/officeDocument/2006/relationships" ref="F32" r:id="rId122"/>
    <hyperlink xmlns:r="http://schemas.openxmlformats.org/officeDocument/2006/relationships" ref="G32" r:id="rId123"/>
    <hyperlink xmlns:r="http://schemas.openxmlformats.org/officeDocument/2006/relationships" ref="H32" r:id="rId124"/>
    <hyperlink xmlns:r="http://schemas.openxmlformats.org/officeDocument/2006/relationships" ref="J32" r:id="rId125"/>
    <hyperlink xmlns:r="http://schemas.openxmlformats.org/officeDocument/2006/relationships" ref="L32" r:id="rId126"/>
    <hyperlink xmlns:r="http://schemas.openxmlformats.org/officeDocument/2006/relationships" ref="N32" r:id="rId127"/>
    <hyperlink xmlns:r="http://schemas.openxmlformats.org/officeDocument/2006/relationships" ref="O32" r:id="rId128"/>
    <hyperlink xmlns:r="http://schemas.openxmlformats.org/officeDocument/2006/relationships" ref="F33" r:id="rId129"/>
    <hyperlink xmlns:r="http://schemas.openxmlformats.org/officeDocument/2006/relationships" ref="G33" r:id="rId130"/>
    <hyperlink xmlns:r="http://schemas.openxmlformats.org/officeDocument/2006/relationships" ref="H33" r:id="rId131"/>
    <hyperlink xmlns:r="http://schemas.openxmlformats.org/officeDocument/2006/relationships" ref="J33" r:id="rId132"/>
    <hyperlink xmlns:r="http://schemas.openxmlformats.org/officeDocument/2006/relationships" ref="K33" r:id="rId133"/>
    <hyperlink xmlns:r="http://schemas.openxmlformats.org/officeDocument/2006/relationships" ref="L33" r:id="rId134"/>
    <hyperlink xmlns:r="http://schemas.openxmlformats.org/officeDocument/2006/relationships" ref="N33" r:id="rId135"/>
    <hyperlink xmlns:r="http://schemas.openxmlformats.org/officeDocument/2006/relationships" ref="O33" r:id="rId136"/>
    <hyperlink xmlns:r="http://schemas.openxmlformats.org/officeDocument/2006/relationships" ref="F34" r:id="rId137"/>
    <hyperlink xmlns:r="http://schemas.openxmlformats.org/officeDocument/2006/relationships" ref="G34" r:id="rId138"/>
    <hyperlink xmlns:r="http://schemas.openxmlformats.org/officeDocument/2006/relationships" ref="H34" r:id="rId139"/>
    <hyperlink xmlns:r="http://schemas.openxmlformats.org/officeDocument/2006/relationships" ref="J34" r:id="rId140"/>
    <hyperlink xmlns:r="http://schemas.openxmlformats.org/officeDocument/2006/relationships" ref="L34" r:id="rId141"/>
    <hyperlink xmlns:r="http://schemas.openxmlformats.org/officeDocument/2006/relationships" ref="N34" r:id="rId142"/>
    <hyperlink xmlns:r="http://schemas.openxmlformats.org/officeDocument/2006/relationships" ref="O34" r:id="rId143"/>
    <hyperlink xmlns:r="http://schemas.openxmlformats.org/officeDocument/2006/relationships" ref="F35" r:id="rId144"/>
    <hyperlink xmlns:r="http://schemas.openxmlformats.org/officeDocument/2006/relationships" ref="G35" r:id="rId145"/>
    <hyperlink xmlns:r="http://schemas.openxmlformats.org/officeDocument/2006/relationships" ref="H35" r:id="rId146"/>
    <hyperlink xmlns:r="http://schemas.openxmlformats.org/officeDocument/2006/relationships" ref="J35" r:id="rId147"/>
    <hyperlink xmlns:r="http://schemas.openxmlformats.org/officeDocument/2006/relationships" ref="L35" r:id="rId148"/>
    <hyperlink xmlns:r="http://schemas.openxmlformats.org/officeDocument/2006/relationships" ref="N35" r:id="rId149"/>
    <hyperlink xmlns:r="http://schemas.openxmlformats.org/officeDocument/2006/relationships" ref="O35" r:id="rId150"/>
    <hyperlink xmlns:r="http://schemas.openxmlformats.org/officeDocument/2006/relationships" ref="F36" r:id="rId151"/>
    <hyperlink xmlns:r="http://schemas.openxmlformats.org/officeDocument/2006/relationships" ref="G36" r:id="rId152"/>
    <hyperlink xmlns:r="http://schemas.openxmlformats.org/officeDocument/2006/relationships" ref="H36" r:id="rId153"/>
    <hyperlink xmlns:r="http://schemas.openxmlformats.org/officeDocument/2006/relationships" ref="J36" r:id="rId154"/>
    <hyperlink xmlns:r="http://schemas.openxmlformats.org/officeDocument/2006/relationships" ref="L36" r:id="rId155"/>
    <hyperlink xmlns:r="http://schemas.openxmlformats.org/officeDocument/2006/relationships" ref="N36" r:id="rId156"/>
    <hyperlink xmlns:r="http://schemas.openxmlformats.org/officeDocument/2006/relationships" ref="O36" r:id="rId157"/>
    <hyperlink xmlns:r="http://schemas.openxmlformats.org/officeDocument/2006/relationships" ref="F37" r:id="rId158"/>
    <hyperlink xmlns:r="http://schemas.openxmlformats.org/officeDocument/2006/relationships" ref="G37" r:id="rId159"/>
    <hyperlink xmlns:r="http://schemas.openxmlformats.org/officeDocument/2006/relationships" ref="H37" r:id="rId160"/>
    <hyperlink xmlns:r="http://schemas.openxmlformats.org/officeDocument/2006/relationships" ref="J37" r:id="rId161"/>
    <hyperlink xmlns:r="http://schemas.openxmlformats.org/officeDocument/2006/relationships" ref="K37" r:id="rId162"/>
    <hyperlink xmlns:r="http://schemas.openxmlformats.org/officeDocument/2006/relationships" ref="L37" r:id="rId163"/>
    <hyperlink xmlns:r="http://schemas.openxmlformats.org/officeDocument/2006/relationships" ref="N37" r:id="rId164"/>
    <hyperlink xmlns:r="http://schemas.openxmlformats.org/officeDocument/2006/relationships" ref="O37" r:id="rId165"/>
    <hyperlink xmlns:r="http://schemas.openxmlformats.org/officeDocument/2006/relationships" ref="F38" r:id="rId166"/>
    <hyperlink xmlns:r="http://schemas.openxmlformats.org/officeDocument/2006/relationships" ref="G38" r:id="rId167"/>
    <hyperlink xmlns:r="http://schemas.openxmlformats.org/officeDocument/2006/relationships" ref="H38" r:id="rId168"/>
    <hyperlink xmlns:r="http://schemas.openxmlformats.org/officeDocument/2006/relationships" ref="J38" r:id="rId169"/>
    <hyperlink xmlns:r="http://schemas.openxmlformats.org/officeDocument/2006/relationships" ref="L38" r:id="rId170"/>
    <hyperlink xmlns:r="http://schemas.openxmlformats.org/officeDocument/2006/relationships" ref="N38" r:id="rId171"/>
    <hyperlink xmlns:r="http://schemas.openxmlformats.org/officeDocument/2006/relationships" ref="O38" r:id="rId172"/>
    <hyperlink xmlns:r="http://schemas.openxmlformats.org/officeDocument/2006/relationships" ref="F39" r:id="rId173"/>
    <hyperlink xmlns:r="http://schemas.openxmlformats.org/officeDocument/2006/relationships" ref="G39" r:id="rId174"/>
    <hyperlink xmlns:r="http://schemas.openxmlformats.org/officeDocument/2006/relationships" ref="H39" r:id="rId175"/>
    <hyperlink xmlns:r="http://schemas.openxmlformats.org/officeDocument/2006/relationships" ref="J39" r:id="rId176"/>
    <hyperlink xmlns:r="http://schemas.openxmlformats.org/officeDocument/2006/relationships" ref="K39" r:id="rId177"/>
    <hyperlink xmlns:r="http://schemas.openxmlformats.org/officeDocument/2006/relationships" ref="L39" r:id="rId178"/>
    <hyperlink xmlns:r="http://schemas.openxmlformats.org/officeDocument/2006/relationships" ref="N39" r:id="rId179"/>
    <hyperlink xmlns:r="http://schemas.openxmlformats.org/officeDocument/2006/relationships" ref="O39" r:id="rId180"/>
    <hyperlink xmlns:r="http://schemas.openxmlformats.org/officeDocument/2006/relationships" ref="F42" r:id="rId181"/>
    <hyperlink xmlns:r="http://schemas.openxmlformats.org/officeDocument/2006/relationships" ref="G42" r:id="rId182"/>
    <hyperlink xmlns:r="http://schemas.openxmlformats.org/officeDocument/2006/relationships" ref="H42" r:id="rId183"/>
    <hyperlink xmlns:r="http://schemas.openxmlformats.org/officeDocument/2006/relationships" ref="J42" r:id="rId184"/>
    <hyperlink xmlns:r="http://schemas.openxmlformats.org/officeDocument/2006/relationships" ref="L42" r:id="rId185"/>
    <hyperlink xmlns:r="http://schemas.openxmlformats.org/officeDocument/2006/relationships" ref="N42" r:id="rId186"/>
    <hyperlink xmlns:r="http://schemas.openxmlformats.org/officeDocument/2006/relationships" ref="O42" r:id="rId187"/>
    <hyperlink xmlns:r="http://schemas.openxmlformats.org/officeDocument/2006/relationships" ref="F43" r:id="rId188"/>
    <hyperlink xmlns:r="http://schemas.openxmlformats.org/officeDocument/2006/relationships" ref="G43" r:id="rId189"/>
    <hyperlink xmlns:r="http://schemas.openxmlformats.org/officeDocument/2006/relationships" ref="H43" r:id="rId190"/>
    <hyperlink xmlns:r="http://schemas.openxmlformats.org/officeDocument/2006/relationships" ref="J43" r:id="rId191"/>
    <hyperlink xmlns:r="http://schemas.openxmlformats.org/officeDocument/2006/relationships" ref="L43" r:id="rId192"/>
    <hyperlink xmlns:r="http://schemas.openxmlformats.org/officeDocument/2006/relationships" ref="N43" r:id="rId193"/>
    <hyperlink xmlns:r="http://schemas.openxmlformats.org/officeDocument/2006/relationships" ref="O43" r:id="rId194"/>
    <hyperlink xmlns:r="http://schemas.openxmlformats.org/officeDocument/2006/relationships" ref="F44" r:id="rId195"/>
    <hyperlink xmlns:r="http://schemas.openxmlformats.org/officeDocument/2006/relationships" ref="G44" r:id="rId196"/>
    <hyperlink xmlns:r="http://schemas.openxmlformats.org/officeDocument/2006/relationships" ref="H44" r:id="rId197"/>
    <hyperlink xmlns:r="http://schemas.openxmlformats.org/officeDocument/2006/relationships" ref="J44" r:id="rId198"/>
    <hyperlink xmlns:r="http://schemas.openxmlformats.org/officeDocument/2006/relationships" ref="L44" r:id="rId199"/>
    <hyperlink xmlns:r="http://schemas.openxmlformats.org/officeDocument/2006/relationships" ref="N44" r:id="rId200"/>
    <hyperlink xmlns:r="http://schemas.openxmlformats.org/officeDocument/2006/relationships" ref="O44" r:id="rId201"/>
    <hyperlink xmlns:r="http://schemas.openxmlformats.org/officeDocument/2006/relationships" ref="F45" r:id="rId202"/>
    <hyperlink xmlns:r="http://schemas.openxmlformats.org/officeDocument/2006/relationships" ref="G45" r:id="rId203"/>
    <hyperlink xmlns:r="http://schemas.openxmlformats.org/officeDocument/2006/relationships" ref="H45" r:id="rId204"/>
    <hyperlink xmlns:r="http://schemas.openxmlformats.org/officeDocument/2006/relationships" ref="J45" r:id="rId205"/>
    <hyperlink xmlns:r="http://schemas.openxmlformats.org/officeDocument/2006/relationships" ref="N45" r:id="rId206"/>
    <hyperlink xmlns:r="http://schemas.openxmlformats.org/officeDocument/2006/relationships" ref="O45" r:id="rId207"/>
    <hyperlink xmlns:r="http://schemas.openxmlformats.org/officeDocument/2006/relationships" ref="F46" r:id="rId208"/>
    <hyperlink xmlns:r="http://schemas.openxmlformats.org/officeDocument/2006/relationships" ref="G46" r:id="rId209"/>
    <hyperlink xmlns:r="http://schemas.openxmlformats.org/officeDocument/2006/relationships" ref="H46" r:id="rId210"/>
    <hyperlink xmlns:r="http://schemas.openxmlformats.org/officeDocument/2006/relationships" ref="J46" r:id="rId211"/>
    <hyperlink xmlns:r="http://schemas.openxmlformats.org/officeDocument/2006/relationships" ref="L46" r:id="rId212"/>
    <hyperlink xmlns:r="http://schemas.openxmlformats.org/officeDocument/2006/relationships" ref="N46" r:id="rId213"/>
    <hyperlink xmlns:r="http://schemas.openxmlformats.org/officeDocument/2006/relationships" ref="O46" r:id="rId214"/>
    <hyperlink xmlns:r="http://schemas.openxmlformats.org/officeDocument/2006/relationships" ref="F47" r:id="rId215"/>
    <hyperlink xmlns:r="http://schemas.openxmlformats.org/officeDocument/2006/relationships" ref="G47" r:id="rId216"/>
    <hyperlink xmlns:r="http://schemas.openxmlformats.org/officeDocument/2006/relationships" ref="H47" r:id="rId217"/>
    <hyperlink xmlns:r="http://schemas.openxmlformats.org/officeDocument/2006/relationships" ref="J47" r:id="rId218"/>
    <hyperlink xmlns:r="http://schemas.openxmlformats.org/officeDocument/2006/relationships" ref="N47" r:id="rId219"/>
    <hyperlink xmlns:r="http://schemas.openxmlformats.org/officeDocument/2006/relationships" ref="O47" r:id="rId220"/>
    <hyperlink xmlns:r="http://schemas.openxmlformats.org/officeDocument/2006/relationships" ref="F48" r:id="rId221"/>
    <hyperlink xmlns:r="http://schemas.openxmlformats.org/officeDocument/2006/relationships" ref="G48" r:id="rId222"/>
    <hyperlink xmlns:r="http://schemas.openxmlformats.org/officeDocument/2006/relationships" ref="H48" r:id="rId223"/>
    <hyperlink xmlns:r="http://schemas.openxmlformats.org/officeDocument/2006/relationships" ref="J48" r:id="rId224"/>
    <hyperlink xmlns:r="http://schemas.openxmlformats.org/officeDocument/2006/relationships" ref="N48" r:id="rId225"/>
    <hyperlink xmlns:r="http://schemas.openxmlformats.org/officeDocument/2006/relationships" ref="O48" r:id="rId226"/>
    <hyperlink xmlns:r="http://schemas.openxmlformats.org/officeDocument/2006/relationships" ref="F49" r:id="rId227"/>
    <hyperlink xmlns:r="http://schemas.openxmlformats.org/officeDocument/2006/relationships" ref="G49" r:id="rId228"/>
    <hyperlink xmlns:r="http://schemas.openxmlformats.org/officeDocument/2006/relationships" ref="H49" r:id="rId229"/>
    <hyperlink xmlns:r="http://schemas.openxmlformats.org/officeDocument/2006/relationships" ref="J49" r:id="rId230"/>
    <hyperlink xmlns:r="http://schemas.openxmlformats.org/officeDocument/2006/relationships" ref="L49" r:id="rId231"/>
    <hyperlink xmlns:r="http://schemas.openxmlformats.org/officeDocument/2006/relationships" ref="N49" r:id="rId232"/>
    <hyperlink xmlns:r="http://schemas.openxmlformats.org/officeDocument/2006/relationships" ref="O49" r:id="rId233"/>
    <hyperlink xmlns:r="http://schemas.openxmlformats.org/officeDocument/2006/relationships" ref="F50" r:id="rId234"/>
    <hyperlink xmlns:r="http://schemas.openxmlformats.org/officeDocument/2006/relationships" ref="G50" r:id="rId235"/>
    <hyperlink xmlns:r="http://schemas.openxmlformats.org/officeDocument/2006/relationships" ref="H50" r:id="rId236"/>
    <hyperlink xmlns:r="http://schemas.openxmlformats.org/officeDocument/2006/relationships" ref="J50" r:id="rId237"/>
    <hyperlink xmlns:r="http://schemas.openxmlformats.org/officeDocument/2006/relationships" ref="L50" r:id="rId238"/>
    <hyperlink xmlns:r="http://schemas.openxmlformats.org/officeDocument/2006/relationships" ref="F53" r:id="rId239"/>
    <hyperlink xmlns:r="http://schemas.openxmlformats.org/officeDocument/2006/relationships" ref="G53" r:id="rId240"/>
    <hyperlink xmlns:r="http://schemas.openxmlformats.org/officeDocument/2006/relationships" ref="H53" r:id="rId241"/>
    <hyperlink xmlns:r="http://schemas.openxmlformats.org/officeDocument/2006/relationships" ref="J53" r:id="rId242"/>
    <hyperlink xmlns:r="http://schemas.openxmlformats.org/officeDocument/2006/relationships" ref="L53" r:id="rId243"/>
    <hyperlink xmlns:r="http://schemas.openxmlformats.org/officeDocument/2006/relationships" ref="N53" r:id="rId244"/>
    <hyperlink xmlns:r="http://schemas.openxmlformats.org/officeDocument/2006/relationships" ref="O53" r:id="rId245"/>
    <hyperlink xmlns:r="http://schemas.openxmlformats.org/officeDocument/2006/relationships" ref="F54" r:id="rId246"/>
    <hyperlink xmlns:r="http://schemas.openxmlformats.org/officeDocument/2006/relationships" ref="G54" r:id="rId247"/>
    <hyperlink xmlns:r="http://schemas.openxmlformats.org/officeDocument/2006/relationships" ref="H54" r:id="rId248"/>
    <hyperlink xmlns:r="http://schemas.openxmlformats.org/officeDocument/2006/relationships" ref="J54" r:id="rId249"/>
    <hyperlink xmlns:r="http://schemas.openxmlformats.org/officeDocument/2006/relationships" ref="L54" r:id="rId250"/>
    <hyperlink xmlns:r="http://schemas.openxmlformats.org/officeDocument/2006/relationships" ref="N54" r:id="rId251"/>
    <hyperlink xmlns:r="http://schemas.openxmlformats.org/officeDocument/2006/relationships" ref="O54" r:id="rId252"/>
    <hyperlink xmlns:r="http://schemas.openxmlformats.org/officeDocument/2006/relationships" ref="F55" r:id="rId253"/>
    <hyperlink xmlns:r="http://schemas.openxmlformats.org/officeDocument/2006/relationships" ref="G55" r:id="rId254"/>
    <hyperlink xmlns:r="http://schemas.openxmlformats.org/officeDocument/2006/relationships" ref="H55" r:id="rId255"/>
    <hyperlink xmlns:r="http://schemas.openxmlformats.org/officeDocument/2006/relationships" ref="J55" r:id="rId256"/>
    <hyperlink xmlns:r="http://schemas.openxmlformats.org/officeDocument/2006/relationships" ref="L55" r:id="rId257"/>
    <hyperlink xmlns:r="http://schemas.openxmlformats.org/officeDocument/2006/relationships" ref="N55" r:id="rId258"/>
    <hyperlink xmlns:r="http://schemas.openxmlformats.org/officeDocument/2006/relationships" ref="O55" r:id="rId259"/>
    <hyperlink xmlns:r="http://schemas.openxmlformats.org/officeDocument/2006/relationships" ref="F56" r:id="rId260"/>
    <hyperlink xmlns:r="http://schemas.openxmlformats.org/officeDocument/2006/relationships" ref="G56" r:id="rId261"/>
    <hyperlink xmlns:r="http://schemas.openxmlformats.org/officeDocument/2006/relationships" ref="H56" r:id="rId262"/>
    <hyperlink xmlns:r="http://schemas.openxmlformats.org/officeDocument/2006/relationships" ref="J56" r:id="rId263"/>
    <hyperlink xmlns:r="http://schemas.openxmlformats.org/officeDocument/2006/relationships" ref="L56" r:id="rId264"/>
    <hyperlink xmlns:r="http://schemas.openxmlformats.org/officeDocument/2006/relationships" ref="N56" r:id="rId265"/>
    <hyperlink xmlns:r="http://schemas.openxmlformats.org/officeDocument/2006/relationships" ref="O56" r:id="rId266"/>
    <hyperlink xmlns:r="http://schemas.openxmlformats.org/officeDocument/2006/relationships" ref="F57" r:id="rId267"/>
    <hyperlink xmlns:r="http://schemas.openxmlformats.org/officeDocument/2006/relationships" ref="J57" r:id="rId268"/>
    <hyperlink xmlns:r="http://schemas.openxmlformats.org/officeDocument/2006/relationships" ref="L57" r:id="rId269"/>
    <hyperlink xmlns:r="http://schemas.openxmlformats.org/officeDocument/2006/relationships" ref="N57" r:id="rId270"/>
    <hyperlink xmlns:r="http://schemas.openxmlformats.org/officeDocument/2006/relationships" ref="O57" r:id="rId271"/>
    <hyperlink xmlns:r="http://schemas.openxmlformats.org/officeDocument/2006/relationships" ref="F58" r:id="rId272"/>
    <hyperlink xmlns:r="http://schemas.openxmlformats.org/officeDocument/2006/relationships" ref="G58" r:id="rId273"/>
    <hyperlink xmlns:r="http://schemas.openxmlformats.org/officeDocument/2006/relationships" ref="H58" r:id="rId274"/>
    <hyperlink xmlns:r="http://schemas.openxmlformats.org/officeDocument/2006/relationships" ref="J58" r:id="rId275"/>
    <hyperlink xmlns:r="http://schemas.openxmlformats.org/officeDocument/2006/relationships" ref="L58" r:id="rId276"/>
    <hyperlink xmlns:r="http://schemas.openxmlformats.org/officeDocument/2006/relationships" ref="N58" r:id="rId277"/>
    <hyperlink xmlns:r="http://schemas.openxmlformats.org/officeDocument/2006/relationships" ref="O58" r:id="rId278"/>
    <hyperlink xmlns:r="http://schemas.openxmlformats.org/officeDocument/2006/relationships" ref="F59" r:id="rId279"/>
    <hyperlink xmlns:r="http://schemas.openxmlformats.org/officeDocument/2006/relationships" ref="G59" r:id="rId280"/>
    <hyperlink xmlns:r="http://schemas.openxmlformats.org/officeDocument/2006/relationships" ref="H59" r:id="rId281"/>
    <hyperlink xmlns:r="http://schemas.openxmlformats.org/officeDocument/2006/relationships" ref="J59" r:id="rId282"/>
    <hyperlink xmlns:r="http://schemas.openxmlformats.org/officeDocument/2006/relationships" ref="K59" r:id="rId283"/>
    <hyperlink xmlns:r="http://schemas.openxmlformats.org/officeDocument/2006/relationships" ref="L59" r:id="rId284"/>
    <hyperlink xmlns:r="http://schemas.openxmlformats.org/officeDocument/2006/relationships" ref="F60" r:id="rId285"/>
    <hyperlink xmlns:r="http://schemas.openxmlformats.org/officeDocument/2006/relationships" ref="G60" r:id="rId286"/>
    <hyperlink xmlns:r="http://schemas.openxmlformats.org/officeDocument/2006/relationships" ref="H60" r:id="rId287"/>
    <hyperlink xmlns:r="http://schemas.openxmlformats.org/officeDocument/2006/relationships" ref="J60" r:id="rId288"/>
    <hyperlink xmlns:r="http://schemas.openxmlformats.org/officeDocument/2006/relationships" ref="L60" r:id="rId289"/>
    <hyperlink xmlns:r="http://schemas.openxmlformats.org/officeDocument/2006/relationships" ref="N60" r:id="rId290"/>
    <hyperlink xmlns:r="http://schemas.openxmlformats.org/officeDocument/2006/relationships" ref="O60" r:id="rId291"/>
    <hyperlink xmlns:r="http://schemas.openxmlformats.org/officeDocument/2006/relationships" ref="F61" r:id="rId292"/>
    <hyperlink xmlns:r="http://schemas.openxmlformats.org/officeDocument/2006/relationships" ref="G61" r:id="rId293"/>
    <hyperlink xmlns:r="http://schemas.openxmlformats.org/officeDocument/2006/relationships" ref="H61" r:id="rId294"/>
    <hyperlink xmlns:r="http://schemas.openxmlformats.org/officeDocument/2006/relationships" ref="J61" r:id="rId295"/>
    <hyperlink xmlns:r="http://schemas.openxmlformats.org/officeDocument/2006/relationships" ref="L61" r:id="rId296"/>
    <hyperlink xmlns:r="http://schemas.openxmlformats.org/officeDocument/2006/relationships" ref="N61" r:id="rId297"/>
    <hyperlink xmlns:r="http://schemas.openxmlformats.org/officeDocument/2006/relationships" ref="O61" r:id="rId298"/>
    <hyperlink xmlns:r="http://schemas.openxmlformats.org/officeDocument/2006/relationships" ref="F62" r:id="rId299"/>
    <hyperlink xmlns:r="http://schemas.openxmlformats.org/officeDocument/2006/relationships" ref="G62" r:id="rId300"/>
    <hyperlink xmlns:r="http://schemas.openxmlformats.org/officeDocument/2006/relationships" ref="H62" r:id="rId301"/>
    <hyperlink xmlns:r="http://schemas.openxmlformats.org/officeDocument/2006/relationships" ref="J62" r:id="rId302"/>
    <hyperlink xmlns:r="http://schemas.openxmlformats.org/officeDocument/2006/relationships" ref="L62" r:id="rId303"/>
    <hyperlink xmlns:r="http://schemas.openxmlformats.org/officeDocument/2006/relationships" ref="N62" r:id="rId304"/>
    <hyperlink xmlns:r="http://schemas.openxmlformats.org/officeDocument/2006/relationships" ref="O62" r:id="rId305"/>
    <hyperlink xmlns:r="http://schemas.openxmlformats.org/officeDocument/2006/relationships" ref="F63" r:id="rId306"/>
    <hyperlink xmlns:r="http://schemas.openxmlformats.org/officeDocument/2006/relationships" ref="G63" r:id="rId307"/>
    <hyperlink xmlns:r="http://schemas.openxmlformats.org/officeDocument/2006/relationships" ref="H63" r:id="rId308"/>
    <hyperlink xmlns:r="http://schemas.openxmlformats.org/officeDocument/2006/relationships" ref="J63" r:id="rId309"/>
    <hyperlink xmlns:r="http://schemas.openxmlformats.org/officeDocument/2006/relationships" ref="L63" r:id="rId310"/>
    <hyperlink xmlns:r="http://schemas.openxmlformats.org/officeDocument/2006/relationships" ref="N63" r:id="rId311"/>
    <hyperlink xmlns:r="http://schemas.openxmlformats.org/officeDocument/2006/relationships" ref="O63" r:id="rId312"/>
    <hyperlink xmlns:r="http://schemas.openxmlformats.org/officeDocument/2006/relationships" ref="F64" r:id="rId313"/>
    <hyperlink xmlns:r="http://schemas.openxmlformats.org/officeDocument/2006/relationships" ref="G64" r:id="rId314"/>
    <hyperlink xmlns:r="http://schemas.openxmlformats.org/officeDocument/2006/relationships" ref="H64" r:id="rId315"/>
    <hyperlink xmlns:r="http://schemas.openxmlformats.org/officeDocument/2006/relationships" ref="J64" r:id="rId316"/>
    <hyperlink xmlns:r="http://schemas.openxmlformats.org/officeDocument/2006/relationships" ref="L64" r:id="rId317"/>
    <hyperlink xmlns:r="http://schemas.openxmlformats.org/officeDocument/2006/relationships" ref="N64" r:id="rId318"/>
    <hyperlink xmlns:r="http://schemas.openxmlformats.org/officeDocument/2006/relationships" ref="O64" r:id="rId319"/>
    <hyperlink xmlns:r="http://schemas.openxmlformats.org/officeDocument/2006/relationships" ref="F65" r:id="rId320"/>
    <hyperlink xmlns:r="http://schemas.openxmlformats.org/officeDocument/2006/relationships" ref="G65" r:id="rId321"/>
    <hyperlink xmlns:r="http://schemas.openxmlformats.org/officeDocument/2006/relationships" ref="H65" r:id="rId322"/>
    <hyperlink xmlns:r="http://schemas.openxmlformats.org/officeDocument/2006/relationships" ref="J65" r:id="rId323"/>
    <hyperlink xmlns:r="http://schemas.openxmlformats.org/officeDocument/2006/relationships" ref="L65" r:id="rId324"/>
    <hyperlink xmlns:r="http://schemas.openxmlformats.org/officeDocument/2006/relationships" ref="N65" r:id="rId325"/>
    <hyperlink xmlns:r="http://schemas.openxmlformats.org/officeDocument/2006/relationships" ref="O65" r:id="rId326"/>
    <hyperlink xmlns:r="http://schemas.openxmlformats.org/officeDocument/2006/relationships" ref="F66" r:id="rId327"/>
    <hyperlink xmlns:r="http://schemas.openxmlformats.org/officeDocument/2006/relationships" ref="G66" r:id="rId328"/>
    <hyperlink xmlns:r="http://schemas.openxmlformats.org/officeDocument/2006/relationships" ref="H66" r:id="rId329"/>
    <hyperlink xmlns:r="http://schemas.openxmlformats.org/officeDocument/2006/relationships" ref="J66" r:id="rId330"/>
    <hyperlink xmlns:r="http://schemas.openxmlformats.org/officeDocument/2006/relationships" ref="L66" r:id="rId331"/>
    <hyperlink xmlns:r="http://schemas.openxmlformats.org/officeDocument/2006/relationships" ref="F67" r:id="rId332"/>
    <hyperlink xmlns:r="http://schemas.openxmlformats.org/officeDocument/2006/relationships" ref="G67" r:id="rId333"/>
    <hyperlink xmlns:r="http://schemas.openxmlformats.org/officeDocument/2006/relationships" ref="H67" r:id="rId334"/>
    <hyperlink xmlns:r="http://schemas.openxmlformats.org/officeDocument/2006/relationships" ref="J67" r:id="rId335"/>
    <hyperlink xmlns:r="http://schemas.openxmlformats.org/officeDocument/2006/relationships" ref="L67" r:id="rId336"/>
    <hyperlink xmlns:r="http://schemas.openxmlformats.org/officeDocument/2006/relationships" ref="N67" r:id="rId337"/>
    <hyperlink xmlns:r="http://schemas.openxmlformats.org/officeDocument/2006/relationships" ref="O67" r:id="rId338"/>
    <hyperlink xmlns:r="http://schemas.openxmlformats.org/officeDocument/2006/relationships" ref="F68" r:id="rId339"/>
    <hyperlink xmlns:r="http://schemas.openxmlformats.org/officeDocument/2006/relationships" ref="G68" r:id="rId340"/>
    <hyperlink xmlns:r="http://schemas.openxmlformats.org/officeDocument/2006/relationships" ref="H68" r:id="rId341"/>
    <hyperlink xmlns:r="http://schemas.openxmlformats.org/officeDocument/2006/relationships" ref="J68" r:id="rId342"/>
    <hyperlink xmlns:r="http://schemas.openxmlformats.org/officeDocument/2006/relationships" ref="N68" r:id="rId343"/>
    <hyperlink xmlns:r="http://schemas.openxmlformats.org/officeDocument/2006/relationships" ref="O68" r:id="rId344"/>
    <hyperlink xmlns:r="http://schemas.openxmlformats.org/officeDocument/2006/relationships" ref="F71" r:id="rId345"/>
    <hyperlink xmlns:r="http://schemas.openxmlformats.org/officeDocument/2006/relationships" ref="G71" r:id="rId346"/>
    <hyperlink xmlns:r="http://schemas.openxmlformats.org/officeDocument/2006/relationships" ref="H71" r:id="rId347"/>
    <hyperlink xmlns:r="http://schemas.openxmlformats.org/officeDocument/2006/relationships" ref="J71" r:id="rId348"/>
    <hyperlink xmlns:r="http://schemas.openxmlformats.org/officeDocument/2006/relationships" ref="L71" r:id="rId349"/>
    <hyperlink xmlns:r="http://schemas.openxmlformats.org/officeDocument/2006/relationships" ref="N71" r:id="rId350"/>
    <hyperlink xmlns:r="http://schemas.openxmlformats.org/officeDocument/2006/relationships" ref="O71" r:id="rId351"/>
    <hyperlink xmlns:r="http://schemas.openxmlformats.org/officeDocument/2006/relationships" ref="F72" r:id="rId352"/>
    <hyperlink xmlns:r="http://schemas.openxmlformats.org/officeDocument/2006/relationships" ref="G72" r:id="rId353"/>
    <hyperlink xmlns:r="http://schemas.openxmlformats.org/officeDocument/2006/relationships" ref="H72" r:id="rId354"/>
    <hyperlink xmlns:r="http://schemas.openxmlformats.org/officeDocument/2006/relationships" ref="F73" r:id="rId355"/>
    <hyperlink xmlns:r="http://schemas.openxmlformats.org/officeDocument/2006/relationships" ref="G73" r:id="rId356"/>
    <hyperlink xmlns:r="http://schemas.openxmlformats.org/officeDocument/2006/relationships" ref="H73" r:id="rId357"/>
    <hyperlink xmlns:r="http://schemas.openxmlformats.org/officeDocument/2006/relationships" ref="J73" r:id="rId358"/>
    <hyperlink xmlns:r="http://schemas.openxmlformats.org/officeDocument/2006/relationships" ref="N73" r:id="rId359"/>
    <hyperlink xmlns:r="http://schemas.openxmlformats.org/officeDocument/2006/relationships" ref="O73" r:id="rId360"/>
    <hyperlink xmlns:r="http://schemas.openxmlformats.org/officeDocument/2006/relationships" ref="F74" r:id="rId361"/>
    <hyperlink xmlns:r="http://schemas.openxmlformats.org/officeDocument/2006/relationships" ref="G74" r:id="rId362"/>
    <hyperlink xmlns:r="http://schemas.openxmlformats.org/officeDocument/2006/relationships" ref="H74" r:id="rId363"/>
    <hyperlink xmlns:r="http://schemas.openxmlformats.org/officeDocument/2006/relationships" ref="J74" r:id="rId364"/>
    <hyperlink xmlns:r="http://schemas.openxmlformats.org/officeDocument/2006/relationships" ref="N74" r:id="rId365"/>
    <hyperlink xmlns:r="http://schemas.openxmlformats.org/officeDocument/2006/relationships" ref="O74" r:id="rId366"/>
    <hyperlink xmlns:r="http://schemas.openxmlformats.org/officeDocument/2006/relationships" ref="F75" r:id="rId367"/>
    <hyperlink xmlns:r="http://schemas.openxmlformats.org/officeDocument/2006/relationships" ref="G75" r:id="rId368"/>
    <hyperlink xmlns:r="http://schemas.openxmlformats.org/officeDocument/2006/relationships" ref="H75" r:id="rId369"/>
    <hyperlink xmlns:r="http://schemas.openxmlformats.org/officeDocument/2006/relationships" ref="J75" r:id="rId370"/>
    <hyperlink xmlns:r="http://schemas.openxmlformats.org/officeDocument/2006/relationships" ref="N75" r:id="rId371"/>
    <hyperlink xmlns:r="http://schemas.openxmlformats.org/officeDocument/2006/relationships" ref="O75" r:id="rId372"/>
    <hyperlink xmlns:r="http://schemas.openxmlformats.org/officeDocument/2006/relationships" ref="F76" r:id="rId373"/>
    <hyperlink xmlns:r="http://schemas.openxmlformats.org/officeDocument/2006/relationships" ref="F77" r:id="rId374"/>
    <hyperlink xmlns:r="http://schemas.openxmlformats.org/officeDocument/2006/relationships" ref="G77" r:id="rId375"/>
    <hyperlink xmlns:r="http://schemas.openxmlformats.org/officeDocument/2006/relationships" ref="H77" r:id="rId376"/>
    <hyperlink xmlns:r="http://schemas.openxmlformats.org/officeDocument/2006/relationships" ref="J77" r:id="rId377"/>
    <hyperlink xmlns:r="http://schemas.openxmlformats.org/officeDocument/2006/relationships" ref="N77" r:id="rId378"/>
    <hyperlink xmlns:r="http://schemas.openxmlformats.org/officeDocument/2006/relationships" ref="O77" r:id="rId379"/>
    <hyperlink xmlns:r="http://schemas.openxmlformats.org/officeDocument/2006/relationships" ref="F78" r:id="rId380"/>
    <hyperlink xmlns:r="http://schemas.openxmlformats.org/officeDocument/2006/relationships" ref="G78" r:id="rId381"/>
    <hyperlink xmlns:r="http://schemas.openxmlformats.org/officeDocument/2006/relationships" ref="H78" r:id="rId382"/>
    <hyperlink xmlns:r="http://schemas.openxmlformats.org/officeDocument/2006/relationships" ref="J78" r:id="rId383"/>
    <hyperlink xmlns:r="http://schemas.openxmlformats.org/officeDocument/2006/relationships" ref="N78" r:id="rId384"/>
    <hyperlink xmlns:r="http://schemas.openxmlformats.org/officeDocument/2006/relationships" ref="O78" r:id="rId385"/>
    <hyperlink xmlns:r="http://schemas.openxmlformats.org/officeDocument/2006/relationships" ref="F79" r:id="rId386"/>
    <hyperlink xmlns:r="http://schemas.openxmlformats.org/officeDocument/2006/relationships" ref="G79" r:id="rId387"/>
    <hyperlink xmlns:r="http://schemas.openxmlformats.org/officeDocument/2006/relationships" ref="H79" r:id="rId388"/>
    <hyperlink xmlns:r="http://schemas.openxmlformats.org/officeDocument/2006/relationships" ref="J79" r:id="rId389"/>
    <hyperlink xmlns:r="http://schemas.openxmlformats.org/officeDocument/2006/relationships" ref="L79" r:id="rId390"/>
    <hyperlink xmlns:r="http://schemas.openxmlformats.org/officeDocument/2006/relationships" ref="N79" r:id="rId391"/>
    <hyperlink xmlns:r="http://schemas.openxmlformats.org/officeDocument/2006/relationships" ref="O79" r:id="rId392"/>
    <hyperlink xmlns:r="http://schemas.openxmlformats.org/officeDocument/2006/relationships" ref="F80" r:id="rId393"/>
    <hyperlink xmlns:r="http://schemas.openxmlformats.org/officeDocument/2006/relationships" ref="G80" r:id="rId394"/>
    <hyperlink xmlns:r="http://schemas.openxmlformats.org/officeDocument/2006/relationships" ref="H80" r:id="rId395"/>
    <hyperlink xmlns:r="http://schemas.openxmlformats.org/officeDocument/2006/relationships" ref="J80" r:id="rId396"/>
    <hyperlink xmlns:r="http://schemas.openxmlformats.org/officeDocument/2006/relationships" ref="K80" r:id="rId397"/>
    <hyperlink xmlns:r="http://schemas.openxmlformats.org/officeDocument/2006/relationships" ref="L80" r:id="rId398"/>
    <hyperlink xmlns:r="http://schemas.openxmlformats.org/officeDocument/2006/relationships" ref="N80" r:id="rId399"/>
    <hyperlink xmlns:r="http://schemas.openxmlformats.org/officeDocument/2006/relationships" ref="O80" r:id="rId400"/>
    <hyperlink xmlns:r="http://schemas.openxmlformats.org/officeDocument/2006/relationships" ref="F81" r:id="rId401"/>
    <hyperlink xmlns:r="http://schemas.openxmlformats.org/officeDocument/2006/relationships" ref="N81" r:id="rId402"/>
    <hyperlink xmlns:r="http://schemas.openxmlformats.org/officeDocument/2006/relationships" ref="O81" r:id="rId403"/>
    <hyperlink xmlns:r="http://schemas.openxmlformats.org/officeDocument/2006/relationships" ref="F82" r:id="rId404"/>
    <hyperlink xmlns:r="http://schemas.openxmlformats.org/officeDocument/2006/relationships" ref="G82" r:id="rId405"/>
    <hyperlink xmlns:r="http://schemas.openxmlformats.org/officeDocument/2006/relationships" ref="H82" r:id="rId406"/>
    <hyperlink xmlns:r="http://schemas.openxmlformats.org/officeDocument/2006/relationships" ref="J82" r:id="rId407"/>
    <hyperlink xmlns:r="http://schemas.openxmlformats.org/officeDocument/2006/relationships" ref="N82" r:id="rId408"/>
    <hyperlink xmlns:r="http://schemas.openxmlformats.org/officeDocument/2006/relationships" ref="O82" r:id="rId409"/>
    <hyperlink xmlns:r="http://schemas.openxmlformats.org/officeDocument/2006/relationships" ref="F83" r:id="rId410"/>
    <hyperlink xmlns:r="http://schemas.openxmlformats.org/officeDocument/2006/relationships" ref="G83" r:id="rId411"/>
    <hyperlink xmlns:r="http://schemas.openxmlformats.org/officeDocument/2006/relationships" ref="H83" r:id="rId412"/>
    <hyperlink xmlns:r="http://schemas.openxmlformats.org/officeDocument/2006/relationships" ref="J83" r:id="rId413"/>
    <hyperlink xmlns:r="http://schemas.openxmlformats.org/officeDocument/2006/relationships" ref="N83" r:id="rId414"/>
    <hyperlink xmlns:r="http://schemas.openxmlformats.org/officeDocument/2006/relationships" ref="O83" r:id="rId415"/>
    <hyperlink xmlns:r="http://schemas.openxmlformats.org/officeDocument/2006/relationships" ref="F84" r:id="rId416"/>
    <hyperlink xmlns:r="http://schemas.openxmlformats.org/officeDocument/2006/relationships" ref="G84" r:id="rId417"/>
    <hyperlink xmlns:r="http://schemas.openxmlformats.org/officeDocument/2006/relationships" ref="H84" r:id="rId418"/>
    <hyperlink xmlns:r="http://schemas.openxmlformats.org/officeDocument/2006/relationships" ref="J84" r:id="rId419"/>
    <hyperlink xmlns:r="http://schemas.openxmlformats.org/officeDocument/2006/relationships" ref="N84" r:id="rId420"/>
    <hyperlink xmlns:r="http://schemas.openxmlformats.org/officeDocument/2006/relationships" ref="O84" r:id="rId421"/>
    <hyperlink xmlns:r="http://schemas.openxmlformats.org/officeDocument/2006/relationships" ref="F85" r:id="rId422"/>
    <hyperlink xmlns:r="http://schemas.openxmlformats.org/officeDocument/2006/relationships" ref="G85" r:id="rId423"/>
    <hyperlink xmlns:r="http://schemas.openxmlformats.org/officeDocument/2006/relationships" ref="H85" r:id="rId424"/>
    <hyperlink xmlns:r="http://schemas.openxmlformats.org/officeDocument/2006/relationships" ref="J85" r:id="rId425"/>
    <hyperlink xmlns:r="http://schemas.openxmlformats.org/officeDocument/2006/relationships" ref="N85" r:id="rId426"/>
    <hyperlink xmlns:r="http://schemas.openxmlformats.org/officeDocument/2006/relationships" ref="O85" r:id="rId427"/>
    <hyperlink xmlns:r="http://schemas.openxmlformats.org/officeDocument/2006/relationships" ref="F86" r:id="rId428"/>
    <hyperlink xmlns:r="http://schemas.openxmlformats.org/officeDocument/2006/relationships" ref="G86" r:id="rId429"/>
    <hyperlink xmlns:r="http://schemas.openxmlformats.org/officeDocument/2006/relationships" ref="H86" r:id="rId430"/>
    <hyperlink xmlns:r="http://schemas.openxmlformats.org/officeDocument/2006/relationships" ref="J86" r:id="rId431"/>
    <hyperlink xmlns:r="http://schemas.openxmlformats.org/officeDocument/2006/relationships" ref="N86" r:id="rId432"/>
    <hyperlink xmlns:r="http://schemas.openxmlformats.org/officeDocument/2006/relationships" ref="O86" r:id="rId433"/>
    <hyperlink xmlns:r="http://schemas.openxmlformats.org/officeDocument/2006/relationships" ref="F87" r:id="rId434"/>
    <hyperlink xmlns:r="http://schemas.openxmlformats.org/officeDocument/2006/relationships" ref="G87" r:id="rId435"/>
    <hyperlink xmlns:r="http://schemas.openxmlformats.org/officeDocument/2006/relationships" ref="H87" r:id="rId436"/>
    <hyperlink xmlns:r="http://schemas.openxmlformats.org/officeDocument/2006/relationships" ref="J87" r:id="rId437"/>
    <hyperlink xmlns:r="http://schemas.openxmlformats.org/officeDocument/2006/relationships" ref="N87" r:id="rId438"/>
    <hyperlink xmlns:r="http://schemas.openxmlformats.org/officeDocument/2006/relationships" ref="O87" r:id="rId439"/>
    <hyperlink xmlns:r="http://schemas.openxmlformats.org/officeDocument/2006/relationships" ref="F90" r:id="rId440"/>
    <hyperlink xmlns:r="http://schemas.openxmlformats.org/officeDocument/2006/relationships" ref="G90" r:id="rId441"/>
    <hyperlink xmlns:r="http://schemas.openxmlformats.org/officeDocument/2006/relationships" ref="H90" r:id="rId442"/>
    <hyperlink xmlns:r="http://schemas.openxmlformats.org/officeDocument/2006/relationships" ref="J90" r:id="rId443"/>
    <hyperlink xmlns:r="http://schemas.openxmlformats.org/officeDocument/2006/relationships" ref="L90" r:id="rId444"/>
    <hyperlink xmlns:r="http://schemas.openxmlformats.org/officeDocument/2006/relationships" ref="F91" r:id="rId445"/>
    <hyperlink xmlns:r="http://schemas.openxmlformats.org/officeDocument/2006/relationships" ref="G91" r:id="rId446"/>
    <hyperlink xmlns:r="http://schemas.openxmlformats.org/officeDocument/2006/relationships" ref="H91" r:id="rId447"/>
    <hyperlink xmlns:r="http://schemas.openxmlformats.org/officeDocument/2006/relationships" ref="J91" r:id="rId448"/>
    <hyperlink xmlns:r="http://schemas.openxmlformats.org/officeDocument/2006/relationships" ref="L91" r:id="rId449"/>
    <hyperlink xmlns:r="http://schemas.openxmlformats.org/officeDocument/2006/relationships" ref="N91" r:id="rId450"/>
    <hyperlink xmlns:r="http://schemas.openxmlformats.org/officeDocument/2006/relationships" ref="O91" r:id="rId451"/>
    <hyperlink xmlns:r="http://schemas.openxmlformats.org/officeDocument/2006/relationships" ref="F92" r:id="rId452"/>
    <hyperlink xmlns:r="http://schemas.openxmlformats.org/officeDocument/2006/relationships" ref="G92" r:id="rId453"/>
    <hyperlink xmlns:r="http://schemas.openxmlformats.org/officeDocument/2006/relationships" ref="H92" r:id="rId454"/>
    <hyperlink xmlns:r="http://schemas.openxmlformats.org/officeDocument/2006/relationships" ref="J92" r:id="rId455"/>
    <hyperlink xmlns:r="http://schemas.openxmlformats.org/officeDocument/2006/relationships" ref="L92" r:id="rId456"/>
    <hyperlink xmlns:r="http://schemas.openxmlformats.org/officeDocument/2006/relationships" ref="N92" r:id="rId457"/>
    <hyperlink xmlns:r="http://schemas.openxmlformats.org/officeDocument/2006/relationships" ref="O92" r:id="rId458"/>
    <hyperlink xmlns:r="http://schemas.openxmlformats.org/officeDocument/2006/relationships" ref="F93" r:id="rId459"/>
    <hyperlink xmlns:r="http://schemas.openxmlformats.org/officeDocument/2006/relationships" ref="G93" r:id="rId460"/>
    <hyperlink xmlns:r="http://schemas.openxmlformats.org/officeDocument/2006/relationships" ref="H93" r:id="rId461"/>
    <hyperlink xmlns:r="http://schemas.openxmlformats.org/officeDocument/2006/relationships" ref="J93" r:id="rId462"/>
    <hyperlink xmlns:r="http://schemas.openxmlformats.org/officeDocument/2006/relationships" ref="L93" r:id="rId463"/>
    <hyperlink xmlns:r="http://schemas.openxmlformats.org/officeDocument/2006/relationships" ref="N93" r:id="rId464"/>
    <hyperlink xmlns:r="http://schemas.openxmlformats.org/officeDocument/2006/relationships" ref="O93" r:id="rId465"/>
    <hyperlink xmlns:r="http://schemas.openxmlformats.org/officeDocument/2006/relationships" ref="F94" r:id="rId466"/>
    <hyperlink xmlns:r="http://schemas.openxmlformats.org/officeDocument/2006/relationships" ref="G94" r:id="rId467"/>
    <hyperlink xmlns:r="http://schemas.openxmlformats.org/officeDocument/2006/relationships" ref="H94" r:id="rId468"/>
    <hyperlink xmlns:r="http://schemas.openxmlformats.org/officeDocument/2006/relationships" ref="J94" r:id="rId469"/>
    <hyperlink xmlns:r="http://schemas.openxmlformats.org/officeDocument/2006/relationships" ref="L94" r:id="rId470"/>
    <hyperlink xmlns:r="http://schemas.openxmlformats.org/officeDocument/2006/relationships" ref="N94" r:id="rId471"/>
    <hyperlink xmlns:r="http://schemas.openxmlformats.org/officeDocument/2006/relationships" ref="O94" r:id="rId472"/>
    <hyperlink xmlns:r="http://schemas.openxmlformats.org/officeDocument/2006/relationships" ref="F95" r:id="rId473"/>
    <hyperlink xmlns:r="http://schemas.openxmlformats.org/officeDocument/2006/relationships" ref="G95" r:id="rId474"/>
    <hyperlink xmlns:r="http://schemas.openxmlformats.org/officeDocument/2006/relationships" ref="H95" r:id="rId475"/>
    <hyperlink xmlns:r="http://schemas.openxmlformats.org/officeDocument/2006/relationships" ref="J95" r:id="rId476"/>
    <hyperlink xmlns:r="http://schemas.openxmlformats.org/officeDocument/2006/relationships" ref="L95" r:id="rId477"/>
    <hyperlink xmlns:r="http://schemas.openxmlformats.org/officeDocument/2006/relationships" ref="N95" r:id="rId478"/>
    <hyperlink xmlns:r="http://schemas.openxmlformats.org/officeDocument/2006/relationships" ref="O95" r:id="rId479"/>
    <hyperlink xmlns:r="http://schemas.openxmlformats.org/officeDocument/2006/relationships" ref="F96" r:id="rId480"/>
    <hyperlink xmlns:r="http://schemas.openxmlformats.org/officeDocument/2006/relationships" ref="G96" r:id="rId481"/>
    <hyperlink xmlns:r="http://schemas.openxmlformats.org/officeDocument/2006/relationships" ref="H96" r:id="rId482"/>
    <hyperlink xmlns:r="http://schemas.openxmlformats.org/officeDocument/2006/relationships" ref="J96" r:id="rId483"/>
    <hyperlink xmlns:r="http://schemas.openxmlformats.org/officeDocument/2006/relationships" ref="L96" r:id="rId484"/>
    <hyperlink xmlns:r="http://schemas.openxmlformats.org/officeDocument/2006/relationships" ref="N96" r:id="rId485"/>
    <hyperlink xmlns:r="http://schemas.openxmlformats.org/officeDocument/2006/relationships" ref="O96" r:id="rId486"/>
    <hyperlink xmlns:r="http://schemas.openxmlformats.org/officeDocument/2006/relationships" ref="F97" r:id="rId487"/>
    <hyperlink xmlns:r="http://schemas.openxmlformats.org/officeDocument/2006/relationships" ref="J97" r:id="rId488"/>
    <hyperlink xmlns:r="http://schemas.openxmlformats.org/officeDocument/2006/relationships" ref="L97" r:id="rId489"/>
    <hyperlink xmlns:r="http://schemas.openxmlformats.org/officeDocument/2006/relationships" ref="N97" r:id="rId490"/>
    <hyperlink xmlns:r="http://schemas.openxmlformats.org/officeDocument/2006/relationships" ref="O97" r:id="rId491"/>
    <hyperlink xmlns:r="http://schemas.openxmlformats.org/officeDocument/2006/relationships" ref="F98" r:id="rId492"/>
    <hyperlink xmlns:r="http://schemas.openxmlformats.org/officeDocument/2006/relationships" ref="G98" r:id="rId493"/>
    <hyperlink xmlns:r="http://schemas.openxmlformats.org/officeDocument/2006/relationships" ref="H98" r:id="rId494"/>
    <hyperlink xmlns:r="http://schemas.openxmlformats.org/officeDocument/2006/relationships" ref="J98" r:id="rId495"/>
    <hyperlink xmlns:r="http://schemas.openxmlformats.org/officeDocument/2006/relationships" ref="L98" r:id="rId496"/>
    <hyperlink xmlns:r="http://schemas.openxmlformats.org/officeDocument/2006/relationships" ref="N98" r:id="rId497"/>
    <hyperlink xmlns:r="http://schemas.openxmlformats.org/officeDocument/2006/relationships" ref="O98" r:id="rId498"/>
    <hyperlink xmlns:r="http://schemas.openxmlformats.org/officeDocument/2006/relationships" ref="F99" r:id="rId499"/>
    <hyperlink xmlns:r="http://schemas.openxmlformats.org/officeDocument/2006/relationships" ref="G99" r:id="rId500"/>
    <hyperlink xmlns:r="http://schemas.openxmlformats.org/officeDocument/2006/relationships" ref="H99" r:id="rId501"/>
    <hyperlink xmlns:r="http://schemas.openxmlformats.org/officeDocument/2006/relationships" ref="J99" r:id="rId502"/>
    <hyperlink xmlns:r="http://schemas.openxmlformats.org/officeDocument/2006/relationships" ref="L99" r:id="rId503"/>
    <hyperlink xmlns:r="http://schemas.openxmlformats.org/officeDocument/2006/relationships" ref="F100" r:id="rId504"/>
    <hyperlink xmlns:r="http://schemas.openxmlformats.org/officeDocument/2006/relationships" ref="G100" r:id="rId505"/>
    <hyperlink xmlns:r="http://schemas.openxmlformats.org/officeDocument/2006/relationships" ref="H100" r:id="rId506"/>
    <hyperlink xmlns:r="http://schemas.openxmlformats.org/officeDocument/2006/relationships" ref="J100" r:id="rId507"/>
    <hyperlink xmlns:r="http://schemas.openxmlformats.org/officeDocument/2006/relationships" ref="L100" r:id="rId508"/>
    <hyperlink xmlns:r="http://schemas.openxmlformats.org/officeDocument/2006/relationships" ref="N100" r:id="rId509"/>
    <hyperlink xmlns:r="http://schemas.openxmlformats.org/officeDocument/2006/relationships" ref="O100" r:id="rId510"/>
    <hyperlink xmlns:r="http://schemas.openxmlformats.org/officeDocument/2006/relationships" ref="F101" r:id="rId511"/>
    <hyperlink xmlns:r="http://schemas.openxmlformats.org/officeDocument/2006/relationships" ref="G101" r:id="rId512"/>
    <hyperlink xmlns:r="http://schemas.openxmlformats.org/officeDocument/2006/relationships" ref="H101" r:id="rId513"/>
    <hyperlink xmlns:r="http://schemas.openxmlformats.org/officeDocument/2006/relationships" ref="J101" r:id="rId514"/>
    <hyperlink xmlns:r="http://schemas.openxmlformats.org/officeDocument/2006/relationships" ref="K101" r:id="rId515"/>
    <hyperlink xmlns:r="http://schemas.openxmlformats.org/officeDocument/2006/relationships" ref="L101" r:id="rId516"/>
    <hyperlink xmlns:r="http://schemas.openxmlformats.org/officeDocument/2006/relationships" ref="N101" r:id="rId517"/>
    <hyperlink xmlns:r="http://schemas.openxmlformats.org/officeDocument/2006/relationships" ref="O101" r:id="rId518"/>
    <hyperlink xmlns:r="http://schemas.openxmlformats.org/officeDocument/2006/relationships" ref="F102" r:id="rId519"/>
    <hyperlink xmlns:r="http://schemas.openxmlformats.org/officeDocument/2006/relationships" ref="G102" r:id="rId520"/>
    <hyperlink xmlns:r="http://schemas.openxmlformats.org/officeDocument/2006/relationships" ref="H102" r:id="rId521"/>
    <hyperlink xmlns:r="http://schemas.openxmlformats.org/officeDocument/2006/relationships" ref="J102" r:id="rId522"/>
    <hyperlink xmlns:r="http://schemas.openxmlformats.org/officeDocument/2006/relationships" ref="L102" r:id="rId523"/>
    <hyperlink xmlns:r="http://schemas.openxmlformats.org/officeDocument/2006/relationships" ref="N102" r:id="rId524"/>
    <hyperlink xmlns:r="http://schemas.openxmlformats.org/officeDocument/2006/relationships" ref="O102" r:id="rId525"/>
    <hyperlink xmlns:r="http://schemas.openxmlformats.org/officeDocument/2006/relationships" ref="F103" r:id="rId526"/>
    <hyperlink xmlns:r="http://schemas.openxmlformats.org/officeDocument/2006/relationships" ref="G103" r:id="rId527"/>
    <hyperlink xmlns:r="http://schemas.openxmlformats.org/officeDocument/2006/relationships" ref="H103" r:id="rId528"/>
    <hyperlink xmlns:r="http://schemas.openxmlformats.org/officeDocument/2006/relationships" ref="J103" r:id="rId529"/>
    <hyperlink xmlns:r="http://schemas.openxmlformats.org/officeDocument/2006/relationships" ref="L103" r:id="rId530"/>
    <hyperlink xmlns:r="http://schemas.openxmlformats.org/officeDocument/2006/relationships" ref="F104" r:id="rId531"/>
    <hyperlink xmlns:r="http://schemas.openxmlformats.org/officeDocument/2006/relationships" ref="G104" r:id="rId532"/>
    <hyperlink xmlns:r="http://schemas.openxmlformats.org/officeDocument/2006/relationships" ref="H104" r:id="rId533"/>
    <hyperlink xmlns:r="http://schemas.openxmlformats.org/officeDocument/2006/relationships" ref="J104" r:id="rId534"/>
    <hyperlink xmlns:r="http://schemas.openxmlformats.org/officeDocument/2006/relationships" ref="L104" r:id="rId535"/>
    <hyperlink xmlns:r="http://schemas.openxmlformats.org/officeDocument/2006/relationships" ref="N104" r:id="rId536"/>
    <hyperlink xmlns:r="http://schemas.openxmlformats.org/officeDocument/2006/relationships" ref="O104" r:id="rId537"/>
    <hyperlink xmlns:r="http://schemas.openxmlformats.org/officeDocument/2006/relationships" ref="F105" r:id="rId538"/>
    <hyperlink xmlns:r="http://schemas.openxmlformats.org/officeDocument/2006/relationships" ref="G105" r:id="rId539"/>
    <hyperlink xmlns:r="http://schemas.openxmlformats.org/officeDocument/2006/relationships" ref="H105" r:id="rId540"/>
    <hyperlink xmlns:r="http://schemas.openxmlformats.org/officeDocument/2006/relationships" ref="J105" r:id="rId541"/>
    <hyperlink xmlns:r="http://schemas.openxmlformats.org/officeDocument/2006/relationships" ref="L105" r:id="rId542"/>
    <hyperlink xmlns:r="http://schemas.openxmlformats.org/officeDocument/2006/relationships" ref="N105" r:id="rId543"/>
    <hyperlink xmlns:r="http://schemas.openxmlformats.org/officeDocument/2006/relationships" ref="O105" r:id="rId544"/>
    <hyperlink xmlns:r="http://schemas.openxmlformats.org/officeDocument/2006/relationships" ref="F106" r:id="rId545"/>
    <hyperlink xmlns:r="http://schemas.openxmlformats.org/officeDocument/2006/relationships" ref="G106" r:id="rId546"/>
    <hyperlink xmlns:r="http://schemas.openxmlformats.org/officeDocument/2006/relationships" ref="H106" r:id="rId547"/>
    <hyperlink xmlns:r="http://schemas.openxmlformats.org/officeDocument/2006/relationships" ref="J106" r:id="rId548"/>
    <hyperlink xmlns:r="http://schemas.openxmlformats.org/officeDocument/2006/relationships" ref="L106" r:id="rId549"/>
    <hyperlink xmlns:r="http://schemas.openxmlformats.org/officeDocument/2006/relationships" ref="N106" r:id="rId550"/>
    <hyperlink xmlns:r="http://schemas.openxmlformats.org/officeDocument/2006/relationships" ref="O106" r:id="rId551"/>
    <hyperlink xmlns:r="http://schemas.openxmlformats.org/officeDocument/2006/relationships" ref="F107" r:id="rId552"/>
    <hyperlink xmlns:r="http://schemas.openxmlformats.org/officeDocument/2006/relationships" ref="G107" r:id="rId553"/>
    <hyperlink xmlns:r="http://schemas.openxmlformats.org/officeDocument/2006/relationships" ref="H107" r:id="rId554"/>
    <hyperlink xmlns:r="http://schemas.openxmlformats.org/officeDocument/2006/relationships" ref="J107" r:id="rId555"/>
    <hyperlink xmlns:r="http://schemas.openxmlformats.org/officeDocument/2006/relationships" ref="L107" r:id="rId556"/>
    <hyperlink xmlns:r="http://schemas.openxmlformats.org/officeDocument/2006/relationships" ref="N107" r:id="rId557"/>
    <hyperlink xmlns:r="http://schemas.openxmlformats.org/officeDocument/2006/relationships" ref="O107" r:id="rId558"/>
    <hyperlink xmlns:r="http://schemas.openxmlformats.org/officeDocument/2006/relationships" ref="F108" r:id="rId559"/>
    <hyperlink xmlns:r="http://schemas.openxmlformats.org/officeDocument/2006/relationships" ref="G108" r:id="rId560"/>
    <hyperlink xmlns:r="http://schemas.openxmlformats.org/officeDocument/2006/relationships" ref="H108" r:id="rId561"/>
    <hyperlink xmlns:r="http://schemas.openxmlformats.org/officeDocument/2006/relationships" ref="J108" r:id="rId562"/>
    <hyperlink xmlns:r="http://schemas.openxmlformats.org/officeDocument/2006/relationships" ref="L108" r:id="rId563"/>
    <hyperlink xmlns:r="http://schemas.openxmlformats.org/officeDocument/2006/relationships" ref="N108" r:id="rId564"/>
    <hyperlink xmlns:r="http://schemas.openxmlformats.org/officeDocument/2006/relationships" ref="O108" r:id="rId565"/>
    <hyperlink xmlns:r="http://schemas.openxmlformats.org/officeDocument/2006/relationships" ref="F109" r:id="rId566"/>
    <hyperlink xmlns:r="http://schemas.openxmlformats.org/officeDocument/2006/relationships" ref="G109" r:id="rId567"/>
    <hyperlink xmlns:r="http://schemas.openxmlformats.org/officeDocument/2006/relationships" ref="H109" r:id="rId568"/>
    <hyperlink xmlns:r="http://schemas.openxmlformats.org/officeDocument/2006/relationships" ref="J109" r:id="rId569"/>
    <hyperlink xmlns:r="http://schemas.openxmlformats.org/officeDocument/2006/relationships" ref="L109" r:id="rId570"/>
    <hyperlink xmlns:r="http://schemas.openxmlformats.org/officeDocument/2006/relationships" ref="N109" r:id="rId571"/>
    <hyperlink xmlns:r="http://schemas.openxmlformats.org/officeDocument/2006/relationships" ref="O109" r:id="rId572"/>
    <hyperlink xmlns:r="http://schemas.openxmlformats.org/officeDocument/2006/relationships" ref="F110" r:id="rId573"/>
    <hyperlink xmlns:r="http://schemas.openxmlformats.org/officeDocument/2006/relationships" ref="G110" r:id="rId574"/>
    <hyperlink xmlns:r="http://schemas.openxmlformats.org/officeDocument/2006/relationships" ref="H110" r:id="rId575"/>
    <hyperlink xmlns:r="http://schemas.openxmlformats.org/officeDocument/2006/relationships" ref="J110" r:id="rId576"/>
    <hyperlink xmlns:r="http://schemas.openxmlformats.org/officeDocument/2006/relationships" ref="L110" r:id="rId577"/>
    <hyperlink xmlns:r="http://schemas.openxmlformats.org/officeDocument/2006/relationships" ref="N110" r:id="rId578"/>
    <hyperlink xmlns:r="http://schemas.openxmlformats.org/officeDocument/2006/relationships" ref="O110" r:id="rId579"/>
    <hyperlink xmlns:r="http://schemas.openxmlformats.org/officeDocument/2006/relationships" ref="F113" r:id="rId580"/>
    <hyperlink xmlns:r="http://schemas.openxmlformats.org/officeDocument/2006/relationships" ref="J113" r:id="rId581"/>
    <hyperlink xmlns:r="http://schemas.openxmlformats.org/officeDocument/2006/relationships" ref="L113" r:id="rId582"/>
    <hyperlink xmlns:r="http://schemas.openxmlformats.org/officeDocument/2006/relationships" ref="N113" r:id="rId583"/>
    <hyperlink xmlns:r="http://schemas.openxmlformats.org/officeDocument/2006/relationships" ref="O113" r:id="rId584"/>
    <hyperlink xmlns:r="http://schemas.openxmlformats.org/officeDocument/2006/relationships" ref="F114" r:id="rId585"/>
    <hyperlink xmlns:r="http://schemas.openxmlformats.org/officeDocument/2006/relationships" ref="G114" r:id="rId586"/>
    <hyperlink xmlns:r="http://schemas.openxmlformats.org/officeDocument/2006/relationships" ref="H114" r:id="rId587"/>
    <hyperlink xmlns:r="http://schemas.openxmlformats.org/officeDocument/2006/relationships" ref="J114" r:id="rId588"/>
    <hyperlink xmlns:r="http://schemas.openxmlformats.org/officeDocument/2006/relationships" ref="L114" r:id="rId589"/>
    <hyperlink xmlns:r="http://schemas.openxmlformats.org/officeDocument/2006/relationships" ref="N114" r:id="rId590"/>
    <hyperlink xmlns:r="http://schemas.openxmlformats.org/officeDocument/2006/relationships" ref="O114" r:id="rId591"/>
    <hyperlink xmlns:r="http://schemas.openxmlformats.org/officeDocument/2006/relationships" ref="F115" r:id="rId592"/>
    <hyperlink xmlns:r="http://schemas.openxmlformats.org/officeDocument/2006/relationships" ref="G115" r:id="rId593"/>
    <hyperlink xmlns:r="http://schemas.openxmlformats.org/officeDocument/2006/relationships" ref="H115" r:id="rId594"/>
    <hyperlink xmlns:r="http://schemas.openxmlformats.org/officeDocument/2006/relationships" ref="J115" r:id="rId595"/>
    <hyperlink xmlns:r="http://schemas.openxmlformats.org/officeDocument/2006/relationships" ref="N115" r:id="rId596"/>
    <hyperlink xmlns:r="http://schemas.openxmlformats.org/officeDocument/2006/relationships" ref="O115" r:id="rId597"/>
    <hyperlink xmlns:r="http://schemas.openxmlformats.org/officeDocument/2006/relationships" ref="F116" r:id="rId598"/>
    <hyperlink xmlns:r="http://schemas.openxmlformats.org/officeDocument/2006/relationships" ref="G116" r:id="rId599"/>
    <hyperlink xmlns:r="http://schemas.openxmlformats.org/officeDocument/2006/relationships" ref="H116" r:id="rId600"/>
    <hyperlink xmlns:r="http://schemas.openxmlformats.org/officeDocument/2006/relationships" ref="J116" r:id="rId601"/>
    <hyperlink xmlns:r="http://schemas.openxmlformats.org/officeDocument/2006/relationships" ref="L116" r:id="rId602"/>
    <hyperlink xmlns:r="http://schemas.openxmlformats.org/officeDocument/2006/relationships" ref="N116" r:id="rId603"/>
    <hyperlink xmlns:r="http://schemas.openxmlformats.org/officeDocument/2006/relationships" ref="O116" r:id="rId604"/>
    <hyperlink xmlns:r="http://schemas.openxmlformats.org/officeDocument/2006/relationships" ref="F117" r:id="rId605"/>
    <hyperlink xmlns:r="http://schemas.openxmlformats.org/officeDocument/2006/relationships" ref="G117" r:id="rId606"/>
    <hyperlink xmlns:r="http://schemas.openxmlformats.org/officeDocument/2006/relationships" ref="H117" r:id="rId607"/>
    <hyperlink xmlns:r="http://schemas.openxmlformats.org/officeDocument/2006/relationships" ref="J117" r:id="rId608"/>
    <hyperlink xmlns:r="http://schemas.openxmlformats.org/officeDocument/2006/relationships" ref="L117" r:id="rId609"/>
    <hyperlink xmlns:r="http://schemas.openxmlformats.org/officeDocument/2006/relationships" ref="N117" r:id="rId610"/>
    <hyperlink xmlns:r="http://schemas.openxmlformats.org/officeDocument/2006/relationships" ref="O117" r:id="rId611"/>
    <hyperlink xmlns:r="http://schemas.openxmlformats.org/officeDocument/2006/relationships" ref="F118" r:id="rId612"/>
    <hyperlink xmlns:r="http://schemas.openxmlformats.org/officeDocument/2006/relationships" ref="G118" r:id="rId613"/>
    <hyperlink xmlns:r="http://schemas.openxmlformats.org/officeDocument/2006/relationships" ref="H118" r:id="rId614"/>
    <hyperlink xmlns:r="http://schemas.openxmlformats.org/officeDocument/2006/relationships" ref="J118" r:id="rId615"/>
    <hyperlink xmlns:r="http://schemas.openxmlformats.org/officeDocument/2006/relationships" ref="L118" r:id="rId616"/>
    <hyperlink xmlns:r="http://schemas.openxmlformats.org/officeDocument/2006/relationships" ref="N118" r:id="rId617"/>
    <hyperlink xmlns:r="http://schemas.openxmlformats.org/officeDocument/2006/relationships" ref="O118" r:id="rId618"/>
    <hyperlink xmlns:r="http://schemas.openxmlformats.org/officeDocument/2006/relationships" ref="F119" r:id="rId619"/>
    <hyperlink xmlns:r="http://schemas.openxmlformats.org/officeDocument/2006/relationships" ref="G119" r:id="rId620"/>
    <hyperlink xmlns:r="http://schemas.openxmlformats.org/officeDocument/2006/relationships" ref="H119" r:id="rId621"/>
    <hyperlink xmlns:r="http://schemas.openxmlformats.org/officeDocument/2006/relationships" ref="J119" r:id="rId622"/>
    <hyperlink xmlns:r="http://schemas.openxmlformats.org/officeDocument/2006/relationships" ref="K119" r:id="rId623"/>
    <hyperlink xmlns:r="http://schemas.openxmlformats.org/officeDocument/2006/relationships" ref="L119" r:id="rId624"/>
    <hyperlink xmlns:r="http://schemas.openxmlformats.org/officeDocument/2006/relationships" ref="N119" r:id="rId625"/>
    <hyperlink xmlns:r="http://schemas.openxmlformats.org/officeDocument/2006/relationships" ref="O119" r:id="rId626"/>
    <hyperlink xmlns:r="http://schemas.openxmlformats.org/officeDocument/2006/relationships" ref="F120" r:id="rId627"/>
    <hyperlink xmlns:r="http://schemas.openxmlformats.org/officeDocument/2006/relationships" ref="G120" r:id="rId628"/>
    <hyperlink xmlns:r="http://schemas.openxmlformats.org/officeDocument/2006/relationships" ref="H120" r:id="rId629"/>
    <hyperlink xmlns:r="http://schemas.openxmlformats.org/officeDocument/2006/relationships" ref="J120" r:id="rId630"/>
    <hyperlink xmlns:r="http://schemas.openxmlformats.org/officeDocument/2006/relationships" ref="L120" r:id="rId631"/>
    <hyperlink xmlns:r="http://schemas.openxmlformats.org/officeDocument/2006/relationships" ref="N120" r:id="rId632"/>
    <hyperlink xmlns:r="http://schemas.openxmlformats.org/officeDocument/2006/relationships" ref="O120" r:id="rId633"/>
    <hyperlink xmlns:r="http://schemas.openxmlformats.org/officeDocument/2006/relationships" ref="F121" r:id="rId634"/>
    <hyperlink xmlns:r="http://schemas.openxmlformats.org/officeDocument/2006/relationships" ref="G121" r:id="rId635"/>
    <hyperlink xmlns:r="http://schemas.openxmlformats.org/officeDocument/2006/relationships" ref="H121" r:id="rId636"/>
    <hyperlink xmlns:r="http://schemas.openxmlformats.org/officeDocument/2006/relationships" ref="J121" r:id="rId637"/>
    <hyperlink xmlns:r="http://schemas.openxmlformats.org/officeDocument/2006/relationships" ref="K121" r:id="rId638"/>
    <hyperlink xmlns:r="http://schemas.openxmlformats.org/officeDocument/2006/relationships" ref="L121" r:id="rId639"/>
    <hyperlink xmlns:r="http://schemas.openxmlformats.org/officeDocument/2006/relationships" ref="N121" r:id="rId640"/>
    <hyperlink xmlns:r="http://schemas.openxmlformats.org/officeDocument/2006/relationships" ref="O121" r:id="rId641"/>
    <hyperlink xmlns:r="http://schemas.openxmlformats.org/officeDocument/2006/relationships" ref="F122" r:id="rId642"/>
    <hyperlink xmlns:r="http://schemas.openxmlformats.org/officeDocument/2006/relationships" ref="G122" r:id="rId643"/>
    <hyperlink xmlns:r="http://schemas.openxmlformats.org/officeDocument/2006/relationships" ref="H122" r:id="rId644"/>
    <hyperlink xmlns:r="http://schemas.openxmlformats.org/officeDocument/2006/relationships" ref="J122" r:id="rId645"/>
    <hyperlink xmlns:r="http://schemas.openxmlformats.org/officeDocument/2006/relationships" ref="L122" r:id="rId646"/>
    <hyperlink xmlns:r="http://schemas.openxmlformats.org/officeDocument/2006/relationships" ref="N122" r:id="rId647"/>
    <hyperlink xmlns:r="http://schemas.openxmlformats.org/officeDocument/2006/relationships" ref="O122" r:id="rId648"/>
    <hyperlink xmlns:r="http://schemas.openxmlformats.org/officeDocument/2006/relationships" ref="F123" r:id="rId649"/>
    <hyperlink xmlns:r="http://schemas.openxmlformats.org/officeDocument/2006/relationships" ref="G123" r:id="rId650"/>
    <hyperlink xmlns:r="http://schemas.openxmlformats.org/officeDocument/2006/relationships" ref="H123" r:id="rId651"/>
    <hyperlink xmlns:r="http://schemas.openxmlformats.org/officeDocument/2006/relationships" ref="J123" r:id="rId652"/>
    <hyperlink xmlns:r="http://schemas.openxmlformats.org/officeDocument/2006/relationships" ref="L123" r:id="rId653"/>
    <hyperlink xmlns:r="http://schemas.openxmlformats.org/officeDocument/2006/relationships" ref="N123" r:id="rId654"/>
    <hyperlink xmlns:r="http://schemas.openxmlformats.org/officeDocument/2006/relationships" ref="O123" r:id="rId655"/>
    <hyperlink xmlns:r="http://schemas.openxmlformats.org/officeDocument/2006/relationships" ref="F126" r:id="rId656"/>
    <hyperlink xmlns:r="http://schemas.openxmlformats.org/officeDocument/2006/relationships" ref="G126" r:id="rId657"/>
    <hyperlink xmlns:r="http://schemas.openxmlformats.org/officeDocument/2006/relationships" ref="H126" r:id="rId658"/>
    <hyperlink xmlns:r="http://schemas.openxmlformats.org/officeDocument/2006/relationships" ref="J126" r:id="rId659"/>
    <hyperlink xmlns:r="http://schemas.openxmlformats.org/officeDocument/2006/relationships" ref="L126" r:id="rId660"/>
    <hyperlink xmlns:r="http://schemas.openxmlformats.org/officeDocument/2006/relationships" ref="N126" r:id="rId661"/>
    <hyperlink xmlns:r="http://schemas.openxmlformats.org/officeDocument/2006/relationships" ref="O126" r:id="rId662"/>
    <hyperlink xmlns:r="http://schemas.openxmlformats.org/officeDocument/2006/relationships" ref="F127" r:id="rId663"/>
    <hyperlink xmlns:r="http://schemas.openxmlformats.org/officeDocument/2006/relationships" ref="G127" r:id="rId664"/>
    <hyperlink xmlns:r="http://schemas.openxmlformats.org/officeDocument/2006/relationships" ref="H127" r:id="rId665"/>
    <hyperlink xmlns:r="http://schemas.openxmlformats.org/officeDocument/2006/relationships" ref="J127" r:id="rId666"/>
    <hyperlink xmlns:r="http://schemas.openxmlformats.org/officeDocument/2006/relationships" ref="L127" r:id="rId667"/>
    <hyperlink xmlns:r="http://schemas.openxmlformats.org/officeDocument/2006/relationships" ref="N127" r:id="rId668"/>
    <hyperlink xmlns:r="http://schemas.openxmlformats.org/officeDocument/2006/relationships" ref="O127" r:id="rId669"/>
    <hyperlink xmlns:r="http://schemas.openxmlformats.org/officeDocument/2006/relationships" ref="F128" r:id="rId670"/>
    <hyperlink xmlns:r="http://schemas.openxmlformats.org/officeDocument/2006/relationships" ref="G128" r:id="rId671"/>
    <hyperlink xmlns:r="http://schemas.openxmlformats.org/officeDocument/2006/relationships" ref="H128" r:id="rId672"/>
    <hyperlink xmlns:r="http://schemas.openxmlformats.org/officeDocument/2006/relationships" ref="J128" r:id="rId673"/>
    <hyperlink xmlns:r="http://schemas.openxmlformats.org/officeDocument/2006/relationships" ref="L128" r:id="rId674"/>
    <hyperlink xmlns:r="http://schemas.openxmlformats.org/officeDocument/2006/relationships" ref="N128" r:id="rId675"/>
    <hyperlink xmlns:r="http://schemas.openxmlformats.org/officeDocument/2006/relationships" ref="O128" r:id="rId676"/>
    <hyperlink xmlns:r="http://schemas.openxmlformats.org/officeDocument/2006/relationships" ref="F129" r:id="rId677"/>
    <hyperlink xmlns:r="http://schemas.openxmlformats.org/officeDocument/2006/relationships" ref="F130" r:id="rId678"/>
    <hyperlink xmlns:r="http://schemas.openxmlformats.org/officeDocument/2006/relationships" ref="G130" r:id="rId679"/>
    <hyperlink xmlns:r="http://schemas.openxmlformats.org/officeDocument/2006/relationships" ref="H130" r:id="rId680"/>
    <hyperlink xmlns:r="http://schemas.openxmlformats.org/officeDocument/2006/relationships" ref="J130" r:id="rId681"/>
    <hyperlink xmlns:r="http://schemas.openxmlformats.org/officeDocument/2006/relationships" ref="L130" r:id="rId682"/>
    <hyperlink xmlns:r="http://schemas.openxmlformats.org/officeDocument/2006/relationships" ref="N130" r:id="rId683"/>
    <hyperlink xmlns:r="http://schemas.openxmlformats.org/officeDocument/2006/relationships" ref="O130" r:id="rId684"/>
    <hyperlink xmlns:r="http://schemas.openxmlformats.org/officeDocument/2006/relationships" ref="F131" r:id="rId685"/>
    <hyperlink xmlns:r="http://schemas.openxmlformats.org/officeDocument/2006/relationships" ref="G131" r:id="rId686"/>
    <hyperlink xmlns:r="http://schemas.openxmlformats.org/officeDocument/2006/relationships" ref="H131" r:id="rId687"/>
    <hyperlink xmlns:r="http://schemas.openxmlformats.org/officeDocument/2006/relationships" ref="J131" r:id="rId688"/>
    <hyperlink xmlns:r="http://schemas.openxmlformats.org/officeDocument/2006/relationships" ref="L131" r:id="rId689"/>
    <hyperlink xmlns:r="http://schemas.openxmlformats.org/officeDocument/2006/relationships" ref="N131" r:id="rId690"/>
    <hyperlink xmlns:r="http://schemas.openxmlformats.org/officeDocument/2006/relationships" ref="O131" r:id="rId691"/>
    <hyperlink xmlns:r="http://schemas.openxmlformats.org/officeDocument/2006/relationships" ref="F132" r:id="rId692"/>
    <hyperlink xmlns:r="http://schemas.openxmlformats.org/officeDocument/2006/relationships" ref="G132" r:id="rId693"/>
    <hyperlink xmlns:r="http://schemas.openxmlformats.org/officeDocument/2006/relationships" ref="H132" r:id="rId694"/>
    <hyperlink xmlns:r="http://schemas.openxmlformats.org/officeDocument/2006/relationships" ref="J132" r:id="rId695"/>
    <hyperlink xmlns:r="http://schemas.openxmlformats.org/officeDocument/2006/relationships" ref="L132" r:id="rId696"/>
    <hyperlink xmlns:r="http://schemas.openxmlformats.org/officeDocument/2006/relationships" ref="N132" r:id="rId697"/>
    <hyperlink xmlns:r="http://schemas.openxmlformats.org/officeDocument/2006/relationships" ref="O132" r:id="rId698"/>
    <hyperlink xmlns:r="http://schemas.openxmlformats.org/officeDocument/2006/relationships" ref="F133" r:id="rId699"/>
    <hyperlink xmlns:r="http://schemas.openxmlformats.org/officeDocument/2006/relationships" ref="G133" r:id="rId700"/>
    <hyperlink xmlns:r="http://schemas.openxmlformats.org/officeDocument/2006/relationships" ref="H133" r:id="rId701"/>
    <hyperlink xmlns:r="http://schemas.openxmlformats.org/officeDocument/2006/relationships" ref="J133" r:id="rId702"/>
    <hyperlink xmlns:r="http://schemas.openxmlformats.org/officeDocument/2006/relationships" ref="L133" r:id="rId703"/>
    <hyperlink xmlns:r="http://schemas.openxmlformats.org/officeDocument/2006/relationships" ref="N133" r:id="rId704"/>
    <hyperlink xmlns:r="http://schemas.openxmlformats.org/officeDocument/2006/relationships" ref="O133" r:id="rId705"/>
    <hyperlink xmlns:r="http://schemas.openxmlformats.org/officeDocument/2006/relationships" ref="F134" r:id="rId706"/>
    <hyperlink xmlns:r="http://schemas.openxmlformats.org/officeDocument/2006/relationships" ref="G134" r:id="rId707"/>
    <hyperlink xmlns:r="http://schemas.openxmlformats.org/officeDocument/2006/relationships" ref="H134" r:id="rId708"/>
    <hyperlink xmlns:r="http://schemas.openxmlformats.org/officeDocument/2006/relationships" ref="J134" r:id="rId709"/>
    <hyperlink xmlns:r="http://schemas.openxmlformats.org/officeDocument/2006/relationships" ref="L134" r:id="rId710"/>
    <hyperlink xmlns:r="http://schemas.openxmlformats.org/officeDocument/2006/relationships" ref="N134" r:id="rId711"/>
    <hyperlink xmlns:r="http://schemas.openxmlformats.org/officeDocument/2006/relationships" ref="O134" r:id="rId712"/>
    <hyperlink xmlns:r="http://schemas.openxmlformats.org/officeDocument/2006/relationships" ref="F135" r:id="rId713"/>
    <hyperlink xmlns:r="http://schemas.openxmlformats.org/officeDocument/2006/relationships" ref="G135" r:id="rId714"/>
    <hyperlink xmlns:r="http://schemas.openxmlformats.org/officeDocument/2006/relationships" ref="H135" r:id="rId715"/>
    <hyperlink xmlns:r="http://schemas.openxmlformats.org/officeDocument/2006/relationships" ref="J135" r:id="rId716"/>
    <hyperlink xmlns:r="http://schemas.openxmlformats.org/officeDocument/2006/relationships" ref="L135" r:id="rId717"/>
    <hyperlink xmlns:r="http://schemas.openxmlformats.org/officeDocument/2006/relationships" ref="N135" r:id="rId718"/>
    <hyperlink xmlns:r="http://schemas.openxmlformats.org/officeDocument/2006/relationships" ref="O135" r:id="rId719"/>
    <hyperlink xmlns:r="http://schemas.openxmlformats.org/officeDocument/2006/relationships" ref="F136" r:id="rId720"/>
    <hyperlink xmlns:r="http://schemas.openxmlformats.org/officeDocument/2006/relationships" ref="G136" r:id="rId721"/>
    <hyperlink xmlns:r="http://schemas.openxmlformats.org/officeDocument/2006/relationships" ref="H136" r:id="rId722"/>
    <hyperlink xmlns:r="http://schemas.openxmlformats.org/officeDocument/2006/relationships" ref="J136" r:id="rId723"/>
    <hyperlink xmlns:r="http://schemas.openxmlformats.org/officeDocument/2006/relationships" ref="L136" r:id="rId724"/>
    <hyperlink xmlns:r="http://schemas.openxmlformats.org/officeDocument/2006/relationships" ref="F137" r:id="rId725"/>
    <hyperlink xmlns:r="http://schemas.openxmlformats.org/officeDocument/2006/relationships" ref="G137" r:id="rId726"/>
    <hyperlink xmlns:r="http://schemas.openxmlformats.org/officeDocument/2006/relationships" ref="H137" r:id="rId727"/>
    <hyperlink xmlns:r="http://schemas.openxmlformats.org/officeDocument/2006/relationships" ref="J137" r:id="rId728"/>
    <hyperlink xmlns:r="http://schemas.openxmlformats.org/officeDocument/2006/relationships" ref="L137" r:id="rId729"/>
    <hyperlink xmlns:r="http://schemas.openxmlformats.org/officeDocument/2006/relationships" ref="N137" r:id="rId730"/>
    <hyperlink xmlns:r="http://schemas.openxmlformats.org/officeDocument/2006/relationships" ref="O137" r:id="rId731"/>
    <hyperlink xmlns:r="http://schemas.openxmlformats.org/officeDocument/2006/relationships" ref="F138" r:id="rId732"/>
    <hyperlink xmlns:r="http://schemas.openxmlformats.org/officeDocument/2006/relationships" ref="G138" r:id="rId733"/>
    <hyperlink xmlns:r="http://schemas.openxmlformats.org/officeDocument/2006/relationships" ref="H138" r:id="rId734"/>
    <hyperlink xmlns:r="http://schemas.openxmlformats.org/officeDocument/2006/relationships" ref="J138" r:id="rId735"/>
    <hyperlink xmlns:r="http://schemas.openxmlformats.org/officeDocument/2006/relationships" ref="L138" r:id="rId736"/>
    <hyperlink xmlns:r="http://schemas.openxmlformats.org/officeDocument/2006/relationships" ref="N138" r:id="rId737"/>
    <hyperlink xmlns:r="http://schemas.openxmlformats.org/officeDocument/2006/relationships" ref="O138" r:id="rId738"/>
    <hyperlink xmlns:r="http://schemas.openxmlformats.org/officeDocument/2006/relationships" ref="F139" r:id="rId739"/>
    <hyperlink xmlns:r="http://schemas.openxmlformats.org/officeDocument/2006/relationships" ref="G139" r:id="rId740"/>
    <hyperlink xmlns:r="http://schemas.openxmlformats.org/officeDocument/2006/relationships" ref="H139" r:id="rId741"/>
    <hyperlink xmlns:r="http://schemas.openxmlformats.org/officeDocument/2006/relationships" ref="J139" r:id="rId742"/>
    <hyperlink xmlns:r="http://schemas.openxmlformats.org/officeDocument/2006/relationships" ref="L139" r:id="rId743"/>
    <hyperlink xmlns:r="http://schemas.openxmlformats.org/officeDocument/2006/relationships" ref="N139" r:id="rId744"/>
    <hyperlink xmlns:r="http://schemas.openxmlformats.org/officeDocument/2006/relationships" ref="O139" r:id="rId745"/>
    <hyperlink xmlns:r="http://schemas.openxmlformats.org/officeDocument/2006/relationships" ref="F140" r:id="rId746"/>
    <hyperlink xmlns:r="http://schemas.openxmlformats.org/officeDocument/2006/relationships" ref="G140" r:id="rId747"/>
    <hyperlink xmlns:r="http://schemas.openxmlformats.org/officeDocument/2006/relationships" ref="H140" r:id="rId748"/>
    <hyperlink xmlns:r="http://schemas.openxmlformats.org/officeDocument/2006/relationships" ref="J140" r:id="rId749"/>
    <hyperlink xmlns:r="http://schemas.openxmlformats.org/officeDocument/2006/relationships" ref="L140" r:id="rId750"/>
    <hyperlink xmlns:r="http://schemas.openxmlformats.org/officeDocument/2006/relationships" ref="N140" r:id="rId751"/>
    <hyperlink xmlns:r="http://schemas.openxmlformats.org/officeDocument/2006/relationships" ref="O140" r:id="rId752"/>
    <hyperlink xmlns:r="http://schemas.openxmlformats.org/officeDocument/2006/relationships" ref="F141" r:id="rId753"/>
    <hyperlink xmlns:r="http://schemas.openxmlformats.org/officeDocument/2006/relationships" ref="G141" r:id="rId754"/>
    <hyperlink xmlns:r="http://schemas.openxmlformats.org/officeDocument/2006/relationships" ref="H141" r:id="rId755"/>
    <hyperlink xmlns:r="http://schemas.openxmlformats.org/officeDocument/2006/relationships" ref="J141" r:id="rId756"/>
    <hyperlink xmlns:r="http://schemas.openxmlformats.org/officeDocument/2006/relationships" ref="L141" r:id="rId757"/>
    <hyperlink xmlns:r="http://schemas.openxmlformats.org/officeDocument/2006/relationships" ref="N141" r:id="rId758"/>
    <hyperlink xmlns:r="http://schemas.openxmlformats.org/officeDocument/2006/relationships" ref="O141" r:id="rId759"/>
    <hyperlink xmlns:r="http://schemas.openxmlformats.org/officeDocument/2006/relationships" ref="F142" r:id="rId760"/>
    <hyperlink xmlns:r="http://schemas.openxmlformats.org/officeDocument/2006/relationships" ref="G142" r:id="rId761"/>
    <hyperlink xmlns:r="http://schemas.openxmlformats.org/officeDocument/2006/relationships" ref="H142" r:id="rId762"/>
    <hyperlink xmlns:r="http://schemas.openxmlformats.org/officeDocument/2006/relationships" ref="J142" r:id="rId763"/>
    <hyperlink xmlns:r="http://schemas.openxmlformats.org/officeDocument/2006/relationships" ref="K142" r:id="rId764"/>
    <hyperlink xmlns:r="http://schemas.openxmlformats.org/officeDocument/2006/relationships" ref="L142" r:id="rId765"/>
    <hyperlink xmlns:r="http://schemas.openxmlformats.org/officeDocument/2006/relationships" ref="N142" r:id="rId766"/>
    <hyperlink xmlns:r="http://schemas.openxmlformats.org/officeDocument/2006/relationships" ref="O142" r:id="rId767"/>
    <hyperlink xmlns:r="http://schemas.openxmlformats.org/officeDocument/2006/relationships" ref="F143" r:id="rId768"/>
    <hyperlink xmlns:r="http://schemas.openxmlformats.org/officeDocument/2006/relationships" ref="G143" r:id="rId769"/>
    <hyperlink xmlns:r="http://schemas.openxmlformats.org/officeDocument/2006/relationships" ref="H143" r:id="rId770"/>
    <hyperlink xmlns:r="http://schemas.openxmlformats.org/officeDocument/2006/relationships" ref="J143" r:id="rId771"/>
    <hyperlink xmlns:r="http://schemas.openxmlformats.org/officeDocument/2006/relationships" ref="K143" r:id="rId772"/>
    <hyperlink xmlns:r="http://schemas.openxmlformats.org/officeDocument/2006/relationships" ref="L143" r:id="rId773"/>
    <hyperlink xmlns:r="http://schemas.openxmlformats.org/officeDocument/2006/relationships" ref="N143" r:id="rId774"/>
    <hyperlink xmlns:r="http://schemas.openxmlformats.org/officeDocument/2006/relationships" ref="O143" r:id="rId775"/>
    <hyperlink xmlns:r="http://schemas.openxmlformats.org/officeDocument/2006/relationships" ref="F146" r:id="rId776"/>
    <hyperlink xmlns:r="http://schemas.openxmlformats.org/officeDocument/2006/relationships" ref="G146" r:id="rId777"/>
    <hyperlink xmlns:r="http://schemas.openxmlformats.org/officeDocument/2006/relationships" ref="H146" r:id="rId778"/>
    <hyperlink xmlns:r="http://schemas.openxmlformats.org/officeDocument/2006/relationships" ref="J146" r:id="rId779"/>
    <hyperlink xmlns:r="http://schemas.openxmlformats.org/officeDocument/2006/relationships" ref="L146" r:id="rId780"/>
    <hyperlink xmlns:r="http://schemas.openxmlformats.org/officeDocument/2006/relationships" ref="N146" r:id="rId781"/>
    <hyperlink xmlns:r="http://schemas.openxmlformats.org/officeDocument/2006/relationships" ref="O146" r:id="rId782"/>
    <hyperlink xmlns:r="http://schemas.openxmlformats.org/officeDocument/2006/relationships" ref="F147" r:id="rId783"/>
    <hyperlink xmlns:r="http://schemas.openxmlformats.org/officeDocument/2006/relationships" ref="G147" r:id="rId784"/>
    <hyperlink xmlns:r="http://schemas.openxmlformats.org/officeDocument/2006/relationships" ref="H147" r:id="rId785"/>
    <hyperlink xmlns:r="http://schemas.openxmlformats.org/officeDocument/2006/relationships" ref="J147" r:id="rId786"/>
    <hyperlink xmlns:r="http://schemas.openxmlformats.org/officeDocument/2006/relationships" ref="L147" r:id="rId787"/>
    <hyperlink xmlns:r="http://schemas.openxmlformats.org/officeDocument/2006/relationships" ref="N147" r:id="rId788"/>
    <hyperlink xmlns:r="http://schemas.openxmlformats.org/officeDocument/2006/relationships" ref="O147" r:id="rId789"/>
    <hyperlink xmlns:r="http://schemas.openxmlformats.org/officeDocument/2006/relationships" ref="F148" r:id="rId790"/>
    <hyperlink xmlns:r="http://schemas.openxmlformats.org/officeDocument/2006/relationships" ref="G148" r:id="rId791"/>
    <hyperlink xmlns:r="http://schemas.openxmlformats.org/officeDocument/2006/relationships" ref="H148" r:id="rId792"/>
    <hyperlink xmlns:r="http://schemas.openxmlformats.org/officeDocument/2006/relationships" ref="J148" r:id="rId793"/>
    <hyperlink xmlns:r="http://schemas.openxmlformats.org/officeDocument/2006/relationships" ref="L148" r:id="rId794"/>
    <hyperlink xmlns:r="http://schemas.openxmlformats.org/officeDocument/2006/relationships" ref="N148" r:id="rId795"/>
    <hyperlink xmlns:r="http://schemas.openxmlformats.org/officeDocument/2006/relationships" ref="O148" r:id="rId796"/>
    <hyperlink xmlns:r="http://schemas.openxmlformats.org/officeDocument/2006/relationships" ref="F149" r:id="rId797"/>
    <hyperlink xmlns:r="http://schemas.openxmlformats.org/officeDocument/2006/relationships" ref="G149" r:id="rId798"/>
    <hyperlink xmlns:r="http://schemas.openxmlformats.org/officeDocument/2006/relationships" ref="H149" r:id="rId799"/>
    <hyperlink xmlns:r="http://schemas.openxmlformats.org/officeDocument/2006/relationships" ref="J149" r:id="rId800"/>
    <hyperlink xmlns:r="http://schemas.openxmlformats.org/officeDocument/2006/relationships" ref="L149" r:id="rId801"/>
    <hyperlink xmlns:r="http://schemas.openxmlformats.org/officeDocument/2006/relationships" ref="N149" r:id="rId802"/>
    <hyperlink xmlns:r="http://schemas.openxmlformats.org/officeDocument/2006/relationships" ref="O149" r:id="rId803"/>
    <hyperlink xmlns:r="http://schemas.openxmlformats.org/officeDocument/2006/relationships" ref="F150" r:id="rId804"/>
    <hyperlink xmlns:r="http://schemas.openxmlformats.org/officeDocument/2006/relationships" ref="G150" r:id="rId805"/>
    <hyperlink xmlns:r="http://schemas.openxmlformats.org/officeDocument/2006/relationships" ref="H150" r:id="rId806"/>
    <hyperlink xmlns:r="http://schemas.openxmlformats.org/officeDocument/2006/relationships" ref="J150" r:id="rId807"/>
    <hyperlink xmlns:r="http://schemas.openxmlformats.org/officeDocument/2006/relationships" ref="L150" r:id="rId808"/>
    <hyperlink xmlns:r="http://schemas.openxmlformats.org/officeDocument/2006/relationships" ref="N150" r:id="rId809"/>
    <hyperlink xmlns:r="http://schemas.openxmlformats.org/officeDocument/2006/relationships" ref="O150" r:id="rId810"/>
    <hyperlink xmlns:r="http://schemas.openxmlformats.org/officeDocument/2006/relationships" ref="F151" r:id="rId811"/>
    <hyperlink xmlns:r="http://schemas.openxmlformats.org/officeDocument/2006/relationships" ref="G151" r:id="rId812"/>
    <hyperlink xmlns:r="http://schemas.openxmlformats.org/officeDocument/2006/relationships" ref="H151" r:id="rId813"/>
    <hyperlink xmlns:r="http://schemas.openxmlformats.org/officeDocument/2006/relationships" ref="J151" r:id="rId814"/>
    <hyperlink xmlns:r="http://schemas.openxmlformats.org/officeDocument/2006/relationships" ref="L151" r:id="rId815"/>
    <hyperlink xmlns:r="http://schemas.openxmlformats.org/officeDocument/2006/relationships" ref="N151" r:id="rId816"/>
    <hyperlink xmlns:r="http://schemas.openxmlformats.org/officeDocument/2006/relationships" ref="O151" r:id="rId817"/>
    <hyperlink xmlns:r="http://schemas.openxmlformats.org/officeDocument/2006/relationships" ref="F152" r:id="rId818"/>
    <hyperlink xmlns:r="http://schemas.openxmlformats.org/officeDocument/2006/relationships" ref="G152" r:id="rId819"/>
    <hyperlink xmlns:r="http://schemas.openxmlformats.org/officeDocument/2006/relationships" ref="H152" r:id="rId820"/>
    <hyperlink xmlns:r="http://schemas.openxmlformats.org/officeDocument/2006/relationships" ref="J152" r:id="rId821"/>
    <hyperlink xmlns:r="http://schemas.openxmlformats.org/officeDocument/2006/relationships" ref="K152" r:id="rId822"/>
    <hyperlink xmlns:r="http://schemas.openxmlformats.org/officeDocument/2006/relationships" ref="L152" r:id="rId823"/>
    <hyperlink xmlns:r="http://schemas.openxmlformats.org/officeDocument/2006/relationships" ref="F153" r:id="rId824"/>
    <hyperlink xmlns:r="http://schemas.openxmlformats.org/officeDocument/2006/relationships" ref="G153" r:id="rId825"/>
    <hyperlink xmlns:r="http://schemas.openxmlformats.org/officeDocument/2006/relationships" ref="H153" r:id="rId826"/>
    <hyperlink xmlns:r="http://schemas.openxmlformats.org/officeDocument/2006/relationships" ref="J153" r:id="rId827"/>
    <hyperlink xmlns:r="http://schemas.openxmlformats.org/officeDocument/2006/relationships" ref="L153" r:id="rId828"/>
    <hyperlink xmlns:r="http://schemas.openxmlformats.org/officeDocument/2006/relationships" ref="N153" r:id="rId829"/>
    <hyperlink xmlns:r="http://schemas.openxmlformats.org/officeDocument/2006/relationships" ref="O153" r:id="rId830"/>
    <hyperlink xmlns:r="http://schemas.openxmlformats.org/officeDocument/2006/relationships" ref="F154" r:id="rId831"/>
    <hyperlink xmlns:r="http://schemas.openxmlformats.org/officeDocument/2006/relationships" ref="G154" r:id="rId832"/>
    <hyperlink xmlns:r="http://schemas.openxmlformats.org/officeDocument/2006/relationships" ref="H154" r:id="rId833"/>
    <hyperlink xmlns:r="http://schemas.openxmlformats.org/officeDocument/2006/relationships" ref="J154" r:id="rId834"/>
    <hyperlink xmlns:r="http://schemas.openxmlformats.org/officeDocument/2006/relationships" ref="L154" r:id="rId835"/>
    <hyperlink xmlns:r="http://schemas.openxmlformats.org/officeDocument/2006/relationships" ref="N154" r:id="rId836"/>
    <hyperlink xmlns:r="http://schemas.openxmlformats.org/officeDocument/2006/relationships" ref="O154" r:id="rId837"/>
    <hyperlink xmlns:r="http://schemas.openxmlformats.org/officeDocument/2006/relationships" ref="F155" r:id="rId838"/>
    <hyperlink xmlns:r="http://schemas.openxmlformats.org/officeDocument/2006/relationships" ref="G155" r:id="rId839"/>
    <hyperlink xmlns:r="http://schemas.openxmlformats.org/officeDocument/2006/relationships" ref="H155" r:id="rId840"/>
    <hyperlink xmlns:r="http://schemas.openxmlformats.org/officeDocument/2006/relationships" ref="J155" r:id="rId841"/>
    <hyperlink xmlns:r="http://schemas.openxmlformats.org/officeDocument/2006/relationships" ref="L155" r:id="rId842"/>
    <hyperlink xmlns:r="http://schemas.openxmlformats.org/officeDocument/2006/relationships" ref="N155" r:id="rId843"/>
    <hyperlink xmlns:r="http://schemas.openxmlformats.org/officeDocument/2006/relationships" ref="O155" r:id="rId844"/>
    <hyperlink xmlns:r="http://schemas.openxmlformats.org/officeDocument/2006/relationships" ref="F156" r:id="rId845"/>
    <hyperlink xmlns:r="http://schemas.openxmlformats.org/officeDocument/2006/relationships" ref="G156" r:id="rId846"/>
    <hyperlink xmlns:r="http://schemas.openxmlformats.org/officeDocument/2006/relationships" ref="H156" r:id="rId847"/>
    <hyperlink xmlns:r="http://schemas.openxmlformats.org/officeDocument/2006/relationships" ref="J156" r:id="rId848"/>
    <hyperlink xmlns:r="http://schemas.openxmlformats.org/officeDocument/2006/relationships" ref="L156" r:id="rId849"/>
    <hyperlink xmlns:r="http://schemas.openxmlformats.org/officeDocument/2006/relationships" ref="N156" r:id="rId850"/>
    <hyperlink xmlns:r="http://schemas.openxmlformats.org/officeDocument/2006/relationships" ref="O156" r:id="rId851"/>
    <hyperlink xmlns:r="http://schemas.openxmlformats.org/officeDocument/2006/relationships" ref="F157" r:id="rId852"/>
    <hyperlink xmlns:r="http://schemas.openxmlformats.org/officeDocument/2006/relationships" ref="G157" r:id="rId853"/>
    <hyperlink xmlns:r="http://schemas.openxmlformats.org/officeDocument/2006/relationships" ref="H157" r:id="rId854"/>
    <hyperlink xmlns:r="http://schemas.openxmlformats.org/officeDocument/2006/relationships" ref="J157" r:id="rId855"/>
    <hyperlink xmlns:r="http://schemas.openxmlformats.org/officeDocument/2006/relationships" ref="L157" r:id="rId856"/>
    <hyperlink xmlns:r="http://schemas.openxmlformats.org/officeDocument/2006/relationships" ref="N157" r:id="rId857"/>
    <hyperlink xmlns:r="http://schemas.openxmlformats.org/officeDocument/2006/relationships" ref="O157" r:id="rId858"/>
    <hyperlink xmlns:r="http://schemas.openxmlformats.org/officeDocument/2006/relationships" ref="F160" r:id="rId859"/>
    <hyperlink xmlns:r="http://schemas.openxmlformats.org/officeDocument/2006/relationships" ref="G160" r:id="rId860"/>
    <hyperlink xmlns:r="http://schemas.openxmlformats.org/officeDocument/2006/relationships" ref="H160" r:id="rId861"/>
    <hyperlink xmlns:r="http://schemas.openxmlformats.org/officeDocument/2006/relationships" ref="J160" r:id="rId862"/>
    <hyperlink xmlns:r="http://schemas.openxmlformats.org/officeDocument/2006/relationships" ref="L160" r:id="rId863"/>
    <hyperlink xmlns:r="http://schemas.openxmlformats.org/officeDocument/2006/relationships" ref="N160" r:id="rId864"/>
    <hyperlink xmlns:r="http://schemas.openxmlformats.org/officeDocument/2006/relationships" ref="O160" r:id="rId865"/>
    <hyperlink xmlns:r="http://schemas.openxmlformats.org/officeDocument/2006/relationships" ref="F161" r:id="rId866"/>
    <hyperlink xmlns:r="http://schemas.openxmlformats.org/officeDocument/2006/relationships" ref="G161" r:id="rId867"/>
    <hyperlink xmlns:r="http://schemas.openxmlformats.org/officeDocument/2006/relationships" ref="H161" r:id="rId868"/>
    <hyperlink xmlns:r="http://schemas.openxmlformats.org/officeDocument/2006/relationships" ref="J161" r:id="rId869"/>
    <hyperlink xmlns:r="http://schemas.openxmlformats.org/officeDocument/2006/relationships" ref="L161" r:id="rId870"/>
    <hyperlink xmlns:r="http://schemas.openxmlformats.org/officeDocument/2006/relationships" ref="N161" r:id="rId871"/>
    <hyperlink xmlns:r="http://schemas.openxmlformats.org/officeDocument/2006/relationships" ref="O161" r:id="rId872"/>
    <hyperlink xmlns:r="http://schemas.openxmlformats.org/officeDocument/2006/relationships" ref="F162" r:id="rId873"/>
    <hyperlink xmlns:r="http://schemas.openxmlformats.org/officeDocument/2006/relationships" ref="G162" r:id="rId874"/>
    <hyperlink xmlns:r="http://schemas.openxmlformats.org/officeDocument/2006/relationships" ref="H162" r:id="rId875"/>
    <hyperlink xmlns:r="http://schemas.openxmlformats.org/officeDocument/2006/relationships" ref="J162" r:id="rId876"/>
    <hyperlink xmlns:r="http://schemas.openxmlformats.org/officeDocument/2006/relationships" ref="L162" r:id="rId877"/>
    <hyperlink xmlns:r="http://schemas.openxmlformats.org/officeDocument/2006/relationships" ref="N162" r:id="rId878"/>
    <hyperlink xmlns:r="http://schemas.openxmlformats.org/officeDocument/2006/relationships" ref="O162" r:id="rId879"/>
    <hyperlink xmlns:r="http://schemas.openxmlformats.org/officeDocument/2006/relationships" ref="F165" r:id="rId880"/>
    <hyperlink xmlns:r="http://schemas.openxmlformats.org/officeDocument/2006/relationships" ref="G165" r:id="rId881"/>
    <hyperlink xmlns:r="http://schemas.openxmlformats.org/officeDocument/2006/relationships" ref="H165" r:id="rId882"/>
    <hyperlink xmlns:r="http://schemas.openxmlformats.org/officeDocument/2006/relationships" ref="J165" r:id="rId883"/>
    <hyperlink xmlns:r="http://schemas.openxmlformats.org/officeDocument/2006/relationships" ref="L165" r:id="rId884"/>
    <hyperlink xmlns:r="http://schemas.openxmlformats.org/officeDocument/2006/relationships" ref="N165" r:id="rId885"/>
    <hyperlink xmlns:r="http://schemas.openxmlformats.org/officeDocument/2006/relationships" ref="O165" r:id="rId886"/>
    <hyperlink xmlns:r="http://schemas.openxmlformats.org/officeDocument/2006/relationships" ref="F166" r:id="rId887"/>
    <hyperlink xmlns:r="http://schemas.openxmlformats.org/officeDocument/2006/relationships" ref="F167" r:id="rId888"/>
    <hyperlink xmlns:r="http://schemas.openxmlformats.org/officeDocument/2006/relationships" ref="G167" r:id="rId889"/>
    <hyperlink xmlns:r="http://schemas.openxmlformats.org/officeDocument/2006/relationships" ref="H167" r:id="rId890"/>
    <hyperlink xmlns:r="http://schemas.openxmlformats.org/officeDocument/2006/relationships" ref="J167" r:id="rId891"/>
    <hyperlink xmlns:r="http://schemas.openxmlformats.org/officeDocument/2006/relationships" ref="L167" r:id="rId892"/>
    <hyperlink xmlns:r="http://schemas.openxmlformats.org/officeDocument/2006/relationships" ref="F168" r:id="rId893"/>
    <hyperlink xmlns:r="http://schemas.openxmlformats.org/officeDocument/2006/relationships" ref="G168" r:id="rId894"/>
    <hyperlink xmlns:r="http://schemas.openxmlformats.org/officeDocument/2006/relationships" ref="H168" r:id="rId895"/>
    <hyperlink xmlns:r="http://schemas.openxmlformats.org/officeDocument/2006/relationships" ref="J168" r:id="rId896"/>
    <hyperlink xmlns:r="http://schemas.openxmlformats.org/officeDocument/2006/relationships" ref="L168" r:id="rId897"/>
    <hyperlink xmlns:r="http://schemas.openxmlformats.org/officeDocument/2006/relationships" ref="N168" r:id="rId898"/>
    <hyperlink xmlns:r="http://schemas.openxmlformats.org/officeDocument/2006/relationships" ref="O168" r:id="rId899"/>
    <hyperlink xmlns:r="http://schemas.openxmlformats.org/officeDocument/2006/relationships" ref="F169" r:id="rId900"/>
    <hyperlink xmlns:r="http://schemas.openxmlformats.org/officeDocument/2006/relationships" ref="G169" r:id="rId901"/>
    <hyperlink xmlns:r="http://schemas.openxmlformats.org/officeDocument/2006/relationships" ref="H169" r:id="rId902"/>
    <hyperlink xmlns:r="http://schemas.openxmlformats.org/officeDocument/2006/relationships" ref="J169" r:id="rId903"/>
    <hyperlink xmlns:r="http://schemas.openxmlformats.org/officeDocument/2006/relationships" ref="L169" r:id="rId904"/>
    <hyperlink xmlns:r="http://schemas.openxmlformats.org/officeDocument/2006/relationships" ref="N169" r:id="rId905"/>
    <hyperlink xmlns:r="http://schemas.openxmlformats.org/officeDocument/2006/relationships" ref="O169" r:id="rId906"/>
    <hyperlink xmlns:r="http://schemas.openxmlformats.org/officeDocument/2006/relationships" ref="F170" r:id="rId907"/>
    <hyperlink xmlns:r="http://schemas.openxmlformats.org/officeDocument/2006/relationships" ref="G170" r:id="rId908"/>
    <hyperlink xmlns:r="http://schemas.openxmlformats.org/officeDocument/2006/relationships" ref="H170" r:id="rId909"/>
    <hyperlink xmlns:r="http://schemas.openxmlformats.org/officeDocument/2006/relationships" ref="J170" r:id="rId910"/>
    <hyperlink xmlns:r="http://schemas.openxmlformats.org/officeDocument/2006/relationships" ref="L170" r:id="rId911"/>
    <hyperlink xmlns:r="http://schemas.openxmlformats.org/officeDocument/2006/relationships" ref="N170" r:id="rId912"/>
    <hyperlink xmlns:r="http://schemas.openxmlformats.org/officeDocument/2006/relationships" ref="O170" r:id="rId913"/>
    <hyperlink xmlns:r="http://schemas.openxmlformats.org/officeDocument/2006/relationships" ref="F171" r:id="rId914"/>
    <hyperlink xmlns:r="http://schemas.openxmlformats.org/officeDocument/2006/relationships" ref="F172" r:id="rId915"/>
    <hyperlink xmlns:r="http://schemas.openxmlformats.org/officeDocument/2006/relationships" ref="G172" r:id="rId916"/>
    <hyperlink xmlns:r="http://schemas.openxmlformats.org/officeDocument/2006/relationships" ref="H172" r:id="rId917"/>
    <hyperlink xmlns:r="http://schemas.openxmlformats.org/officeDocument/2006/relationships" ref="J172" r:id="rId918"/>
    <hyperlink xmlns:r="http://schemas.openxmlformats.org/officeDocument/2006/relationships" ref="K172" r:id="rId919"/>
    <hyperlink xmlns:r="http://schemas.openxmlformats.org/officeDocument/2006/relationships" ref="L172" r:id="rId920"/>
    <hyperlink xmlns:r="http://schemas.openxmlformats.org/officeDocument/2006/relationships" ref="F175" r:id="rId921"/>
    <hyperlink xmlns:r="http://schemas.openxmlformats.org/officeDocument/2006/relationships" ref="G175" r:id="rId922"/>
    <hyperlink xmlns:r="http://schemas.openxmlformats.org/officeDocument/2006/relationships" ref="H175" r:id="rId923"/>
    <hyperlink xmlns:r="http://schemas.openxmlformats.org/officeDocument/2006/relationships" ref="J175" r:id="rId924"/>
    <hyperlink xmlns:r="http://schemas.openxmlformats.org/officeDocument/2006/relationships" ref="L175" r:id="rId925"/>
    <hyperlink xmlns:r="http://schemas.openxmlformats.org/officeDocument/2006/relationships" ref="N175" r:id="rId926"/>
    <hyperlink xmlns:r="http://schemas.openxmlformats.org/officeDocument/2006/relationships" ref="O175" r:id="rId927"/>
    <hyperlink xmlns:r="http://schemas.openxmlformats.org/officeDocument/2006/relationships" ref="F176" r:id="rId928"/>
    <hyperlink xmlns:r="http://schemas.openxmlformats.org/officeDocument/2006/relationships" ref="G176" r:id="rId929"/>
    <hyperlink xmlns:r="http://schemas.openxmlformats.org/officeDocument/2006/relationships" ref="H176" r:id="rId930"/>
    <hyperlink xmlns:r="http://schemas.openxmlformats.org/officeDocument/2006/relationships" ref="J176" r:id="rId931"/>
    <hyperlink xmlns:r="http://schemas.openxmlformats.org/officeDocument/2006/relationships" ref="L176" r:id="rId932"/>
    <hyperlink xmlns:r="http://schemas.openxmlformats.org/officeDocument/2006/relationships" ref="N176" r:id="rId933"/>
    <hyperlink xmlns:r="http://schemas.openxmlformats.org/officeDocument/2006/relationships" ref="O176" r:id="rId934"/>
    <hyperlink xmlns:r="http://schemas.openxmlformats.org/officeDocument/2006/relationships" ref="F177" r:id="rId935"/>
    <hyperlink xmlns:r="http://schemas.openxmlformats.org/officeDocument/2006/relationships" ref="G177" r:id="rId936"/>
    <hyperlink xmlns:r="http://schemas.openxmlformats.org/officeDocument/2006/relationships" ref="H177" r:id="rId937"/>
    <hyperlink xmlns:r="http://schemas.openxmlformats.org/officeDocument/2006/relationships" ref="J177" r:id="rId938"/>
    <hyperlink xmlns:r="http://schemas.openxmlformats.org/officeDocument/2006/relationships" ref="L177" r:id="rId939"/>
    <hyperlink xmlns:r="http://schemas.openxmlformats.org/officeDocument/2006/relationships" ref="N177" r:id="rId940"/>
    <hyperlink xmlns:r="http://schemas.openxmlformats.org/officeDocument/2006/relationships" ref="O177" r:id="rId941"/>
    <hyperlink xmlns:r="http://schemas.openxmlformats.org/officeDocument/2006/relationships" ref="F178" r:id="rId942"/>
    <hyperlink xmlns:r="http://schemas.openxmlformats.org/officeDocument/2006/relationships" ref="G178" r:id="rId943"/>
    <hyperlink xmlns:r="http://schemas.openxmlformats.org/officeDocument/2006/relationships" ref="H178" r:id="rId944"/>
    <hyperlink xmlns:r="http://schemas.openxmlformats.org/officeDocument/2006/relationships" ref="J178" r:id="rId945"/>
    <hyperlink xmlns:r="http://schemas.openxmlformats.org/officeDocument/2006/relationships" ref="L178" r:id="rId946"/>
    <hyperlink xmlns:r="http://schemas.openxmlformats.org/officeDocument/2006/relationships" ref="N178" r:id="rId947"/>
    <hyperlink xmlns:r="http://schemas.openxmlformats.org/officeDocument/2006/relationships" ref="O178" r:id="rId948"/>
    <hyperlink xmlns:r="http://schemas.openxmlformats.org/officeDocument/2006/relationships" ref="F179" r:id="rId949"/>
    <hyperlink xmlns:r="http://schemas.openxmlformats.org/officeDocument/2006/relationships" ref="G179" r:id="rId950"/>
    <hyperlink xmlns:r="http://schemas.openxmlformats.org/officeDocument/2006/relationships" ref="H179" r:id="rId951"/>
    <hyperlink xmlns:r="http://schemas.openxmlformats.org/officeDocument/2006/relationships" ref="J179" r:id="rId952"/>
    <hyperlink xmlns:r="http://schemas.openxmlformats.org/officeDocument/2006/relationships" ref="L179" r:id="rId953"/>
    <hyperlink xmlns:r="http://schemas.openxmlformats.org/officeDocument/2006/relationships" ref="N179" r:id="rId954"/>
    <hyperlink xmlns:r="http://schemas.openxmlformats.org/officeDocument/2006/relationships" ref="O179" r:id="rId955"/>
    <hyperlink xmlns:r="http://schemas.openxmlformats.org/officeDocument/2006/relationships" ref="F180" r:id="rId956"/>
    <hyperlink xmlns:r="http://schemas.openxmlformats.org/officeDocument/2006/relationships" ref="G180" r:id="rId957"/>
    <hyperlink xmlns:r="http://schemas.openxmlformats.org/officeDocument/2006/relationships" ref="H180" r:id="rId958"/>
    <hyperlink xmlns:r="http://schemas.openxmlformats.org/officeDocument/2006/relationships" ref="J180" r:id="rId959"/>
    <hyperlink xmlns:r="http://schemas.openxmlformats.org/officeDocument/2006/relationships" ref="K180" r:id="rId960"/>
    <hyperlink xmlns:r="http://schemas.openxmlformats.org/officeDocument/2006/relationships" ref="L180" r:id="rId961"/>
    <hyperlink xmlns:r="http://schemas.openxmlformats.org/officeDocument/2006/relationships" ref="N180" r:id="rId962"/>
    <hyperlink xmlns:r="http://schemas.openxmlformats.org/officeDocument/2006/relationships" ref="O180" r:id="rId963"/>
    <hyperlink xmlns:r="http://schemas.openxmlformats.org/officeDocument/2006/relationships" ref="F181" r:id="rId964"/>
    <hyperlink xmlns:r="http://schemas.openxmlformats.org/officeDocument/2006/relationships" ref="G181" r:id="rId965"/>
    <hyperlink xmlns:r="http://schemas.openxmlformats.org/officeDocument/2006/relationships" ref="H181" r:id="rId966"/>
    <hyperlink xmlns:r="http://schemas.openxmlformats.org/officeDocument/2006/relationships" ref="J181" r:id="rId967"/>
    <hyperlink xmlns:r="http://schemas.openxmlformats.org/officeDocument/2006/relationships" ref="L181" r:id="rId968"/>
    <hyperlink xmlns:r="http://schemas.openxmlformats.org/officeDocument/2006/relationships" ref="N181" r:id="rId969"/>
    <hyperlink xmlns:r="http://schemas.openxmlformats.org/officeDocument/2006/relationships" ref="O181" r:id="rId970"/>
  </hyperlink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0C8599"/>
    <outlinePr summaryBelow="0"/>
    <pageSetUpPr fitToPage="1"/>
  </sheetPr>
  <dimension ref="A1:P67"/>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1" customWidth="1" min="6" max="6"/>
    <col width="23" customWidth="1" min="7" max="7"/>
    <col width="10" customWidth="1" min="8" max="8"/>
    <col width="30" customWidth="1" min="9" max="9"/>
    <col width="23" customWidth="1" min="10" max="10"/>
    <col width="11" customWidth="1" min="11" max="11"/>
    <col width="9" customWidth="1" min="12" max="12"/>
    <col width="30" customWidth="1" min="13" max="13"/>
    <col width="23" customWidth="1" min="14" max="14"/>
    <col width="11" customWidth="1" min="15" max="15"/>
    <col hidden="1" width="13" customWidth="1" min="16" max="16"/>
  </cols>
  <sheetData>
    <row r="1" ht="34" customHeight="1">
      <c r="A1" s="41" t="inlineStr">
        <is>
          <t>Statistics</t>
        </is>
      </c>
    </row>
    <row r="2">
      <c r="A2" s="20" t="inlineStr">
        <is>
          <t>OCR MEI Paper 2  ·  51 topics  ·  pick R, A or G in the yellow Rating column for each one</t>
        </is>
      </c>
    </row>
    <row r="3">
      <c r="A3" s="21">
        <f>"Rated so far: "&amp;(COUNTIF($D$7:$D$67,"R")+COUNTIF($D$7:$D$67,"A")+COUNTIF($D$7:$D$67,"G"))&amp;" of 51     Red "&amp;COUNTIF($D$7:$D$67,"R")&amp;"   ·   Amber "&amp;COUNTIF($D$7:$D$67,"A")&amp;"   ·   Green "&amp;COUNTIF($D$7:$D$67,"G")</f>
        <v/>
      </c>
    </row>
    <row r="4" ht="8" customHeight="1"/>
    <row r="5">
      <c r="A5" s="22" t="inlineStr">
        <is>
          <t>Your check</t>
        </is>
      </c>
      <c r="B5" s="23" t="n"/>
      <c r="C5" s="23" t="n"/>
      <c r="D5" s="23" t="n"/>
      <c r="E5" s="23" t="n"/>
      <c r="F5" s="24" t="inlineStr">
        <is>
          <t>Maths Genie</t>
        </is>
      </c>
      <c r="G5" s="23" t="n"/>
      <c r="H5" s="23" t="n"/>
      <c r="I5" s="24" t="inlineStr">
        <is>
          <t>PMT practice</t>
        </is>
      </c>
      <c r="J5" s="23" t="n"/>
      <c r="K5" s="23" t="n"/>
      <c r="L5" s="23" t="n"/>
      <c r="M5" s="24" t="inlineStr">
        <is>
          <t>OCR MEI past-paper questions</t>
        </is>
      </c>
      <c r="N5" s="23" t="n"/>
      <c r="O5" s="23" t="n"/>
    </row>
    <row r="6" ht="22" customHeight="1">
      <c r="A6" s="42" t="inlineStr">
        <is>
          <t>Ref</t>
        </is>
      </c>
      <c r="B6" s="43" t="inlineStr">
        <is>
          <t>Topic</t>
        </is>
      </c>
      <c r="C6" s="42" t="inlineStr">
        <is>
          <t>Year</t>
        </is>
      </c>
      <c r="D6" s="42" t="inlineStr">
        <is>
          <t>Rating</t>
        </is>
      </c>
      <c r="E6" s="43" t="inlineStr">
        <is>
          <t>Notes</t>
        </is>
      </c>
      <c r="F6" s="42" t="inlineStr">
        <is>
          <t>Video</t>
        </is>
      </c>
      <c r="G6" s="42" t="inlineStr">
        <is>
          <t>Questions</t>
        </is>
      </c>
      <c r="H6" s="42" t="inlineStr">
        <is>
          <t>Answers</t>
        </is>
      </c>
      <c r="I6" s="43" t="inlineStr">
        <is>
          <t>Worksheet</t>
        </is>
      </c>
      <c r="J6" s="42" t="inlineStr">
        <is>
          <t>Questions</t>
        </is>
      </c>
      <c r="K6" s="42" t="inlineStr">
        <is>
          <t>Mark scheme</t>
        </is>
      </c>
      <c r="L6" s="42" t="inlineStr">
        <is>
          <t>Answers</t>
        </is>
      </c>
      <c r="M6" s="43" t="inlineStr">
        <is>
          <t>OCR MEI sheet</t>
        </is>
      </c>
      <c r="N6" s="42" t="inlineStr">
        <is>
          <t>Questions</t>
        </is>
      </c>
      <c r="O6" s="42" t="inlineStr">
        <is>
          <t>Mark scheme</t>
        </is>
      </c>
    </row>
    <row r="7" ht="10" customHeight="1"/>
    <row r="8" ht="26" customHeight="1">
      <c r="A8" s="44" t="n">
        <v>1</v>
      </c>
      <c r="B8" s="45" t="inlineStr">
        <is>
          <t>Sampling</t>
        </is>
      </c>
      <c r="C8" s="46" t="n"/>
      <c r="D8" s="46" t="n"/>
      <c r="E8" s="47" t="inlineStr">
        <is>
          <t>5 topics  ·  Year 1: 5</t>
        </is>
      </c>
      <c r="F8" s="46" t="n"/>
      <c r="G8" s="46" t="n"/>
      <c r="H8" s="46" t="n"/>
      <c r="I8" s="46" t="n"/>
      <c r="J8" s="46" t="n"/>
      <c r="K8" s="46" t="n"/>
      <c r="L8" s="46" t="n"/>
      <c r="M8" s="46" t="n"/>
      <c r="N8" s="46" t="n"/>
      <c r="O8" s="46" t="n"/>
    </row>
    <row r="9" outlineLevel="1" ht="32" customHeight="1">
      <c r="A9" s="31" t="inlineStr">
        <is>
          <t>Mp21</t>
        </is>
      </c>
      <c r="B9" s="32" t="inlineStr">
        <is>
          <t>Population and sample</t>
        </is>
      </c>
      <c r="C9" s="33" t="n">
        <v>1</v>
      </c>
      <c r="D9" s="34" t="n"/>
      <c r="E9" s="35" t="n"/>
      <c r="F9" s="36" t="inlineStr">
        <is>
          <t>▶ Watch</t>
        </is>
      </c>
      <c r="G9" s="36" t="inlineStr">
        <is>
          <t>Q 4, 8</t>
        </is>
      </c>
      <c r="H9" s="36" t="inlineStr">
        <is>
          <t>Answers</t>
        </is>
      </c>
      <c r="I9" s="35" t="inlineStr">
        <is>
          <t>Edexcel: Sampling methods 1</t>
        </is>
      </c>
      <c r="J9" s="36" t="inlineStr">
        <is>
          <t>Pages 1–5</t>
        </is>
      </c>
      <c r="K9" s="37" t="inlineStr">
        <is>
          <t>in the PDF</t>
        </is>
      </c>
      <c r="L9" s="37" t="inlineStr">
        <is>
          <t>in the PDF</t>
        </is>
      </c>
      <c r="M9" s="35" t="inlineStr">
        <is>
          <t>Data Presentation and Interpretation</t>
        </is>
      </c>
      <c r="N9" s="36" t="inlineStr">
        <is>
          <t>Page 11</t>
        </is>
      </c>
      <c r="O9" s="36" t="inlineStr">
        <is>
          <t>Marks</t>
        </is>
      </c>
      <c r="P9" t="inlineStr">
        <is>
          <t>S1</t>
        </is>
      </c>
    </row>
    <row r="10" outlineLevel="1" ht="32" customHeight="1">
      <c r="A10" s="31" t="inlineStr">
        <is>
          <t>Mp22</t>
        </is>
      </c>
      <c r="B10" s="32" t="inlineStr">
        <is>
          <t>Using samples to make informal inferences</t>
        </is>
      </c>
      <c r="C10" s="33" t="n">
        <v>1</v>
      </c>
      <c r="D10" s="34" t="n"/>
      <c r="E10" s="35" t="n"/>
      <c r="F10" s="36" t="inlineStr">
        <is>
          <t>Topic page</t>
        </is>
      </c>
      <c r="G10" s="36" t="inlineStr">
        <is>
          <t>Q 1</t>
        </is>
      </c>
      <c r="H10" s="36" t="inlineStr">
        <is>
          <t>Answers</t>
        </is>
      </c>
      <c r="I10" s="35" t="inlineStr">
        <is>
          <t>Edexcel: Large data sets</t>
        </is>
      </c>
      <c r="J10" s="36" t="inlineStr">
        <is>
          <t>Pages 2, 5, 6</t>
        </is>
      </c>
      <c r="K10" s="36" t="inlineStr">
        <is>
          <t>Marks</t>
        </is>
      </c>
      <c r="L10" s="36" t="inlineStr">
        <is>
          <t>Answers</t>
        </is>
      </c>
      <c r="M10" s="35" t="inlineStr">
        <is>
          <t>Data Presentation and Interpretation</t>
        </is>
      </c>
      <c r="N10" s="36" t="inlineStr">
        <is>
          <t>Pages 11, 15, 25</t>
        </is>
      </c>
      <c r="O10" s="36" t="inlineStr">
        <is>
          <t>Marks</t>
        </is>
      </c>
      <c r="P10" t="inlineStr">
        <is>
          <t>S1</t>
        </is>
      </c>
    </row>
    <row r="11" outlineLevel="1" ht="32" customHeight="1">
      <c r="A11" s="31" t="inlineStr">
        <is>
          <t>Mp23</t>
        </is>
      </c>
      <c r="B11" s="32" t="inlineStr">
        <is>
          <t>Random sampling</t>
        </is>
      </c>
      <c r="C11" s="33" t="n">
        <v>1</v>
      </c>
      <c r="D11" s="34" t="n"/>
      <c r="E11" s="35" t="n"/>
      <c r="F11" s="36" t="inlineStr">
        <is>
          <t>Topic page</t>
        </is>
      </c>
      <c r="G11" s="37" t="inlineStr">
        <is>
          <t>none on this topic</t>
        </is>
      </c>
      <c r="H11" s="39" t="n"/>
      <c r="I11" s="35" t="inlineStr">
        <is>
          <t>Edexcel: Sampling methods 2</t>
        </is>
      </c>
      <c r="J11" s="36" t="inlineStr">
        <is>
          <t>Pages 3, 4</t>
        </is>
      </c>
      <c r="K11" s="37" t="inlineStr">
        <is>
          <t>in the PDF</t>
        </is>
      </c>
      <c r="L11" s="37" t="inlineStr">
        <is>
          <t>in the PDF</t>
        </is>
      </c>
      <c r="M11" s="35" t="inlineStr">
        <is>
          <t>Data Presentation and Interpretation</t>
        </is>
      </c>
      <c r="N11" s="36" t="inlineStr">
        <is>
          <t>Pages 8, 11, 15, 20, 25</t>
        </is>
      </c>
      <c r="O11" s="36" t="inlineStr">
        <is>
          <t>Marks</t>
        </is>
      </c>
      <c r="P11" t="inlineStr">
        <is>
          <t>S1</t>
        </is>
      </c>
    </row>
    <row r="12" outlineLevel="1" ht="20" customHeight="1">
      <c r="A12" s="31" t="inlineStr">
        <is>
          <t>Mp24</t>
        </is>
      </c>
      <c r="B12" s="32" t="inlineStr">
        <is>
          <t>Variety of sampling techniques</t>
        </is>
      </c>
      <c r="C12" s="33" t="n">
        <v>1</v>
      </c>
      <c r="D12" s="34" t="n"/>
      <c r="E12" s="35" t="n"/>
      <c r="F12" s="36" t="inlineStr">
        <is>
          <t>▶ Watch</t>
        </is>
      </c>
      <c r="G12" s="36" t="inlineStr">
        <is>
          <t>Q 1–3, 5–8</t>
        </is>
      </c>
      <c r="H12" s="36" t="inlineStr">
        <is>
          <t>Answers</t>
        </is>
      </c>
      <c r="I12" s="35" t="inlineStr">
        <is>
          <t>Edexcel: Sampling methods 2</t>
        </is>
      </c>
      <c r="J12" s="36" t="inlineStr">
        <is>
          <t>Pages 1–5</t>
        </is>
      </c>
      <c r="K12" s="37" t="inlineStr">
        <is>
          <t>in the PDF</t>
        </is>
      </c>
      <c r="L12" s="37" t="inlineStr">
        <is>
          <t>in the PDF</t>
        </is>
      </c>
      <c r="M12" s="35" t="inlineStr">
        <is>
          <t>Sampling</t>
        </is>
      </c>
      <c r="N12" s="36" t="inlineStr">
        <is>
          <t>Page 1</t>
        </is>
      </c>
      <c r="O12" s="36" t="inlineStr">
        <is>
          <t>Marks</t>
        </is>
      </c>
      <c r="P12" t="inlineStr">
        <is>
          <t>S1</t>
        </is>
      </c>
    </row>
    <row r="13" outlineLevel="1" ht="20" customHeight="1">
      <c r="A13" s="31" t="inlineStr">
        <is>
          <t>Mp25</t>
        </is>
      </c>
      <c r="B13" s="32" t="inlineStr">
        <is>
          <t>Select or evaluate sampling techniques</t>
        </is>
      </c>
      <c r="C13" s="33" t="n">
        <v>1</v>
      </c>
      <c r="D13" s="34" t="n"/>
      <c r="E13" s="35" t="n"/>
      <c r="F13" s="36" t="inlineStr">
        <is>
          <t>Topic page</t>
        </is>
      </c>
      <c r="G13" s="36" t="inlineStr">
        <is>
          <t>Q 4–8</t>
        </is>
      </c>
      <c r="H13" s="36" t="inlineStr">
        <is>
          <t>Answers</t>
        </is>
      </c>
      <c r="I13" s="35" t="inlineStr">
        <is>
          <t>Edexcel: Sampling methods 2</t>
        </is>
      </c>
      <c r="J13" s="36" t="inlineStr">
        <is>
          <t>Pages 1–5</t>
        </is>
      </c>
      <c r="K13" s="37" t="inlineStr">
        <is>
          <t>in the PDF</t>
        </is>
      </c>
      <c r="L13" s="37" t="inlineStr">
        <is>
          <t>in the PDF</t>
        </is>
      </c>
      <c r="M13" s="35" t="inlineStr">
        <is>
          <t>Sampling</t>
        </is>
      </c>
      <c r="N13" s="36" t="inlineStr">
        <is>
          <t>Page 1</t>
        </is>
      </c>
      <c r="O13" s="36" t="inlineStr">
        <is>
          <t>Marks</t>
        </is>
      </c>
      <c r="P13" t="inlineStr">
        <is>
          <t>S1</t>
        </is>
      </c>
    </row>
    <row r="14" ht="10" customHeight="1"/>
    <row r="15" ht="26" customHeight="1">
      <c r="A15" s="44" t="n">
        <v>2</v>
      </c>
      <c r="B15" s="45" t="inlineStr">
        <is>
          <t>Data presentation and interpretation</t>
        </is>
      </c>
      <c r="C15" s="46" t="n"/>
      <c r="D15" s="46" t="n"/>
      <c r="E15" s="47" t="inlineStr">
        <is>
          <t>15 topics  ·  Year 1: 15</t>
        </is>
      </c>
      <c r="F15" s="46" t="n"/>
      <c r="G15" s="46" t="n"/>
      <c r="H15" s="46" t="n"/>
      <c r="I15" s="46" t="n"/>
      <c r="J15" s="46" t="n"/>
      <c r="K15" s="46" t="n"/>
      <c r="L15" s="46" t="n"/>
      <c r="M15" s="46" t="n"/>
      <c r="N15" s="46" t="n"/>
      <c r="O15" s="46" t="n"/>
    </row>
    <row r="16" outlineLevel="1" ht="32" customHeight="1">
      <c r="A16" s="31" t="inlineStr">
        <is>
          <t>MD1</t>
        </is>
      </c>
      <c r="B16" s="32" t="inlineStr">
        <is>
          <t>Types of data and standard diagrams</t>
        </is>
      </c>
      <c r="C16" s="33" t="n">
        <v>1</v>
      </c>
      <c r="D16" s="34" t="n"/>
      <c r="E16" s="35" t="n"/>
      <c r="F16" s="36" t="inlineStr">
        <is>
          <t>▶ Watch</t>
        </is>
      </c>
      <c r="G16" s="36" t="inlineStr">
        <is>
          <t>Q 1–3</t>
        </is>
      </c>
      <c r="H16" s="36" t="inlineStr">
        <is>
          <t>Answers</t>
        </is>
      </c>
      <c r="I16" s="35" t="inlineStr">
        <is>
          <t>Edexcel: Representation and summary data</t>
        </is>
      </c>
      <c r="J16" s="36" t="inlineStr">
        <is>
          <t>Pages 13, 19, 23, 25, 27, 28, 31</t>
        </is>
      </c>
      <c r="K16" s="37" t="inlineStr">
        <is>
          <t>in the PDF</t>
        </is>
      </c>
      <c r="L16" s="37" t="inlineStr">
        <is>
          <t>in the PDF</t>
        </is>
      </c>
      <c r="M16" s="35" t="inlineStr">
        <is>
          <t>Data Presentation and Interpretation</t>
        </is>
      </c>
      <c r="N16" s="36" t="inlineStr">
        <is>
          <t>Pages 2, 5, 9, 22, 26</t>
        </is>
      </c>
      <c r="O16" s="36" t="inlineStr">
        <is>
          <t>Marks</t>
        </is>
      </c>
      <c r="P16" t="inlineStr">
        <is>
          <t>S2</t>
        </is>
      </c>
    </row>
    <row r="17" outlineLevel="1" ht="32" customHeight="1">
      <c r="A17" s="31" t="inlineStr">
        <is>
          <t>MD2</t>
        </is>
      </c>
      <c r="B17" s="32" t="inlineStr">
        <is>
          <t>Area in a histogram is proportional to frequency</t>
        </is>
      </c>
      <c r="C17" s="33" t="n">
        <v>1</v>
      </c>
      <c r="D17" s="34" t="n"/>
      <c r="E17" s="35" t="n"/>
      <c r="F17" s="36" t="inlineStr">
        <is>
          <t>▶ Watch</t>
        </is>
      </c>
      <c r="G17" s="36" t="inlineStr">
        <is>
          <t>Q 1–3, 5–8</t>
        </is>
      </c>
      <c r="H17" s="36" t="inlineStr">
        <is>
          <t>Answers</t>
        </is>
      </c>
      <c r="I17" s="35" t="inlineStr">
        <is>
          <t>Edexcel: Representation and summary data</t>
        </is>
      </c>
      <c r="J17" s="36" t="inlineStr">
        <is>
          <t>Pages 1, 5, 8, 13, 16, 19, 29, 31</t>
        </is>
      </c>
      <c r="K17" s="37" t="inlineStr">
        <is>
          <t>in the PDF</t>
        </is>
      </c>
      <c r="L17" s="37" t="inlineStr">
        <is>
          <t>in the PDF</t>
        </is>
      </c>
      <c r="M17" s="35" t="inlineStr">
        <is>
          <t>Data Presentation and Interpretation</t>
        </is>
      </c>
      <c r="N17" s="36" t="inlineStr">
        <is>
          <t>Pages 1, 4, 5, 19, 26</t>
        </is>
      </c>
      <c r="O17" s="36" t="inlineStr">
        <is>
          <t>Marks</t>
        </is>
      </c>
      <c r="P17" t="inlineStr">
        <is>
          <t>S2</t>
        </is>
      </c>
    </row>
    <row r="18" outlineLevel="1" ht="32" customHeight="1">
      <c r="A18" s="31" t="inlineStr">
        <is>
          <t>MD3</t>
        </is>
      </c>
      <c r="B18" s="32" t="inlineStr">
        <is>
          <t>Cumulative frequency diagram</t>
        </is>
      </c>
      <c r="C18" s="33" t="n">
        <v>1</v>
      </c>
      <c r="D18" s="34" t="n"/>
      <c r="E18" s="35" t="n"/>
      <c r="F18" s="36" t="inlineStr">
        <is>
          <t>▶ Watch</t>
        </is>
      </c>
      <c r="G18" s="37" t="inlineStr">
        <is>
          <t>none on this topic</t>
        </is>
      </c>
      <c r="H18" s="39" t="n"/>
      <c r="I18" s="40" t="inlineStr">
        <is>
          <t>none for this topic</t>
        </is>
      </c>
      <c r="J18" s="37" t="inlineStr">
        <is>
          <t>none on this topic</t>
        </is>
      </c>
      <c r="K18" s="39" t="n"/>
      <c r="L18" s="39" t="n"/>
      <c r="M18" s="35" t="inlineStr">
        <is>
          <t>Data Presentation and Interpretation</t>
        </is>
      </c>
      <c r="N18" s="36" t="inlineStr">
        <is>
          <t>Pages 2, 4, 17</t>
        </is>
      </c>
      <c r="O18" s="36" t="inlineStr">
        <is>
          <t>Marks</t>
        </is>
      </c>
      <c r="P18" t="inlineStr">
        <is>
          <t>S2</t>
        </is>
      </c>
    </row>
    <row r="19" outlineLevel="1" ht="32" customHeight="1">
      <c r="A19" s="31" t="inlineStr">
        <is>
          <t>MD4</t>
        </is>
      </c>
      <c r="B19" s="32" t="inlineStr">
        <is>
          <t>Describe frequency distributions</t>
        </is>
      </c>
      <c r="C19" s="33" t="n">
        <v>1</v>
      </c>
      <c r="D19" s="34" t="n"/>
      <c r="E19" s="35" t="n"/>
      <c r="F19" s="36" t="inlineStr">
        <is>
          <t>▶ Watch</t>
        </is>
      </c>
      <c r="G19" s="36" t="inlineStr">
        <is>
          <t>Q 6</t>
        </is>
      </c>
      <c r="H19" s="36" t="inlineStr">
        <is>
          <t>Answers</t>
        </is>
      </c>
      <c r="I19" s="35" t="inlineStr">
        <is>
          <t>Edexcel: Representation and summary data</t>
        </is>
      </c>
      <c r="J19" s="36" t="inlineStr">
        <is>
          <t>Pages 1, 3, 8, 13, 22, 26, 31, 32</t>
        </is>
      </c>
      <c r="K19" s="37" t="inlineStr">
        <is>
          <t>in the PDF</t>
        </is>
      </c>
      <c r="L19" s="37" t="inlineStr">
        <is>
          <t>in the PDF</t>
        </is>
      </c>
      <c r="M19" s="35" t="inlineStr">
        <is>
          <t>Data Presentation and Interpretation</t>
        </is>
      </c>
      <c r="N19" s="36" t="inlineStr">
        <is>
          <t>Pages 2, 5, 10, 17, 21, 22, 25</t>
        </is>
      </c>
      <c r="O19" s="36" t="inlineStr">
        <is>
          <t>Marks</t>
        </is>
      </c>
      <c r="P19" t="inlineStr">
        <is>
          <t>S2</t>
        </is>
      </c>
    </row>
    <row r="20" outlineLevel="1" ht="32" customHeight="1">
      <c r="A20" s="31" t="inlineStr">
        <is>
          <t>MD5</t>
        </is>
      </c>
      <c r="B20" s="32" t="inlineStr">
        <is>
          <t>Samples and theoretical distributions (larger samples, closer fit)</t>
        </is>
      </c>
      <c r="C20" s="33" t="n">
        <v>1</v>
      </c>
      <c r="D20" s="34" t="n"/>
      <c r="E20" s="35" t="n"/>
      <c r="F20" s="36" t="inlineStr">
        <is>
          <t>Topic page</t>
        </is>
      </c>
      <c r="G20" s="37" t="inlineStr">
        <is>
          <t>none on this topic</t>
        </is>
      </c>
      <c r="H20" s="39" t="n"/>
      <c r="I20" s="40" t="inlineStr">
        <is>
          <t>none for this topic</t>
        </is>
      </c>
      <c r="J20" s="37" t="inlineStr">
        <is>
          <t>none on this topic</t>
        </is>
      </c>
      <c r="K20" s="39" t="n"/>
      <c r="L20" s="39" t="n"/>
      <c r="M20" s="40" t="inlineStr">
        <is>
          <t>none for this topic</t>
        </is>
      </c>
      <c r="N20" s="37" t="inlineStr">
        <is>
          <t>none on this topic</t>
        </is>
      </c>
      <c r="O20" s="39" t="n"/>
      <c r="P20" t="inlineStr">
        <is>
          <t>S2</t>
        </is>
      </c>
    </row>
    <row r="21" outlineLevel="1" ht="32" customHeight="1">
      <c r="A21" s="31" t="inlineStr">
        <is>
          <t>MD6</t>
        </is>
      </c>
      <c r="B21" s="32" t="inlineStr">
        <is>
          <t>Interpret a scatter diagram</t>
        </is>
      </c>
      <c r="C21" s="33" t="n">
        <v>1</v>
      </c>
      <c r="D21" s="34" t="n"/>
      <c r="E21" s="35" t="n"/>
      <c r="F21" s="36" t="inlineStr">
        <is>
          <t>▶ Watch</t>
        </is>
      </c>
      <c r="G21" s="36" t="inlineStr">
        <is>
          <t>Q 1–3</t>
        </is>
      </c>
      <c r="H21" s="36" t="inlineStr">
        <is>
          <t>Answers</t>
        </is>
      </c>
      <c r="I21" s="35" t="inlineStr">
        <is>
          <t>Edexcel: Regression and Correlation</t>
        </is>
      </c>
      <c r="J21" s="36" t="inlineStr">
        <is>
          <t>Pages 1–3</t>
        </is>
      </c>
      <c r="K21" s="37" t="inlineStr">
        <is>
          <t>none</t>
        </is>
      </c>
      <c r="L21" s="36" t="inlineStr">
        <is>
          <t>Answers</t>
        </is>
      </c>
      <c r="M21" s="35" t="inlineStr">
        <is>
          <t>Data Presentation and Interpretation</t>
        </is>
      </c>
      <c r="N21" s="36" t="inlineStr">
        <is>
          <t>Pages 11, 15, 20, 23</t>
        </is>
      </c>
      <c r="O21" s="36" t="inlineStr">
        <is>
          <t>Marks</t>
        </is>
      </c>
      <c r="P21" t="inlineStr">
        <is>
          <t>S2</t>
        </is>
      </c>
    </row>
    <row r="22" outlineLevel="1" ht="32" customHeight="1">
      <c r="A22" s="31" t="inlineStr">
        <is>
          <t>MD7</t>
        </is>
      </c>
      <c r="B22" s="32" t="inlineStr">
        <is>
          <t>Distinct sections and outliers in scatter diagrams</t>
        </is>
      </c>
      <c r="C22" s="33" t="n">
        <v>1</v>
      </c>
      <c r="D22" s="34" t="n"/>
      <c r="E22" s="35" t="n"/>
      <c r="F22" s="36" t="inlineStr">
        <is>
          <t>Topic page</t>
        </is>
      </c>
      <c r="G22" s="37" t="inlineStr">
        <is>
          <t>none on this topic</t>
        </is>
      </c>
      <c r="H22" s="39" t="n"/>
      <c r="I22" s="35" t="inlineStr">
        <is>
          <t>Edexcel: Representation and summary data</t>
        </is>
      </c>
      <c r="J22" s="36" t="inlineStr">
        <is>
          <t>Page 14</t>
        </is>
      </c>
      <c r="K22" s="37" t="inlineStr">
        <is>
          <t>in the PDF</t>
        </is>
      </c>
      <c r="L22" s="37" t="inlineStr">
        <is>
          <t>in the PDF</t>
        </is>
      </c>
      <c r="M22" s="35" t="inlineStr">
        <is>
          <t>Data Presentation and Interpretation</t>
        </is>
      </c>
      <c r="N22" s="36" t="inlineStr">
        <is>
          <t>Pages 11, 20</t>
        </is>
      </c>
      <c r="O22" s="36" t="inlineStr">
        <is>
          <t>Marks</t>
        </is>
      </c>
      <c r="P22" t="inlineStr">
        <is>
          <t>S2</t>
        </is>
      </c>
    </row>
    <row r="23" outlineLevel="1" ht="32" customHeight="1">
      <c r="A23" s="31" t="inlineStr">
        <is>
          <t>MD8</t>
        </is>
      </c>
      <c r="B23" s="32" t="inlineStr">
        <is>
          <t>Correlation and causation</t>
        </is>
      </c>
      <c r="C23" s="33" t="n">
        <v>1</v>
      </c>
      <c r="D23" s="34" t="n"/>
      <c r="E23" s="35" t="n"/>
      <c r="F23" s="36" t="inlineStr">
        <is>
          <t>▶ Watch</t>
        </is>
      </c>
      <c r="G23" s="36" t="inlineStr">
        <is>
          <t>Q 5, 7</t>
        </is>
      </c>
      <c r="H23" s="36" t="inlineStr">
        <is>
          <t>Answers</t>
        </is>
      </c>
      <c r="I23" s="35" t="inlineStr">
        <is>
          <t>Edexcel: Regression and Correlation</t>
        </is>
      </c>
      <c r="J23" s="36" t="inlineStr">
        <is>
          <t>Pages 1, 2, 4</t>
        </is>
      </c>
      <c r="K23" s="36" t="inlineStr">
        <is>
          <t>Marks</t>
        </is>
      </c>
      <c r="L23" s="36" t="inlineStr">
        <is>
          <t>Answers</t>
        </is>
      </c>
      <c r="M23" s="35" t="inlineStr">
        <is>
          <t>Data Presentation and Interpretation</t>
        </is>
      </c>
      <c r="N23" s="36" t="inlineStr">
        <is>
          <t>Pages 9, 11, 15, 20</t>
        </is>
      </c>
      <c r="O23" s="36" t="inlineStr">
        <is>
          <t>Marks</t>
        </is>
      </c>
      <c r="P23" t="inlineStr">
        <is>
          <t>S2</t>
        </is>
      </c>
    </row>
    <row r="24" outlineLevel="1" ht="32" customHeight="1">
      <c r="A24" s="31" t="inlineStr">
        <is>
          <t>MD9</t>
        </is>
      </c>
      <c r="B24" s="32" t="inlineStr">
        <is>
          <t>Select or critique data presentation techniques</t>
        </is>
      </c>
      <c r="C24" s="33" t="n">
        <v>1</v>
      </c>
      <c r="D24" s="34" t="n"/>
      <c r="E24" s="35" t="n"/>
      <c r="F24" s="36" t="inlineStr">
        <is>
          <t>Topic page</t>
        </is>
      </c>
      <c r="G24" s="36" t="inlineStr">
        <is>
          <t>Q 5</t>
        </is>
      </c>
      <c r="H24" s="36" t="inlineStr">
        <is>
          <t>Answers</t>
        </is>
      </c>
      <c r="I24" s="35" t="inlineStr">
        <is>
          <t>Edexcel: Representation and summary data</t>
        </is>
      </c>
      <c r="J24" s="36" t="inlineStr">
        <is>
          <t>Pages 19, 23, 27</t>
        </is>
      </c>
      <c r="K24" s="37" t="inlineStr">
        <is>
          <t>in the PDF</t>
        </is>
      </c>
      <c r="L24" s="37" t="inlineStr">
        <is>
          <t>in the PDF</t>
        </is>
      </c>
      <c r="M24" s="35" t="inlineStr">
        <is>
          <t>Data Presentation and Interpretation</t>
        </is>
      </c>
      <c r="N24" s="36" t="inlineStr">
        <is>
          <t>Pages 14, 19, 20, 26</t>
        </is>
      </c>
      <c r="O24" s="36" t="inlineStr">
        <is>
          <t>Marks</t>
        </is>
      </c>
      <c r="P24" t="inlineStr">
        <is>
          <t>S2</t>
        </is>
      </c>
    </row>
    <row r="25" outlineLevel="1" ht="32" customHeight="1">
      <c r="A25" s="31" t="inlineStr">
        <is>
          <t>MD10</t>
        </is>
      </c>
      <c r="B25" s="32" t="inlineStr">
        <is>
          <t>Measures of central tendency</t>
        </is>
      </c>
      <c r="C25" s="33" t="n">
        <v>1</v>
      </c>
      <c r="D25" s="34" t="n"/>
      <c r="E25" s="35" t="n"/>
      <c r="F25" s="36" t="inlineStr">
        <is>
          <t>▶ Watch</t>
        </is>
      </c>
      <c r="G25" s="36" t="inlineStr">
        <is>
          <t>Q 1–4</t>
        </is>
      </c>
      <c r="H25" s="36" t="inlineStr">
        <is>
          <t>Answers</t>
        </is>
      </c>
      <c r="I25" s="35" t="inlineStr">
        <is>
          <t>Edexcel: Representation and summary data</t>
        </is>
      </c>
      <c r="J25" s="36" t="inlineStr">
        <is>
          <t>Pages 8, 9, 17, 21, 29, 31</t>
        </is>
      </c>
      <c r="K25" s="37" t="inlineStr">
        <is>
          <t>in the PDF</t>
        </is>
      </c>
      <c r="L25" s="37" t="inlineStr">
        <is>
          <t>in the PDF</t>
        </is>
      </c>
      <c r="M25" s="35" t="inlineStr">
        <is>
          <t>Data Presentation and Interpretation</t>
        </is>
      </c>
      <c r="N25" s="36" t="inlineStr">
        <is>
          <t>Pages 1, 5, 9, 11, 19, 21</t>
        </is>
      </c>
      <c r="O25" s="36" t="inlineStr">
        <is>
          <t>Marks</t>
        </is>
      </c>
      <c r="P25" t="inlineStr">
        <is>
          <t>S2</t>
        </is>
      </c>
    </row>
    <row r="26" outlineLevel="1" ht="32" customHeight="1">
      <c r="A26" s="31" t="inlineStr">
        <is>
          <t>MD11</t>
        </is>
      </c>
      <c r="B26" s="32" t="inlineStr">
        <is>
          <t>Simple measures of spread</t>
        </is>
      </c>
      <c r="C26" s="33" t="n">
        <v>1</v>
      </c>
      <c r="D26" s="34" t="n"/>
      <c r="E26" s="35" t="n"/>
      <c r="F26" s="36" t="inlineStr">
        <is>
          <t>Topic page</t>
        </is>
      </c>
      <c r="G26" s="36" t="inlineStr">
        <is>
          <t>Q 1, 2, 4, 6, 8</t>
        </is>
      </c>
      <c r="H26" s="36" t="inlineStr">
        <is>
          <t>Answers</t>
        </is>
      </c>
      <c r="I26" s="35" t="inlineStr">
        <is>
          <t>Edexcel: Representation and summary data</t>
        </is>
      </c>
      <c r="J26" s="36" t="inlineStr">
        <is>
          <t>Pages 2, 8, 12, 25, 26, 31–33</t>
        </is>
      </c>
      <c r="K26" s="37" t="inlineStr">
        <is>
          <t>in the PDF</t>
        </is>
      </c>
      <c r="L26" s="37" t="inlineStr">
        <is>
          <t>in the PDF</t>
        </is>
      </c>
      <c r="M26" s="35" t="inlineStr">
        <is>
          <t>Data Presentation and Interpretation</t>
        </is>
      </c>
      <c r="N26" s="36" t="inlineStr">
        <is>
          <t>Pages 2, 4, 7, 10, 17, 25</t>
        </is>
      </c>
      <c r="O26" s="36" t="inlineStr">
        <is>
          <t>Marks</t>
        </is>
      </c>
      <c r="P26" t="inlineStr">
        <is>
          <t>S2</t>
        </is>
      </c>
    </row>
    <row r="27" outlineLevel="1" ht="32" customHeight="1">
      <c r="A27" s="31" t="inlineStr">
        <is>
          <t>MD12</t>
        </is>
      </c>
      <c r="B27" s="32" t="inlineStr">
        <is>
          <t>Variance and standard deviation</t>
        </is>
      </c>
      <c r="C27" s="33" t="n">
        <v>1</v>
      </c>
      <c r="D27" s="34" t="n"/>
      <c r="E27" s="35" t="n"/>
      <c r="F27" s="36" t="inlineStr">
        <is>
          <t>▶ Watch</t>
        </is>
      </c>
      <c r="G27" s="36" t="inlineStr">
        <is>
          <t>Q 2–6, 8</t>
        </is>
      </c>
      <c r="H27" s="36" t="inlineStr">
        <is>
          <t>Answers</t>
        </is>
      </c>
      <c r="I27" s="35" t="inlineStr">
        <is>
          <t>Edexcel: Representation and summary data</t>
        </is>
      </c>
      <c r="J27" s="36" t="inlineStr">
        <is>
          <t>Pages 1, 3, 5, 12, 23, 28–30</t>
        </is>
      </c>
      <c r="K27" s="37" t="inlineStr">
        <is>
          <t>in the PDF</t>
        </is>
      </c>
      <c r="L27" s="37" t="inlineStr">
        <is>
          <t>in the PDF</t>
        </is>
      </c>
      <c r="M27" s="35" t="inlineStr">
        <is>
          <t>Data Presentation and Interpretation</t>
        </is>
      </c>
      <c r="N27" s="36" t="inlineStr">
        <is>
          <t>Pages 2, 4, 5, 7, 8, 11, 16, 21</t>
        </is>
      </c>
      <c r="O27" s="36" t="inlineStr">
        <is>
          <t>Marks</t>
        </is>
      </c>
      <c r="P27" t="inlineStr">
        <is>
          <t>S2</t>
        </is>
      </c>
    </row>
    <row r="28" outlineLevel="1" ht="32" customHeight="1">
      <c r="A28" s="31" t="inlineStr">
        <is>
          <t>MD13</t>
        </is>
      </c>
      <c r="B28" s="32" t="inlineStr">
        <is>
          <t>Outliers</t>
        </is>
      </c>
      <c r="C28" s="33" t="n">
        <v>1</v>
      </c>
      <c r="D28" s="34" t="n"/>
      <c r="E28" s="35" t="n"/>
      <c r="F28" s="36" t="inlineStr">
        <is>
          <t>▶ Watch</t>
        </is>
      </c>
      <c r="G28" s="36" t="inlineStr">
        <is>
          <t>Q 1–5, 7, 8</t>
        </is>
      </c>
      <c r="H28" s="36" t="inlineStr">
        <is>
          <t>Answers</t>
        </is>
      </c>
      <c r="I28" s="35" t="inlineStr">
        <is>
          <t>Edexcel: Representation and summary data</t>
        </is>
      </c>
      <c r="J28" s="36" t="inlineStr">
        <is>
          <t>Pages 2, 6, 12, 24, 30–32</t>
        </is>
      </c>
      <c r="K28" s="37" t="inlineStr">
        <is>
          <t>in the PDF</t>
        </is>
      </c>
      <c r="L28" s="37" t="inlineStr">
        <is>
          <t>in the PDF</t>
        </is>
      </c>
      <c r="M28" s="35" t="inlineStr">
        <is>
          <t>Data Presentation and Interpretation</t>
        </is>
      </c>
      <c r="N28" s="36" t="inlineStr">
        <is>
          <t>Pages 2, 4, 7, 8, 10, 17, 21</t>
        </is>
      </c>
      <c r="O28" s="36" t="inlineStr">
        <is>
          <t>Marks</t>
        </is>
      </c>
      <c r="P28" t="inlineStr">
        <is>
          <t>S2</t>
        </is>
      </c>
    </row>
    <row r="29" outlineLevel="1" ht="32" customHeight="1">
      <c r="A29" s="31" t="inlineStr">
        <is>
          <t>MD14</t>
        </is>
      </c>
      <c r="B29" s="32" t="inlineStr">
        <is>
          <t>Cleaning data</t>
        </is>
      </c>
      <c r="C29" s="33" t="n">
        <v>1</v>
      </c>
      <c r="D29" s="34" t="n"/>
      <c r="E29" s="35" t="n"/>
      <c r="F29" s="36" t="inlineStr">
        <is>
          <t>Topic page</t>
        </is>
      </c>
      <c r="G29" s="36" t="inlineStr">
        <is>
          <t>Q 3, 4, 6, 8</t>
        </is>
      </c>
      <c r="H29" s="36" t="inlineStr">
        <is>
          <t>Answers</t>
        </is>
      </c>
      <c r="I29" s="35" t="inlineStr">
        <is>
          <t>Edexcel: Data Presentation</t>
        </is>
      </c>
      <c r="J29" s="36" t="inlineStr">
        <is>
          <t>Pages 3, 6</t>
        </is>
      </c>
      <c r="K29" s="37" t="inlineStr">
        <is>
          <t>none</t>
        </is>
      </c>
      <c r="L29" s="36" t="inlineStr">
        <is>
          <t>Answers</t>
        </is>
      </c>
      <c r="M29" s="35" t="inlineStr">
        <is>
          <t>Data Presentation and Interpretation</t>
        </is>
      </c>
      <c r="N29" s="36" t="inlineStr">
        <is>
          <t>Pages 2, 8, 26</t>
        </is>
      </c>
      <c r="O29" s="36" t="inlineStr">
        <is>
          <t>Marks</t>
        </is>
      </c>
      <c r="P29" t="inlineStr">
        <is>
          <t>S2</t>
        </is>
      </c>
    </row>
    <row r="30" outlineLevel="1" ht="32" customHeight="1">
      <c r="A30" s="31" t="inlineStr">
        <is>
          <t>LDS</t>
        </is>
      </c>
      <c r="B30" s="32" t="inlineStr">
        <is>
          <t>The OCR MEI large data set (familiarity and context)</t>
        </is>
      </c>
      <c r="C30" s="33" t="n">
        <v>1</v>
      </c>
      <c r="D30" s="34" t="n"/>
      <c r="E30" s="35" t="n"/>
      <c r="F30" s="36" t="inlineStr">
        <is>
          <t>Topic page</t>
        </is>
      </c>
      <c r="G30" s="36" t="inlineStr">
        <is>
          <t>Q 1–8</t>
        </is>
      </c>
      <c r="H30" s="36" t="inlineStr">
        <is>
          <t>Answers</t>
        </is>
      </c>
      <c r="I30" s="40" t="inlineStr">
        <is>
          <t>none for this topic</t>
        </is>
      </c>
      <c r="J30" s="37" t="inlineStr">
        <is>
          <t>none on this topic</t>
        </is>
      </c>
      <c r="K30" s="39" t="n"/>
      <c r="L30" s="39" t="n"/>
      <c r="M30" s="35" t="inlineStr">
        <is>
          <t>Data Presentation and Interpretation</t>
        </is>
      </c>
      <c r="N30" s="36" t="inlineStr">
        <is>
          <t>Pages 9, 11, 15, 20, 24, 26</t>
        </is>
      </c>
      <c r="O30" s="36" t="inlineStr">
        <is>
          <t>Marks</t>
        </is>
      </c>
      <c r="P30" t="inlineStr">
        <is>
          <t>S2</t>
        </is>
      </c>
    </row>
    <row r="31" ht="10" customHeight="1"/>
    <row r="32" ht="26" customHeight="1">
      <c r="A32" s="44" t="n">
        <v>3</v>
      </c>
      <c r="B32" s="45" t="inlineStr">
        <is>
          <t>Probability</t>
        </is>
      </c>
      <c r="C32" s="46" t="n"/>
      <c r="D32" s="46" t="n"/>
      <c r="E32" s="47" t="inlineStr">
        <is>
          <t>7 topics  ·  Year 1: 3  ·  Year 2: 4</t>
        </is>
      </c>
      <c r="F32" s="46" t="n"/>
      <c r="G32" s="46" t="n"/>
      <c r="H32" s="46" t="n"/>
      <c r="I32" s="46" t="n"/>
      <c r="J32" s="46" t="n"/>
      <c r="K32" s="46" t="n"/>
      <c r="L32" s="46" t="n"/>
      <c r="M32" s="46" t="n"/>
      <c r="N32" s="46" t="n"/>
      <c r="O32" s="46" t="n"/>
    </row>
    <row r="33" outlineLevel="1" ht="20" customHeight="1">
      <c r="A33" s="31" t="inlineStr">
        <is>
          <t>Mu1</t>
        </is>
      </c>
      <c r="B33" s="32" t="inlineStr">
        <is>
          <t>Mutually exclusive and independent events</t>
        </is>
      </c>
      <c r="C33" s="33" t="n">
        <v>1</v>
      </c>
      <c r="D33" s="34" t="n"/>
      <c r="E33" s="35" t="n"/>
      <c r="F33" s="36" t="inlineStr">
        <is>
          <t>▶ Watch</t>
        </is>
      </c>
      <c r="G33" s="36" t="inlineStr">
        <is>
          <t>Q 1, 2, 4–6</t>
        </is>
      </c>
      <c r="H33" s="36" t="inlineStr">
        <is>
          <t>Answers</t>
        </is>
      </c>
      <c r="I33" s="35" t="inlineStr">
        <is>
          <t>Edexcel: Probability</t>
        </is>
      </c>
      <c r="J33" s="36" t="inlineStr">
        <is>
          <t>Pages 1, 2, 4, 8</t>
        </is>
      </c>
      <c r="K33" s="37" t="inlineStr">
        <is>
          <t>none</t>
        </is>
      </c>
      <c r="L33" s="36" t="inlineStr">
        <is>
          <t>Answers</t>
        </is>
      </c>
      <c r="M33" s="35" t="inlineStr">
        <is>
          <t>Probability (Yr. 1)</t>
        </is>
      </c>
      <c r="N33" s="36" t="inlineStr">
        <is>
          <t>Pages 1, 3, 4</t>
        </is>
      </c>
      <c r="O33" s="36" t="inlineStr">
        <is>
          <t>Marks</t>
        </is>
      </c>
      <c r="P33" t="inlineStr">
        <is>
          <t>S3</t>
        </is>
      </c>
    </row>
    <row r="34" outlineLevel="1" ht="20" customHeight="1">
      <c r="A34" s="31" t="inlineStr">
        <is>
          <t>Mu2</t>
        </is>
      </c>
      <c r="B34" s="32" t="inlineStr">
        <is>
          <t>Add probabilities for mutually exclusive events</t>
        </is>
      </c>
      <c r="C34" s="33" t="n">
        <v>1</v>
      </c>
      <c r="D34" s="34" t="n"/>
      <c r="E34" s="35" t="n"/>
      <c r="F34" s="36" t="inlineStr">
        <is>
          <t>Topic page</t>
        </is>
      </c>
      <c r="G34" s="36" t="inlineStr">
        <is>
          <t>Q 2, 3, 6</t>
        </is>
      </c>
      <c r="H34" s="36" t="inlineStr">
        <is>
          <t>Answers</t>
        </is>
      </c>
      <c r="I34" s="35" t="inlineStr">
        <is>
          <t>Edexcel: Probability</t>
        </is>
      </c>
      <c r="J34" s="36" t="inlineStr">
        <is>
          <t>Pages 3, 5, 15–17</t>
        </is>
      </c>
      <c r="K34" s="37" t="inlineStr">
        <is>
          <t>in the PDF</t>
        </is>
      </c>
      <c r="L34" s="37" t="inlineStr">
        <is>
          <t>in the PDF</t>
        </is>
      </c>
      <c r="M34" s="35" t="inlineStr">
        <is>
          <t>Probability (Yr. 1)</t>
        </is>
      </c>
      <c r="N34" s="36" t="inlineStr">
        <is>
          <t>Pages 1, 3</t>
        </is>
      </c>
      <c r="O34" s="36" t="inlineStr">
        <is>
          <t>Marks</t>
        </is>
      </c>
      <c r="P34" t="inlineStr">
        <is>
          <t>S3</t>
        </is>
      </c>
    </row>
    <row r="35" outlineLevel="1" ht="20" customHeight="1">
      <c r="A35" s="31" t="inlineStr">
        <is>
          <t>Mu3</t>
        </is>
      </c>
      <c r="B35" s="32" t="inlineStr">
        <is>
          <t>Multiply probabilities for independent events</t>
        </is>
      </c>
      <c r="C35" s="33" t="n">
        <v>1</v>
      </c>
      <c r="D35" s="34" t="n"/>
      <c r="E35" s="35" t="n"/>
      <c r="F35" s="36" t="inlineStr">
        <is>
          <t>Topic page</t>
        </is>
      </c>
      <c r="G35" s="36" t="inlineStr">
        <is>
          <t>Q 1, 5</t>
        </is>
      </c>
      <c r="H35" s="36" t="inlineStr">
        <is>
          <t>Answers</t>
        </is>
      </c>
      <c r="I35" s="35" t="inlineStr">
        <is>
          <t>Edexcel: Probability</t>
        </is>
      </c>
      <c r="J35" s="36" t="inlineStr">
        <is>
          <t>Pages 1, 15–17</t>
        </is>
      </c>
      <c r="K35" s="37" t="inlineStr">
        <is>
          <t>in the PDF</t>
        </is>
      </c>
      <c r="L35" s="37" t="inlineStr">
        <is>
          <t>in the PDF</t>
        </is>
      </c>
      <c r="M35" s="35" t="inlineStr">
        <is>
          <t>Probability (Yr. 1)</t>
        </is>
      </c>
      <c r="N35" s="36" t="inlineStr">
        <is>
          <t>Pages 1–4</t>
        </is>
      </c>
      <c r="O35" s="36" t="inlineStr">
        <is>
          <t>Marks</t>
        </is>
      </c>
      <c r="P35" t="inlineStr">
        <is>
          <t>S3</t>
        </is>
      </c>
    </row>
    <row r="36" outlineLevel="1" ht="32" customHeight="1">
      <c r="A36" s="31" t="inlineStr">
        <is>
          <t>Mu4</t>
        </is>
      </c>
      <c r="B36" s="32" t="inlineStr">
        <is>
          <t>Mutually exclusive and independent events: notation and definitions</t>
        </is>
      </c>
      <c r="C36" s="48" t="n">
        <v>2</v>
      </c>
      <c r="D36" s="34" t="n"/>
      <c r="E36" s="35" t="n"/>
      <c r="F36" s="36" t="inlineStr">
        <is>
          <t>Topic page</t>
        </is>
      </c>
      <c r="G36" s="36" t="inlineStr">
        <is>
          <t>Q 2, 3, 9, 10</t>
        </is>
      </c>
      <c r="H36" s="36" t="inlineStr">
        <is>
          <t>Answers</t>
        </is>
      </c>
      <c r="I36" s="35" t="inlineStr">
        <is>
          <t>Edexcel: Probability</t>
        </is>
      </c>
      <c r="J36" s="36" t="inlineStr">
        <is>
          <t>Pages 2, 5, 6, 11, 15, 19</t>
        </is>
      </c>
      <c r="K36" s="37" t="inlineStr">
        <is>
          <t>in the PDF</t>
        </is>
      </c>
      <c r="L36" s="37" t="inlineStr">
        <is>
          <t>in the PDF</t>
        </is>
      </c>
      <c r="M36" s="35" t="inlineStr">
        <is>
          <t>Probability (Yr. 2)</t>
        </is>
      </c>
      <c r="N36" s="36" t="inlineStr">
        <is>
          <t>Pages 1, 2, 4</t>
        </is>
      </c>
      <c r="O36" s="36" t="inlineStr">
        <is>
          <t>Marks</t>
        </is>
      </c>
      <c r="P36" t="inlineStr">
        <is>
          <t>S3</t>
        </is>
      </c>
    </row>
    <row r="37" outlineLevel="1" ht="32" customHeight="1">
      <c r="A37" s="31" t="inlineStr">
        <is>
          <t>Mu5</t>
        </is>
      </c>
      <c r="B37" s="32" t="inlineStr">
        <is>
          <t>Venn diagrams for probabilities</t>
        </is>
      </c>
      <c r="C37" s="48" t="n">
        <v>2</v>
      </c>
      <c r="D37" s="34" t="n"/>
      <c r="E37" s="35" t="n"/>
      <c r="F37" s="36" t="inlineStr">
        <is>
          <t>▶ Watch</t>
        </is>
      </c>
      <c r="G37" s="36" t="inlineStr">
        <is>
          <t>Q 1–7</t>
        </is>
      </c>
      <c r="H37" s="36" t="inlineStr">
        <is>
          <t>Answers</t>
        </is>
      </c>
      <c r="I37" s="35" t="inlineStr">
        <is>
          <t>Edexcel: Probability</t>
        </is>
      </c>
      <c r="J37" s="36" t="inlineStr">
        <is>
          <t>Pages 2, 3, 7, 8, 10, 11, 13, 14</t>
        </is>
      </c>
      <c r="K37" s="37" t="inlineStr">
        <is>
          <t>in the PDF</t>
        </is>
      </c>
      <c r="L37" s="37" t="inlineStr">
        <is>
          <t>in the PDF</t>
        </is>
      </c>
      <c r="M37" s="35" t="inlineStr">
        <is>
          <t>Probability (Yr. 2)</t>
        </is>
      </c>
      <c r="N37" s="36" t="inlineStr">
        <is>
          <t>Pages 1–3</t>
        </is>
      </c>
      <c r="O37" s="36" t="inlineStr">
        <is>
          <t>Marks</t>
        </is>
      </c>
      <c r="P37" t="inlineStr">
        <is>
          <t>S3</t>
        </is>
      </c>
    </row>
    <row r="38" outlineLevel="1" ht="32" customHeight="1">
      <c r="A38" s="31" t="inlineStr">
        <is>
          <t>Mu6</t>
        </is>
      </c>
      <c r="B38" s="32" t="inlineStr">
        <is>
          <t>Conditional probabilities</t>
        </is>
      </c>
      <c r="C38" s="48" t="n">
        <v>2</v>
      </c>
      <c r="D38" s="34" t="n"/>
      <c r="E38" s="35" t="n"/>
      <c r="F38" s="36" t="inlineStr">
        <is>
          <t>▶ Watch</t>
        </is>
      </c>
      <c r="G38" s="36" t="inlineStr">
        <is>
          <t>Q 1, 2, 4, 6–8, 10</t>
        </is>
      </c>
      <c r="H38" s="36" t="inlineStr">
        <is>
          <t>Answers</t>
        </is>
      </c>
      <c r="I38" s="35" t="inlineStr">
        <is>
          <t>Edexcel: Probability</t>
        </is>
      </c>
      <c r="J38" s="36" t="inlineStr">
        <is>
          <t>Pages 2, 3, 7, 8, 10, 12, 13, 19</t>
        </is>
      </c>
      <c r="K38" s="37" t="inlineStr">
        <is>
          <t>in the PDF</t>
        </is>
      </c>
      <c r="L38" s="37" t="inlineStr">
        <is>
          <t>in the PDF</t>
        </is>
      </c>
      <c r="M38" s="35" t="inlineStr">
        <is>
          <t>Probability (Yr. 2)</t>
        </is>
      </c>
      <c r="N38" s="36" t="inlineStr">
        <is>
          <t>Pages 1–4</t>
        </is>
      </c>
      <c r="O38" s="36" t="inlineStr">
        <is>
          <t>Marks</t>
        </is>
      </c>
      <c r="P38" t="inlineStr">
        <is>
          <t>S3</t>
        </is>
      </c>
    </row>
    <row r="39" outlineLevel="1" ht="32" customHeight="1">
      <c r="A39" s="31" t="inlineStr">
        <is>
          <t>Mu7</t>
        </is>
      </c>
      <c r="B39" s="32" t="inlineStr">
        <is>
          <t>Independence via conditional probability</t>
        </is>
      </c>
      <c r="C39" s="48" t="n">
        <v>2</v>
      </c>
      <c r="D39" s="34" t="n"/>
      <c r="E39" s="35" t="n"/>
      <c r="F39" s="36" t="inlineStr">
        <is>
          <t>Topic page</t>
        </is>
      </c>
      <c r="G39" s="36" t="inlineStr">
        <is>
          <t>Q 2, 3, 9, 10</t>
        </is>
      </c>
      <c r="H39" s="36" t="inlineStr">
        <is>
          <t>Answers</t>
        </is>
      </c>
      <c r="I39" s="35" t="inlineStr">
        <is>
          <t>Edexcel: Conditional Probability</t>
        </is>
      </c>
      <c r="J39" s="36" t="inlineStr">
        <is>
          <t>Pages 1, 3, 4</t>
        </is>
      </c>
      <c r="K39" s="37" t="inlineStr">
        <is>
          <t>none</t>
        </is>
      </c>
      <c r="L39" s="36" t="inlineStr">
        <is>
          <t>Answers</t>
        </is>
      </c>
      <c r="M39" s="35" t="inlineStr">
        <is>
          <t>Probability (Yr. 2)</t>
        </is>
      </c>
      <c r="N39" s="36" t="inlineStr">
        <is>
          <t>Pages 1, 2, 4</t>
        </is>
      </c>
      <c r="O39" s="36" t="inlineStr">
        <is>
          <t>Marks</t>
        </is>
      </c>
      <c r="P39" t="inlineStr">
        <is>
          <t>S3</t>
        </is>
      </c>
    </row>
    <row r="40" ht="10" customHeight="1"/>
    <row r="41" ht="26" customHeight="1">
      <c r="A41" s="44" t="n">
        <v>4</v>
      </c>
      <c r="B41" s="45" t="inlineStr">
        <is>
          <t>Probability distributions</t>
        </is>
      </c>
      <c r="C41" s="46" t="n"/>
      <c r="D41" s="46" t="n"/>
      <c r="E41" s="47" t="inlineStr">
        <is>
          <t>13 topics  ·  Year 1: 7  ·  Year 2: 6</t>
        </is>
      </c>
      <c r="F41" s="46" t="n"/>
      <c r="G41" s="46" t="n"/>
      <c r="H41" s="46" t="n"/>
      <c r="I41" s="46" t="n"/>
      <c r="J41" s="46" t="n"/>
      <c r="K41" s="46" t="n"/>
      <c r="L41" s="46" t="n"/>
      <c r="M41" s="46" t="n"/>
      <c r="N41" s="46" t="n"/>
      <c r="O41" s="46" t="n"/>
    </row>
    <row r="42" outlineLevel="1" ht="32" customHeight="1">
      <c r="A42" s="31" t="inlineStr">
        <is>
          <t>MR1</t>
        </is>
      </c>
      <c r="B42" s="32" t="inlineStr">
        <is>
          <t>Recognise binomial situations</t>
        </is>
      </c>
      <c r="C42" s="33" t="n">
        <v>1</v>
      </c>
      <c r="D42" s="34" t="n"/>
      <c r="E42" s="35" t="n"/>
      <c r="F42" s="36" t="inlineStr">
        <is>
          <t>Topic page</t>
        </is>
      </c>
      <c r="G42" s="36" t="inlineStr">
        <is>
          <t>Q 12</t>
        </is>
      </c>
      <c r="H42" s="36" t="inlineStr">
        <is>
          <t>Answers</t>
        </is>
      </c>
      <c r="I42" s="35" t="inlineStr">
        <is>
          <t>Edexcel: Discrete distributions - Binomial</t>
        </is>
      </c>
      <c r="J42" s="36" t="inlineStr">
        <is>
          <t>Pages 1, 11, 14</t>
        </is>
      </c>
      <c r="K42" s="37" t="inlineStr">
        <is>
          <t>in the PDF</t>
        </is>
      </c>
      <c r="L42" s="37" t="inlineStr">
        <is>
          <t>in the PDF</t>
        </is>
      </c>
      <c r="M42" s="35" t="inlineStr">
        <is>
          <t>Hypothesis Testing for Binomial Probabilities</t>
        </is>
      </c>
      <c r="N42" s="36" t="inlineStr">
        <is>
          <t>Page 10</t>
        </is>
      </c>
      <c r="O42" s="36" t="inlineStr">
        <is>
          <t>Marks</t>
        </is>
      </c>
      <c r="P42" t="inlineStr">
        <is>
          <t>S4</t>
        </is>
      </c>
    </row>
    <row r="43" outlineLevel="1" ht="32" customHeight="1">
      <c r="A43" s="31" t="inlineStr">
        <is>
          <t>MR2</t>
        </is>
      </c>
      <c r="B43" s="32" t="inlineStr">
        <is>
          <t>Probability of success p</t>
        </is>
      </c>
      <c r="C43" s="33" t="n">
        <v>1</v>
      </c>
      <c r="D43" s="34" t="n"/>
      <c r="E43" s="35" t="n"/>
      <c r="F43" s="36" t="inlineStr">
        <is>
          <t>Topic page</t>
        </is>
      </c>
      <c r="G43" s="36" t="inlineStr">
        <is>
          <t>Q 7, 8, 10</t>
        </is>
      </c>
      <c r="H43" s="36" t="inlineStr">
        <is>
          <t>Answers</t>
        </is>
      </c>
      <c r="I43" s="35" t="inlineStr">
        <is>
          <t>Edexcel: Discrete distributions - Binomial</t>
        </is>
      </c>
      <c r="J43" s="36" t="inlineStr">
        <is>
          <t>Pages 2, 4, 8, 9, 11, 13, 14</t>
        </is>
      </c>
      <c r="K43" s="37" t="inlineStr">
        <is>
          <t>in the PDF</t>
        </is>
      </c>
      <c r="L43" s="37" t="inlineStr">
        <is>
          <t>in the PDF</t>
        </is>
      </c>
      <c r="M43" s="35" t="inlineStr">
        <is>
          <t>Hypothesis Testing for Binomial Probabilities</t>
        </is>
      </c>
      <c r="N43" s="36" t="inlineStr">
        <is>
          <t>Pages 2, 10</t>
        </is>
      </c>
      <c r="O43" s="36" t="inlineStr">
        <is>
          <t>Marks</t>
        </is>
      </c>
      <c r="P43" t="inlineStr">
        <is>
          <t>S4</t>
        </is>
      </c>
    </row>
    <row r="44" outlineLevel="1" ht="32" customHeight="1">
      <c r="A44" s="31" t="inlineStr">
        <is>
          <t>MR3</t>
        </is>
      </c>
      <c r="B44" s="32" t="inlineStr">
        <is>
          <t>Calculate binomial probabilities</t>
        </is>
      </c>
      <c r="C44" s="33" t="n">
        <v>1</v>
      </c>
      <c r="D44" s="34" t="n"/>
      <c r="E44" s="35" t="n"/>
      <c r="F44" s="36" t="inlineStr">
        <is>
          <t>▶ Watch</t>
        </is>
      </c>
      <c r="G44" s="36" t="inlineStr">
        <is>
          <t>Q 5–8, 10, 14</t>
        </is>
      </c>
      <c r="H44" s="36" t="inlineStr">
        <is>
          <t>Answers</t>
        </is>
      </c>
      <c r="I44" s="35" t="inlineStr">
        <is>
          <t>Edexcel: Discrete distributions - Binomial</t>
        </is>
      </c>
      <c r="J44" s="36" t="inlineStr">
        <is>
          <t>Pages 1–5, 7, 10, 14</t>
        </is>
      </c>
      <c r="K44" s="37" t="inlineStr">
        <is>
          <t>in the PDF</t>
        </is>
      </c>
      <c r="L44" s="37" t="inlineStr">
        <is>
          <t>in the PDF</t>
        </is>
      </c>
      <c r="M44" s="35" t="inlineStr">
        <is>
          <t>Binomial Distribution</t>
        </is>
      </c>
      <c r="N44" s="36" t="inlineStr">
        <is>
          <t>Pages 1–4</t>
        </is>
      </c>
      <c r="O44" s="36" t="inlineStr">
        <is>
          <t>Marks</t>
        </is>
      </c>
      <c r="P44" t="inlineStr">
        <is>
          <t>S4</t>
        </is>
      </c>
    </row>
    <row r="45" outlineLevel="1" ht="32" customHeight="1">
      <c r="A45" s="31" t="inlineStr">
        <is>
          <t>MR4</t>
        </is>
      </c>
      <c r="B45" s="32" t="inlineStr">
        <is>
          <t>Mean of the binomial distribution</t>
        </is>
      </c>
      <c r="C45" s="33" t="n">
        <v>1</v>
      </c>
      <c r="D45" s="34" t="n"/>
      <c r="E45" s="35" t="n"/>
      <c r="F45" s="36" t="inlineStr">
        <is>
          <t>Topic page</t>
        </is>
      </c>
      <c r="G45" s="37" t="inlineStr">
        <is>
          <t>none on this topic</t>
        </is>
      </c>
      <c r="H45" s="39" t="n"/>
      <c r="I45" s="35" t="inlineStr">
        <is>
          <t>Edexcel: Discrete distributions - Binomial</t>
        </is>
      </c>
      <c r="J45" s="36" t="inlineStr">
        <is>
          <t>Page 9</t>
        </is>
      </c>
      <c r="K45" s="37" t="inlineStr">
        <is>
          <t>in the PDF</t>
        </is>
      </c>
      <c r="L45" s="37" t="inlineStr">
        <is>
          <t>in the PDF</t>
        </is>
      </c>
      <c r="M45" s="35" t="inlineStr">
        <is>
          <t>Hypothesis Testing for Binomial Probabilities</t>
        </is>
      </c>
      <c r="N45" s="36" t="inlineStr">
        <is>
          <t>Pages 1, 4, 5, 10</t>
        </is>
      </c>
      <c r="O45" s="36" t="inlineStr">
        <is>
          <t>Marks</t>
        </is>
      </c>
      <c r="P45" t="inlineStr">
        <is>
          <t>S4</t>
        </is>
      </c>
    </row>
    <row r="46" outlineLevel="1" ht="32" customHeight="1">
      <c r="A46" s="31" t="inlineStr">
        <is>
          <t>MR5</t>
        </is>
      </c>
      <c r="B46" s="32" t="inlineStr">
        <is>
          <t>Expected frequencies for binomial</t>
        </is>
      </c>
      <c r="C46" s="33" t="n">
        <v>1</v>
      </c>
      <c r="D46" s="34" t="n"/>
      <c r="E46" s="35" t="n"/>
      <c r="F46" s="36" t="inlineStr">
        <is>
          <t>Topic page</t>
        </is>
      </c>
      <c r="G46" s="36" t="inlineStr">
        <is>
          <t>Q 14</t>
        </is>
      </c>
      <c r="H46" s="36" t="inlineStr">
        <is>
          <t>Answers</t>
        </is>
      </c>
      <c r="I46" s="35" t="inlineStr">
        <is>
          <t>Edexcel: Binomial Distribution</t>
        </is>
      </c>
      <c r="J46" s="36" t="inlineStr">
        <is>
          <t>Page 3</t>
        </is>
      </c>
      <c r="K46" s="37" t="inlineStr">
        <is>
          <t>none</t>
        </is>
      </c>
      <c r="L46" s="36" t="inlineStr">
        <is>
          <t>Answers</t>
        </is>
      </c>
      <c r="M46" s="35" t="inlineStr">
        <is>
          <t>Hypothesis Testing for Binomial Probabilities</t>
        </is>
      </c>
      <c r="N46" s="36" t="inlineStr">
        <is>
          <t>Page 10</t>
        </is>
      </c>
      <c r="O46" s="36" t="inlineStr">
        <is>
          <t>Marks</t>
        </is>
      </c>
      <c r="P46" t="inlineStr">
        <is>
          <t>S4</t>
        </is>
      </c>
    </row>
    <row r="47" outlineLevel="1" ht="32" customHeight="1">
      <c r="A47" s="31" t="inlineStr">
        <is>
          <t>MR6</t>
        </is>
      </c>
      <c r="B47" s="32" t="inlineStr">
        <is>
          <t>Probability functions and discrete random variables</t>
        </is>
      </c>
      <c r="C47" s="33" t="n">
        <v>1</v>
      </c>
      <c r="D47" s="34" t="n"/>
      <c r="E47" s="35" t="n"/>
      <c r="F47" s="36" t="inlineStr">
        <is>
          <t>▶ Watch</t>
        </is>
      </c>
      <c r="G47" s="36" t="inlineStr">
        <is>
          <t>Q 1, 2, 7, 13, 15</t>
        </is>
      </c>
      <c r="H47" s="36" t="inlineStr">
        <is>
          <t>Answers</t>
        </is>
      </c>
      <c r="I47" s="35" t="inlineStr">
        <is>
          <t>Edexcel: Probability</t>
        </is>
      </c>
      <c r="J47" s="36" t="inlineStr">
        <is>
          <t>Pages 3, 6, 10, 12, 13</t>
        </is>
      </c>
      <c r="K47" s="37" t="inlineStr">
        <is>
          <t>none</t>
        </is>
      </c>
      <c r="L47" s="36" t="inlineStr">
        <is>
          <t>Answers</t>
        </is>
      </c>
      <c r="M47" s="35" t="inlineStr">
        <is>
          <t>Discrete Probability Distributions</t>
        </is>
      </c>
      <c r="N47" s="36" t="inlineStr">
        <is>
          <t>Pages 1, 2</t>
        </is>
      </c>
      <c r="O47" s="36" t="inlineStr">
        <is>
          <t>Marks</t>
        </is>
      </c>
      <c r="P47" t="inlineStr">
        <is>
          <t>S4</t>
        </is>
      </c>
    </row>
    <row r="48" outlineLevel="1" ht="32" customHeight="1">
      <c r="A48" s="31" t="inlineStr">
        <is>
          <t>MR7</t>
        </is>
      </c>
      <c r="B48" s="32" t="inlineStr">
        <is>
          <t>Numerical probabilities for a simple distribution</t>
        </is>
      </c>
      <c r="C48" s="33" t="n">
        <v>1</v>
      </c>
      <c r="D48" s="34" t="n"/>
      <c r="E48" s="35" t="n"/>
      <c r="F48" s="36" t="inlineStr">
        <is>
          <t>Topic page</t>
        </is>
      </c>
      <c r="G48" s="36" t="inlineStr">
        <is>
          <t>Q 3, 7–9, 11, 15</t>
        </is>
      </c>
      <c r="H48" s="36" t="inlineStr">
        <is>
          <t>Answers</t>
        </is>
      </c>
      <c r="I48" s="35" t="inlineStr">
        <is>
          <t>Edexcel: Probability</t>
        </is>
      </c>
      <c r="J48" s="36" t="inlineStr">
        <is>
          <t>Pages 3, 6, 10, 12, 13</t>
        </is>
      </c>
      <c r="K48" s="37" t="inlineStr">
        <is>
          <t>none</t>
        </is>
      </c>
      <c r="L48" s="36" t="inlineStr">
        <is>
          <t>Answers</t>
        </is>
      </c>
      <c r="M48" s="35" t="inlineStr">
        <is>
          <t>Discrete Probability Distributions</t>
        </is>
      </c>
      <c r="N48" s="36" t="inlineStr">
        <is>
          <t>Pages 1, 2</t>
        </is>
      </c>
      <c r="O48" s="36" t="inlineStr">
        <is>
          <t>Marks</t>
        </is>
      </c>
      <c r="P48" t="inlineStr">
        <is>
          <t>S4</t>
        </is>
      </c>
    </row>
    <row r="49" outlineLevel="1" ht="32" customHeight="1">
      <c r="A49" s="31" t="inlineStr">
        <is>
          <t>MR8</t>
        </is>
      </c>
      <c r="B49" s="32" t="inlineStr">
        <is>
          <t>Normal distribution as a model</t>
        </is>
      </c>
      <c r="C49" s="48" t="n">
        <v>2</v>
      </c>
      <c r="D49" s="34" t="n"/>
      <c r="E49" s="35" t="n"/>
      <c r="F49" s="36" t="inlineStr">
        <is>
          <t>▶ Watch</t>
        </is>
      </c>
      <c r="G49" s="37" t="inlineStr">
        <is>
          <t>none on this topic</t>
        </is>
      </c>
      <c r="H49" s="39" t="n"/>
      <c r="I49" s="35" t="inlineStr">
        <is>
          <t>Edexcel: Normal Distribution</t>
        </is>
      </c>
      <c r="J49" s="36" t="inlineStr">
        <is>
          <t>Pages 2, 3, 5–7</t>
        </is>
      </c>
      <c r="K49" s="37" t="inlineStr">
        <is>
          <t>none</t>
        </is>
      </c>
      <c r="L49" s="36" t="inlineStr">
        <is>
          <t>Answers</t>
        </is>
      </c>
      <c r="M49" s="35" t="inlineStr">
        <is>
          <t>Hypothesis Testing for Normal Mean</t>
        </is>
      </c>
      <c r="N49" s="36" t="inlineStr">
        <is>
          <t>Pages 1, 2</t>
        </is>
      </c>
      <c r="O49" s="36" t="inlineStr">
        <is>
          <t>Marks</t>
        </is>
      </c>
      <c r="P49" t="inlineStr">
        <is>
          <t>S4</t>
        </is>
      </c>
    </row>
    <row r="50" outlineLevel="1" ht="20" customHeight="1">
      <c r="A50" s="31" t="inlineStr">
        <is>
          <t>MR9</t>
        </is>
      </c>
      <c r="B50" s="32" t="inlineStr">
        <is>
          <t>Shape of the Normal curve</t>
        </is>
      </c>
      <c r="C50" s="48" t="n">
        <v>2</v>
      </c>
      <c r="D50" s="34" t="n"/>
      <c r="E50" s="35" t="n"/>
      <c r="F50" s="36" t="inlineStr">
        <is>
          <t>Topic page</t>
        </is>
      </c>
      <c r="G50" s="37" t="inlineStr">
        <is>
          <t>none on this topic</t>
        </is>
      </c>
      <c r="H50" s="39" t="n"/>
      <c r="I50" s="35" t="inlineStr">
        <is>
          <t>Edexcel: Normal distribution</t>
        </is>
      </c>
      <c r="J50" s="36" t="inlineStr">
        <is>
          <t>Pages 1, 5, 7, 9</t>
        </is>
      </c>
      <c r="K50" s="37" t="inlineStr">
        <is>
          <t>in the PDF</t>
        </is>
      </c>
      <c r="L50" s="37" t="inlineStr">
        <is>
          <t>in the PDF</t>
        </is>
      </c>
      <c r="M50" s="35" t="inlineStr">
        <is>
          <t>Normal Distribution</t>
        </is>
      </c>
      <c r="N50" s="36" t="inlineStr">
        <is>
          <t>Pages 3, 4</t>
        </is>
      </c>
      <c r="O50" s="36" t="inlineStr">
        <is>
          <t>Marks</t>
        </is>
      </c>
      <c r="P50" t="inlineStr">
        <is>
          <t>S4</t>
        </is>
      </c>
    </row>
    <row r="51" outlineLevel="1" ht="20" customHeight="1">
      <c r="A51" s="31" t="inlineStr">
        <is>
          <t>MR10</t>
        </is>
      </c>
      <c r="B51" s="32" t="inlineStr">
        <is>
          <t>Linear transformation and standardising</t>
        </is>
      </c>
      <c r="C51" s="48" t="n">
        <v>2</v>
      </c>
      <c r="D51" s="34" t="n"/>
      <c r="E51" s="35" t="n"/>
      <c r="F51" s="36" t="inlineStr">
        <is>
          <t>▶ Watch</t>
        </is>
      </c>
      <c r="G51" s="36" t="inlineStr">
        <is>
          <t>Q 4–7, 12</t>
        </is>
      </c>
      <c r="H51" s="36" t="inlineStr">
        <is>
          <t>Answers</t>
        </is>
      </c>
      <c r="I51" s="35" t="inlineStr">
        <is>
          <t>Edexcel: Normal distribution</t>
        </is>
      </c>
      <c r="J51" s="36" t="inlineStr">
        <is>
          <t>Pages 1–3, 5, 7–10</t>
        </is>
      </c>
      <c r="K51" s="37" t="inlineStr">
        <is>
          <t>in the PDF</t>
        </is>
      </c>
      <c r="L51" s="37" t="inlineStr">
        <is>
          <t>in the PDF</t>
        </is>
      </c>
      <c r="M51" s="35" t="inlineStr">
        <is>
          <t>Normal Distribution</t>
        </is>
      </c>
      <c r="N51" s="36" t="inlineStr">
        <is>
          <t>Pages 1, 3–7</t>
        </is>
      </c>
      <c r="O51" s="36" t="inlineStr">
        <is>
          <t>Marks</t>
        </is>
      </c>
      <c r="P51" t="inlineStr">
        <is>
          <t>S4</t>
        </is>
      </c>
    </row>
    <row r="52" outlineLevel="1" ht="20" customHeight="1">
      <c r="A52" s="31" t="inlineStr">
        <is>
          <t>MR11</t>
        </is>
      </c>
      <c r="B52" s="32" t="inlineStr">
        <is>
          <t>Symmetry and inflection of Normal curve</t>
        </is>
      </c>
      <c r="C52" s="48" t="n">
        <v>2</v>
      </c>
      <c r="D52" s="34" t="n"/>
      <c r="E52" s="35" t="n"/>
      <c r="F52" s="36" t="inlineStr">
        <is>
          <t>Topic page</t>
        </is>
      </c>
      <c r="G52" s="37" t="inlineStr">
        <is>
          <t>none on this topic</t>
        </is>
      </c>
      <c r="H52" s="39" t="n"/>
      <c r="I52" s="35" t="inlineStr">
        <is>
          <t>Edexcel: Normal distribution</t>
        </is>
      </c>
      <c r="J52" s="36" t="inlineStr">
        <is>
          <t>Pages 2, 3, 9</t>
        </is>
      </c>
      <c r="K52" s="37" t="inlineStr">
        <is>
          <t>in the PDF</t>
        </is>
      </c>
      <c r="L52" s="37" t="inlineStr">
        <is>
          <t>in the PDF</t>
        </is>
      </c>
      <c r="M52" s="35" t="inlineStr">
        <is>
          <t>Normal Distribution</t>
        </is>
      </c>
      <c r="N52" s="36" t="inlineStr">
        <is>
          <t>Pages 3–6</t>
        </is>
      </c>
      <c r="O52" s="36" t="inlineStr">
        <is>
          <t>Marks</t>
        </is>
      </c>
      <c r="P52" t="inlineStr">
        <is>
          <t>S4</t>
        </is>
      </c>
    </row>
    <row r="53" outlineLevel="1" ht="20" customHeight="1">
      <c r="A53" s="31" t="inlineStr">
        <is>
          <t>MR12</t>
        </is>
      </c>
      <c r="B53" s="32" t="inlineStr">
        <is>
          <t>Calculate probabilities from a Normal distribution</t>
        </is>
      </c>
      <c r="C53" s="48" t="n">
        <v>2</v>
      </c>
      <c r="D53" s="34" t="n"/>
      <c r="E53" s="35" t="n"/>
      <c r="F53" s="36" t="inlineStr">
        <is>
          <t>▶ Watch</t>
        </is>
      </c>
      <c r="G53" s="36" t="inlineStr">
        <is>
          <t>Q 1–3, 8, 9, 11</t>
        </is>
      </c>
      <c r="H53" s="36" t="inlineStr">
        <is>
          <t>Answers</t>
        </is>
      </c>
      <c r="I53" s="35" t="inlineStr">
        <is>
          <t>Edexcel: Normal distribution</t>
        </is>
      </c>
      <c r="J53" s="36" t="inlineStr">
        <is>
          <t>Pages 1–6</t>
        </is>
      </c>
      <c r="K53" s="37" t="inlineStr">
        <is>
          <t>in the PDF</t>
        </is>
      </c>
      <c r="L53" s="37" t="inlineStr">
        <is>
          <t>in the PDF</t>
        </is>
      </c>
      <c r="M53" s="35" t="inlineStr">
        <is>
          <t>Normal Distribution</t>
        </is>
      </c>
      <c r="N53" s="36" t="inlineStr">
        <is>
          <t>Pages 1–4, 6</t>
        </is>
      </c>
      <c r="O53" s="36" t="inlineStr">
        <is>
          <t>Marks</t>
        </is>
      </c>
      <c r="P53" t="inlineStr">
        <is>
          <t>S4</t>
        </is>
      </c>
    </row>
    <row r="54" outlineLevel="1" ht="20" customHeight="1">
      <c r="A54" s="31" t="inlineStr">
        <is>
          <t>MR13</t>
        </is>
      </c>
      <c r="B54" s="32" t="inlineStr">
        <is>
          <t>Model with probability distributions</t>
        </is>
      </c>
      <c r="C54" s="48" t="n">
        <v>2</v>
      </c>
      <c r="D54" s="34" t="n"/>
      <c r="E54" s="35" t="n"/>
      <c r="F54" s="36" t="inlineStr">
        <is>
          <t>▶ Watch</t>
        </is>
      </c>
      <c r="G54" s="36" t="inlineStr">
        <is>
          <t>Q 12, 14</t>
        </is>
      </c>
      <c r="H54" s="36" t="inlineStr">
        <is>
          <t>Answers</t>
        </is>
      </c>
      <c r="I54" s="35" t="inlineStr">
        <is>
          <t>Edexcel: Binomial Distribution</t>
        </is>
      </c>
      <c r="J54" s="36" t="inlineStr">
        <is>
          <t>Pages 1–3</t>
        </is>
      </c>
      <c r="K54" s="37" t="inlineStr">
        <is>
          <t>none</t>
        </is>
      </c>
      <c r="L54" s="36" t="inlineStr">
        <is>
          <t>Answers</t>
        </is>
      </c>
      <c r="M54" s="35" t="inlineStr">
        <is>
          <t>Normal Distribution</t>
        </is>
      </c>
      <c r="N54" s="36" t="inlineStr">
        <is>
          <t>Page 7</t>
        </is>
      </c>
      <c r="O54" s="36" t="inlineStr">
        <is>
          <t>Marks</t>
        </is>
      </c>
      <c r="P54" t="inlineStr">
        <is>
          <t>S4</t>
        </is>
      </c>
    </row>
    <row r="55" ht="10" customHeight="1"/>
    <row r="56" ht="26" customHeight="1">
      <c r="A56" s="44" t="n">
        <v>5</v>
      </c>
      <c r="B56" s="45" t="inlineStr">
        <is>
          <t>Statistical hypothesis testing</t>
        </is>
      </c>
      <c r="C56" s="46" t="n"/>
      <c r="D56" s="46" t="n"/>
      <c r="E56" s="47" t="inlineStr">
        <is>
          <t>11 topics  ·  Year 1: 6  ·  Year 2: 5</t>
        </is>
      </c>
      <c r="F56" s="46" t="n"/>
      <c r="G56" s="46" t="n"/>
      <c r="H56" s="46" t="n"/>
      <c r="I56" s="46" t="n"/>
      <c r="J56" s="46" t="n"/>
      <c r="K56" s="46" t="n"/>
      <c r="L56" s="46" t="n"/>
      <c r="M56" s="46" t="n"/>
      <c r="N56" s="46" t="n"/>
      <c r="O56" s="46" t="n"/>
    </row>
    <row r="57" outlineLevel="1" ht="32" customHeight="1">
      <c r="A57" s="31" t="inlineStr">
        <is>
          <t>MH1</t>
        </is>
      </c>
      <c r="B57" s="32" t="inlineStr">
        <is>
          <t>Process and language of hypothesis testing</t>
        </is>
      </c>
      <c r="C57" s="33" t="n">
        <v>1</v>
      </c>
      <c r="D57" s="34" t="n"/>
      <c r="E57" s="35" t="n"/>
      <c r="F57" s="36" t="inlineStr">
        <is>
          <t>Topic page</t>
        </is>
      </c>
      <c r="G57" s="36" t="inlineStr">
        <is>
          <t>Q 7</t>
        </is>
      </c>
      <c r="H57" s="36" t="inlineStr">
        <is>
          <t>Answers</t>
        </is>
      </c>
      <c r="I57" s="35" t="inlineStr">
        <is>
          <t>Edexcel: Tests on Binomial</t>
        </is>
      </c>
      <c r="J57" s="36" t="inlineStr">
        <is>
          <t>Pages 1, 3, 5</t>
        </is>
      </c>
      <c r="K57" s="37" t="inlineStr">
        <is>
          <t>none</t>
        </is>
      </c>
      <c r="L57" s="36" t="inlineStr">
        <is>
          <t>Answers</t>
        </is>
      </c>
      <c r="M57" s="35" t="inlineStr">
        <is>
          <t>Hypothesis Testing for Binomial Probabilities</t>
        </is>
      </c>
      <c r="N57" s="36" t="inlineStr">
        <is>
          <t>Pages 2, 3, 5</t>
        </is>
      </c>
      <c r="O57" s="36" t="inlineStr">
        <is>
          <t>Marks</t>
        </is>
      </c>
      <c r="P57" t="inlineStr">
        <is>
          <t>S5</t>
        </is>
      </c>
    </row>
    <row r="58" outlineLevel="1" ht="32" customHeight="1">
      <c r="A58" s="31" t="inlineStr">
        <is>
          <t>MH2</t>
        </is>
      </c>
      <c r="B58" s="32" t="inlineStr">
        <is>
          <t>When to apply 1-tail and 2-tail tests</t>
        </is>
      </c>
      <c r="C58" s="33" t="n">
        <v>1</v>
      </c>
      <c r="D58" s="34" t="n"/>
      <c r="E58" s="35" t="n"/>
      <c r="F58" s="36" t="inlineStr">
        <is>
          <t>▶ Watch</t>
        </is>
      </c>
      <c r="G58" s="36" t="inlineStr">
        <is>
          <t>Q 9</t>
        </is>
      </c>
      <c r="H58" s="36" t="inlineStr">
        <is>
          <t>Answers</t>
        </is>
      </c>
      <c r="I58" s="40" t="inlineStr">
        <is>
          <t>none for this topic</t>
        </is>
      </c>
      <c r="J58" s="37" t="inlineStr">
        <is>
          <t>none on this topic</t>
        </is>
      </c>
      <c r="K58" s="39" t="n"/>
      <c r="L58" s="39" t="n"/>
      <c r="M58" s="35" t="inlineStr">
        <is>
          <t>Hypothesis Testing for Binomial Probabilities</t>
        </is>
      </c>
      <c r="N58" s="36" t="inlineStr">
        <is>
          <t>Pages 1–3, 5, 8</t>
        </is>
      </c>
      <c r="O58" s="36" t="inlineStr">
        <is>
          <t>Marks</t>
        </is>
      </c>
      <c r="P58" t="inlineStr">
        <is>
          <t>S5</t>
        </is>
      </c>
    </row>
    <row r="59" outlineLevel="1" ht="32" customHeight="1">
      <c r="A59" s="31" t="inlineStr">
        <is>
          <t>MH3</t>
        </is>
      </c>
      <c r="B59" s="32" t="inlineStr">
        <is>
          <t>Significance level as the probability of wrongly rejecting H₀</t>
        </is>
      </c>
      <c r="C59" s="33" t="n">
        <v>1</v>
      </c>
      <c r="D59" s="34" t="n"/>
      <c r="E59" s="35" t="n"/>
      <c r="F59" s="36" t="inlineStr">
        <is>
          <t>Topic page</t>
        </is>
      </c>
      <c r="G59" s="36" t="inlineStr">
        <is>
          <t>Q 7</t>
        </is>
      </c>
      <c r="H59" s="36" t="inlineStr">
        <is>
          <t>Answers</t>
        </is>
      </c>
      <c r="I59" s="35" t="inlineStr">
        <is>
          <t>Edexcel: Tests on Binomial</t>
        </is>
      </c>
      <c r="J59" s="36" t="inlineStr">
        <is>
          <t>Pages 2, 3</t>
        </is>
      </c>
      <c r="K59" s="36" t="inlineStr">
        <is>
          <t>Marks</t>
        </is>
      </c>
      <c r="L59" s="36" t="inlineStr">
        <is>
          <t>Answers</t>
        </is>
      </c>
      <c r="M59" s="35" t="inlineStr">
        <is>
          <t>Normal Distribution</t>
        </is>
      </c>
      <c r="N59" s="36" t="inlineStr">
        <is>
          <t>Page 2</t>
        </is>
      </c>
      <c r="O59" s="36" t="inlineStr">
        <is>
          <t>Marks</t>
        </is>
      </c>
      <c r="P59" t="inlineStr">
        <is>
          <t>S5</t>
        </is>
      </c>
    </row>
    <row r="60" outlineLevel="1" ht="32" customHeight="1">
      <c r="A60" s="31" t="inlineStr">
        <is>
          <t>MH4</t>
        </is>
      </c>
      <c r="B60" s="32" t="inlineStr">
        <is>
          <t>Null and alternative hypotheses (binomial)</t>
        </is>
      </c>
      <c r="C60" s="33" t="n">
        <v>1</v>
      </c>
      <c r="D60" s="34" t="n"/>
      <c r="E60" s="35" t="n"/>
      <c r="F60" s="36" t="inlineStr">
        <is>
          <t>Topic page</t>
        </is>
      </c>
      <c r="G60" s="36" t="inlineStr">
        <is>
          <t>Q 8</t>
        </is>
      </c>
      <c r="H60" s="36" t="inlineStr">
        <is>
          <t>Answers</t>
        </is>
      </c>
      <c r="I60" s="35" t="inlineStr">
        <is>
          <t>Edexcel: Tests on Binomial</t>
        </is>
      </c>
      <c r="J60" s="36" t="inlineStr">
        <is>
          <t>Pages 2, 3</t>
        </is>
      </c>
      <c r="K60" s="36" t="inlineStr">
        <is>
          <t>Marks</t>
        </is>
      </c>
      <c r="L60" s="36" t="inlineStr">
        <is>
          <t>Answers</t>
        </is>
      </c>
      <c r="M60" s="35" t="inlineStr">
        <is>
          <t>Hypothesis Testing for Binomial Probabilities</t>
        </is>
      </c>
      <c r="N60" s="36" t="inlineStr">
        <is>
          <t>Pages 2, 3, 5, 6, 8</t>
        </is>
      </c>
      <c r="O60" s="36" t="inlineStr">
        <is>
          <t>Marks</t>
        </is>
      </c>
      <c r="P60" t="inlineStr">
        <is>
          <t>S5</t>
        </is>
      </c>
    </row>
    <row r="61" outlineLevel="1" ht="32" customHeight="1">
      <c r="A61" s="31" t="inlineStr">
        <is>
          <t>MH5</t>
        </is>
      </c>
      <c r="B61" s="32" t="inlineStr">
        <is>
          <t>Conduct a binomial hypothesis test</t>
        </is>
      </c>
      <c r="C61" s="33" t="n">
        <v>1</v>
      </c>
      <c r="D61" s="34" t="n"/>
      <c r="E61" s="35" t="n"/>
      <c r="F61" s="36" t="inlineStr">
        <is>
          <t>Topic page</t>
        </is>
      </c>
      <c r="G61" s="36" t="inlineStr">
        <is>
          <t>Q 3–7</t>
        </is>
      </c>
      <c r="H61" s="36" t="inlineStr">
        <is>
          <t>Answers</t>
        </is>
      </c>
      <c r="I61" s="35" t="inlineStr">
        <is>
          <t>Edexcel: Hypothesis tests - Tests on binomial</t>
        </is>
      </c>
      <c r="J61" s="36" t="inlineStr">
        <is>
          <t>Pages 1, 3–6</t>
        </is>
      </c>
      <c r="K61" s="37" t="inlineStr">
        <is>
          <t>in the PDF</t>
        </is>
      </c>
      <c r="L61" s="37" t="inlineStr">
        <is>
          <t>in the PDF</t>
        </is>
      </c>
      <c r="M61" s="35" t="inlineStr">
        <is>
          <t>Hypothesis Testing for Binomial Probabilities</t>
        </is>
      </c>
      <c r="N61" s="36" t="inlineStr">
        <is>
          <t>Pages 1–4, 6, 8–10</t>
        </is>
      </c>
      <c r="O61" s="36" t="inlineStr">
        <is>
          <t>Marks</t>
        </is>
      </c>
      <c r="P61" t="inlineStr">
        <is>
          <t>S5</t>
        </is>
      </c>
    </row>
    <row r="62" outlineLevel="1" ht="32" customHeight="1">
      <c r="A62" s="31" t="inlineStr">
        <is>
          <t>MH6</t>
        </is>
      </c>
      <c r="B62" s="32" t="inlineStr">
        <is>
          <t>Critical and acceptance regions (binomial)</t>
        </is>
      </c>
      <c r="C62" s="33" t="n">
        <v>1</v>
      </c>
      <c r="D62" s="34" t="n"/>
      <c r="E62" s="35" t="n"/>
      <c r="F62" s="36" t="inlineStr">
        <is>
          <t>▶ Watch</t>
        </is>
      </c>
      <c r="G62" s="36" t="inlineStr">
        <is>
          <t>Q 7</t>
        </is>
      </c>
      <c r="H62" s="36" t="inlineStr">
        <is>
          <t>Answers</t>
        </is>
      </c>
      <c r="I62" s="35" t="inlineStr">
        <is>
          <t>Edexcel: Hypothesis tests - Tests on binomial</t>
        </is>
      </c>
      <c r="J62" s="36" t="inlineStr">
        <is>
          <t>Pages 1, 2, 4, 6, 7</t>
        </is>
      </c>
      <c r="K62" s="37" t="inlineStr">
        <is>
          <t>in the PDF</t>
        </is>
      </c>
      <c r="L62" s="37" t="inlineStr">
        <is>
          <t>in the PDF</t>
        </is>
      </c>
      <c r="M62" s="35" t="inlineStr">
        <is>
          <t>Hypothesis Testing for Binomial Probabilities</t>
        </is>
      </c>
      <c r="N62" s="36" t="inlineStr">
        <is>
          <t>Pages 3, 5, 6</t>
        </is>
      </c>
      <c r="O62" s="36" t="inlineStr">
        <is>
          <t>Marks</t>
        </is>
      </c>
      <c r="P62" t="inlineStr">
        <is>
          <t>S5</t>
        </is>
      </c>
    </row>
    <row r="63" outlineLevel="1" ht="20" customHeight="1">
      <c r="A63" s="31" t="inlineStr">
        <is>
          <t>MH7</t>
        </is>
      </c>
      <c r="B63" s="32" t="inlineStr">
        <is>
          <t>Distribution of the sample mean</t>
        </is>
      </c>
      <c r="C63" s="48" t="n">
        <v>2</v>
      </c>
      <c r="D63" s="34" t="n"/>
      <c r="E63" s="35" t="n"/>
      <c r="F63" s="36" t="inlineStr">
        <is>
          <t>Topic page</t>
        </is>
      </c>
      <c r="G63" s="37" t="inlineStr">
        <is>
          <t>none on this topic</t>
        </is>
      </c>
      <c r="H63" s="39" t="n"/>
      <c r="I63" s="35" t="inlineStr">
        <is>
          <t>Edexcel: Sampling methods 2</t>
        </is>
      </c>
      <c r="J63" s="36" t="inlineStr">
        <is>
          <t>Page 2</t>
        </is>
      </c>
      <c r="K63" s="37" t="inlineStr">
        <is>
          <t>in the PDF</t>
        </is>
      </c>
      <c r="L63" s="37" t="inlineStr">
        <is>
          <t>in the PDF</t>
        </is>
      </c>
      <c r="M63" s="40" t="inlineStr">
        <is>
          <t>none for this topic</t>
        </is>
      </c>
      <c r="N63" s="37" t="inlineStr">
        <is>
          <t>none on this topic</t>
        </is>
      </c>
      <c r="O63" s="39" t="n"/>
      <c r="P63" t="inlineStr">
        <is>
          <t>S5</t>
        </is>
      </c>
    </row>
    <row r="64" outlineLevel="1" ht="32" customHeight="1">
      <c r="A64" s="31" t="inlineStr">
        <is>
          <t>MH8</t>
        </is>
      </c>
      <c r="B64" s="32" t="inlineStr">
        <is>
          <t>Hypothesis test for a single mean</t>
        </is>
      </c>
      <c r="C64" s="48" t="n">
        <v>2</v>
      </c>
      <c r="D64" s="34" t="n"/>
      <c r="E64" s="35" t="n"/>
      <c r="F64" s="36" t="inlineStr">
        <is>
          <t>▶ Watch</t>
        </is>
      </c>
      <c r="G64" s="36" t="inlineStr">
        <is>
          <t>Q 8–13</t>
        </is>
      </c>
      <c r="H64" s="36" t="inlineStr">
        <is>
          <t>Answers</t>
        </is>
      </c>
      <c r="I64" s="35" t="inlineStr">
        <is>
          <t>Edexcel: Normal Distribution</t>
        </is>
      </c>
      <c r="J64" s="36" t="inlineStr">
        <is>
          <t>Pages 1, 4, 6, 7</t>
        </is>
      </c>
      <c r="K64" s="37" t="inlineStr">
        <is>
          <t>none</t>
        </is>
      </c>
      <c r="L64" s="36" t="inlineStr">
        <is>
          <t>Answers</t>
        </is>
      </c>
      <c r="M64" s="35" t="inlineStr">
        <is>
          <t>Hypothesis Testing for Normal Mean</t>
        </is>
      </c>
      <c r="N64" s="36" t="inlineStr">
        <is>
          <t>Pages 2, 3, 5, 6</t>
        </is>
      </c>
      <c r="O64" s="36" t="inlineStr">
        <is>
          <t>Marks</t>
        </is>
      </c>
      <c r="P64" t="inlineStr">
        <is>
          <t>S5</t>
        </is>
      </c>
    </row>
    <row r="65" outlineLevel="1" ht="32" customHeight="1">
      <c r="A65" s="31" t="inlineStr">
        <is>
          <t>MH9</t>
        </is>
      </c>
      <c r="B65" s="32" t="inlineStr">
        <is>
          <t>Critical and acceptance regions (mean)</t>
        </is>
      </c>
      <c r="C65" s="48" t="n">
        <v>2</v>
      </c>
      <c r="D65" s="34" t="n"/>
      <c r="E65" s="35" t="n"/>
      <c r="F65" s="36" t="inlineStr">
        <is>
          <t>Topic page</t>
        </is>
      </c>
      <c r="G65" s="37" t="inlineStr">
        <is>
          <t>none on this topic</t>
        </is>
      </c>
      <c r="H65" s="39" t="n"/>
      <c r="I65" s="40" t="inlineStr">
        <is>
          <t>none for this topic</t>
        </is>
      </c>
      <c r="J65" s="37" t="inlineStr">
        <is>
          <t>none on this topic</t>
        </is>
      </c>
      <c r="K65" s="39" t="n"/>
      <c r="L65" s="39" t="n"/>
      <c r="M65" s="35" t="inlineStr">
        <is>
          <t>Hypothesis Testing for Normal Mean</t>
        </is>
      </c>
      <c r="N65" s="36" t="inlineStr">
        <is>
          <t>Page 5</t>
        </is>
      </c>
      <c r="O65" s="36" t="inlineStr">
        <is>
          <t>Marks</t>
        </is>
      </c>
      <c r="P65" t="inlineStr">
        <is>
          <t>S5</t>
        </is>
      </c>
    </row>
    <row r="66" outlineLevel="1" ht="32" customHeight="1">
      <c r="A66" s="31" t="inlineStr">
        <is>
          <t>MH10</t>
        </is>
      </c>
      <c r="B66" s="32" t="inlineStr">
        <is>
          <t>Correlation as closeness to a straight line</t>
        </is>
      </c>
      <c r="C66" s="48" t="n">
        <v>2</v>
      </c>
      <c r="D66" s="34" t="n"/>
      <c r="E66" s="35" t="n"/>
      <c r="F66" s="36" t="inlineStr">
        <is>
          <t>▶ Watch</t>
        </is>
      </c>
      <c r="G66" s="36" t="inlineStr">
        <is>
          <t>Q 1, 5, 6, 9</t>
        </is>
      </c>
      <c r="H66" s="36" t="inlineStr">
        <is>
          <t>Answers</t>
        </is>
      </c>
      <c r="I66" s="35" t="inlineStr">
        <is>
          <t>Edexcel: Regression, Correlation and Hypothesis Testing</t>
        </is>
      </c>
      <c r="J66" s="36" t="inlineStr">
        <is>
          <t>Pages 1–5</t>
        </is>
      </c>
      <c r="K66" s="37" t="inlineStr">
        <is>
          <t>none</t>
        </is>
      </c>
      <c r="L66" s="36" t="inlineStr">
        <is>
          <t>Answers</t>
        </is>
      </c>
      <c r="M66" s="35" t="inlineStr">
        <is>
          <t>Hypothesis Testing for Correlation and Association</t>
        </is>
      </c>
      <c r="N66" s="36" t="inlineStr">
        <is>
          <t>Pages 1, 2</t>
        </is>
      </c>
      <c r="O66" s="36" t="inlineStr">
        <is>
          <t>Marks</t>
        </is>
      </c>
      <c r="P66" t="inlineStr">
        <is>
          <t>S5</t>
        </is>
      </c>
    </row>
    <row r="67" outlineLevel="1" ht="32" customHeight="1">
      <c r="A67" s="31" t="inlineStr">
        <is>
          <t>MH11</t>
        </is>
      </c>
      <c r="B67" s="32" t="inlineStr">
        <is>
          <t>Inference using a correlation coefficient</t>
        </is>
      </c>
      <c r="C67" s="48" t="n">
        <v>2</v>
      </c>
      <c r="D67" s="34" t="n"/>
      <c r="E67" s="35" t="n"/>
      <c r="F67" s="36" t="inlineStr">
        <is>
          <t>▶ Watch</t>
        </is>
      </c>
      <c r="G67" s="36" t="inlineStr">
        <is>
          <t>Q 1–6, 10, 11</t>
        </is>
      </c>
      <c r="H67" s="36" t="inlineStr">
        <is>
          <t>Answers</t>
        </is>
      </c>
      <c r="I67" s="35" t="inlineStr">
        <is>
          <t>Edexcel: Regression, Correlation and Hypothesis Testing</t>
        </is>
      </c>
      <c r="J67" s="36" t="inlineStr">
        <is>
          <t>Pages 1–5</t>
        </is>
      </c>
      <c r="K67" s="37" t="inlineStr">
        <is>
          <t>none</t>
        </is>
      </c>
      <c r="L67" s="36" t="inlineStr">
        <is>
          <t>Answers</t>
        </is>
      </c>
      <c r="M67" s="35" t="inlineStr">
        <is>
          <t>Hypothesis Testing for Correlation and Association</t>
        </is>
      </c>
      <c r="N67" s="36" t="inlineStr">
        <is>
          <t>Pages 1, 2, 4</t>
        </is>
      </c>
      <c r="O67" s="36" t="inlineStr">
        <is>
          <t>Marks</t>
        </is>
      </c>
      <c r="P67" t="inlineStr">
        <is>
          <t>S5</t>
        </is>
      </c>
    </row>
  </sheetData>
  <mergeCells count="4">
    <mergeCell ref="M5:O5"/>
    <mergeCell ref="A5:E5"/>
    <mergeCell ref="F5:H5"/>
    <mergeCell ref="I5:L5"/>
  </mergeCells>
  <conditionalFormatting sqref="D7:D67">
    <cfRule type="cellIs" priority="1" operator="equal" dxfId="0">
      <formula>"R"</formula>
    </cfRule>
    <cfRule type="cellIs" priority="3" operator="equal" dxfId="1">
      <formula>"A"</formula>
    </cfRule>
    <cfRule type="cellIs" priority="5" operator="equal" dxfId="2">
      <formula>"G"</formula>
    </cfRule>
  </conditionalFormatting>
  <conditionalFormatting sqref="B7:B67">
    <cfRule type="expression" priority="2" dxfId="3">
      <formula>$D7="R"</formula>
    </cfRule>
    <cfRule type="expression" priority="4" dxfId="4">
      <formula>$D7="A"</formula>
    </cfRule>
    <cfRule type="expression" priority="6" dxfId="5">
      <formula>$D7="G"</formula>
    </cfRule>
  </conditionalFormatting>
  <dataValidations count="1">
    <dataValidation sqref="D7:D67"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N9" r:id="rId5"/>
    <hyperlink xmlns:r="http://schemas.openxmlformats.org/officeDocument/2006/relationships" ref="O9" r:id="rId6"/>
    <hyperlink xmlns:r="http://schemas.openxmlformats.org/officeDocument/2006/relationships" ref="F10" r:id="rId7"/>
    <hyperlink xmlns:r="http://schemas.openxmlformats.org/officeDocument/2006/relationships" ref="G10" r:id="rId8"/>
    <hyperlink xmlns:r="http://schemas.openxmlformats.org/officeDocument/2006/relationships" ref="H10" r:id="rId9"/>
    <hyperlink xmlns:r="http://schemas.openxmlformats.org/officeDocument/2006/relationships" ref="J10" r:id="rId10"/>
    <hyperlink xmlns:r="http://schemas.openxmlformats.org/officeDocument/2006/relationships" ref="K10" r:id="rId11"/>
    <hyperlink xmlns:r="http://schemas.openxmlformats.org/officeDocument/2006/relationships" ref="L10" r:id="rId12"/>
    <hyperlink xmlns:r="http://schemas.openxmlformats.org/officeDocument/2006/relationships" ref="N10" r:id="rId13"/>
    <hyperlink xmlns:r="http://schemas.openxmlformats.org/officeDocument/2006/relationships" ref="O10" r:id="rId14"/>
    <hyperlink xmlns:r="http://schemas.openxmlformats.org/officeDocument/2006/relationships" ref="F11" r:id="rId15"/>
    <hyperlink xmlns:r="http://schemas.openxmlformats.org/officeDocument/2006/relationships" ref="J11" r:id="rId16"/>
    <hyperlink xmlns:r="http://schemas.openxmlformats.org/officeDocument/2006/relationships" ref="N11" r:id="rId17"/>
    <hyperlink xmlns:r="http://schemas.openxmlformats.org/officeDocument/2006/relationships" ref="O11" r:id="rId18"/>
    <hyperlink xmlns:r="http://schemas.openxmlformats.org/officeDocument/2006/relationships" ref="F12" r:id="rId19"/>
    <hyperlink xmlns:r="http://schemas.openxmlformats.org/officeDocument/2006/relationships" ref="G12" r:id="rId20"/>
    <hyperlink xmlns:r="http://schemas.openxmlformats.org/officeDocument/2006/relationships" ref="H12" r:id="rId21"/>
    <hyperlink xmlns:r="http://schemas.openxmlformats.org/officeDocument/2006/relationships" ref="J12" r:id="rId22"/>
    <hyperlink xmlns:r="http://schemas.openxmlformats.org/officeDocument/2006/relationships" ref="N12" r:id="rId23"/>
    <hyperlink xmlns:r="http://schemas.openxmlformats.org/officeDocument/2006/relationships" ref="O12" r:id="rId24"/>
    <hyperlink xmlns:r="http://schemas.openxmlformats.org/officeDocument/2006/relationships" ref="F13" r:id="rId25"/>
    <hyperlink xmlns:r="http://schemas.openxmlformats.org/officeDocument/2006/relationships" ref="G13" r:id="rId26"/>
    <hyperlink xmlns:r="http://schemas.openxmlformats.org/officeDocument/2006/relationships" ref="H13" r:id="rId27"/>
    <hyperlink xmlns:r="http://schemas.openxmlformats.org/officeDocument/2006/relationships" ref="J13" r:id="rId28"/>
    <hyperlink xmlns:r="http://schemas.openxmlformats.org/officeDocument/2006/relationships" ref="N13" r:id="rId29"/>
    <hyperlink xmlns:r="http://schemas.openxmlformats.org/officeDocument/2006/relationships" ref="O13" r:id="rId30"/>
    <hyperlink xmlns:r="http://schemas.openxmlformats.org/officeDocument/2006/relationships" ref="F16" r:id="rId31"/>
    <hyperlink xmlns:r="http://schemas.openxmlformats.org/officeDocument/2006/relationships" ref="G16" r:id="rId32"/>
    <hyperlink xmlns:r="http://schemas.openxmlformats.org/officeDocument/2006/relationships" ref="H16" r:id="rId33"/>
    <hyperlink xmlns:r="http://schemas.openxmlformats.org/officeDocument/2006/relationships" ref="J16" r:id="rId34"/>
    <hyperlink xmlns:r="http://schemas.openxmlformats.org/officeDocument/2006/relationships" ref="N16" r:id="rId35"/>
    <hyperlink xmlns:r="http://schemas.openxmlformats.org/officeDocument/2006/relationships" ref="O16" r:id="rId36"/>
    <hyperlink xmlns:r="http://schemas.openxmlformats.org/officeDocument/2006/relationships" ref="F17" r:id="rId37"/>
    <hyperlink xmlns:r="http://schemas.openxmlformats.org/officeDocument/2006/relationships" ref="G17" r:id="rId38"/>
    <hyperlink xmlns:r="http://schemas.openxmlformats.org/officeDocument/2006/relationships" ref="H17" r:id="rId39"/>
    <hyperlink xmlns:r="http://schemas.openxmlformats.org/officeDocument/2006/relationships" ref="J17" r:id="rId40"/>
    <hyperlink xmlns:r="http://schemas.openxmlformats.org/officeDocument/2006/relationships" ref="N17" r:id="rId41"/>
    <hyperlink xmlns:r="http://schemas.openxmlformats.org/officeDocument/2006/relationships" ref="O17" r:id="rId42"/>
    <hyperlink xmlns:r="http://schemas.openxmlformats.org/officeDocument/2006/relationships" ref="F18" r:id="rId43"/>
    <hyperlink xmlns:r="http://schemas.openxmlformats.org/officeDocument/2006/relationships" ref="N18" r:id="rId44"/>
    <hyperlink xmlns:r="http://schemas.openxmlformats.org/officeDocument/2006/relationships" ref="O18" r:id="rId45"/>
    <hyperlink xmlns:r="http://schemas.openxmlformats.org/officeDocument/2006/relationships" ref="F19" r:id="rId46"/>
    <hyperlink xmlns:r="http://schemas.openxmlformats.org/officeDocument/2006/relationships" ref="G19" r:id="rId47"/>
    <hyperlink xmlns:r="http://schemas.openxmlformats.org/officeDocument/2006/relationships" ref="H19" r:id="rId48"/>
    <hyperlink xmlns:r="http://schemas.openxmlformats.org/officeDocument/2006/relationships" ref="J19" r:id="rId49"/>
    <hyperlink xmlns:r="http://schemas.openxmlformats.org/officeDocument/2006/relationships" ref="N19" r:id="rId50"/>
    <hyperlink xmlns:r="http://schemas.openxmlformats.org/officeDocument/2006/relationships" ref="O19" r:id="rId51"/>
    <hyperlink xmlns:r="http://schemas.openxmlformats.org/officeDocument/2006/relationships" ref="F20" r:id="rId52"/>
    <hyperlink xmlns:r="http://schemas.openxmlformats.org/officeDocument/2006/relationships" ref="F21" r:id="rId53"/>
    <hyperlink xmlns:r="http://schemas.openxmlformats.org/officeDocument/2006/relationships" ref="G21" r:id="rId54"/>
    <hyperlink xmlns:r="http://schemas.openxmlformats.org/officeDocument/2006/relationships" ref="H21" r:id="rId55"/>
    <hyperlink xmlns:r="http://schemas.openxmlformats.org/officeDocument/2006/relationships" ref="J21" r:id="rId56"/>
    <hyperlink xmlns:r="http://schemas.openxmlformats.org/officeDocument/2006/relationships" ref="L21" r:id="rId57"/>
    <hyperlink xmlns:r="http://schemas.openxmlformats.org/officeDocument/2006/relationships" ref="N21" r:id="rId58"/>
    <hyperlink xmlns:r="http://schemas.openxmlformats.org/officeDocument/2006/relationships" ref="O21" r:id="rId59"/>
    <hyperlink xmlns:r="http://schemas.openxmlformats.org/officeDocument/2006/relationships" ref="F22" r:id="rId60"/>
    <hyperlink xmlns:r="http://schemas.openxmlformats.org/officeDocument/2006/relationships" ref="J22" r:id="rId61"/>
    <hyperlink xmlns:r="http://schemas.openxmlformats.org/officeDocument/2006/relationships" ref="N22" r:id="rId62"/>
    <hyperlink xmlns:r="http://schemas.openxmlformats.org/officeDocument/2006/relationships" ref="O22" r:id="rId63"/>
    <hyperlink xmlns:r="http://schemas.openxmlformats.org/officeDocument/2006/relationships" ref="F23" r:id="rId64"/>
    <hyperlink xmlns:r="http://schemas.openxmlformats.org/officeDocument/2006/relationships" ref="G23" r:id="rId65"/>
    <hyperlink xmlns:r="http://schemas.openxmlformats.org/officeDocument/2006/relationships" ref="H23" r:id="rId66"/>
    <hyperlink xmlns:r="http://schemas.openxmlformats.org/officeDocument/2006/relationships" ref="J23" r:id="rId67"/>
    <hyperlink xmlns:r="http://schemas.openxmlformats.org/officeDocument/2006/relationships" ref="K23" r:id="rId68"/>
    <hyperlink xmlns:r="http://schemas.openxmlformats.org/officeDocument/2006/relationships" ref="L23" r:id="rId69"/>
    <hyperlink xmlns:r="http://schemas.openxmlformats.org/officeDocument/2006/relationships" ref="N23" r:id="rId70"/>
    <hyperlink xmlns:r="http://schemas.openxmlformats.org/officeDocument/2006/relationships" ref="O23" r:id="rId71"/>
    <hyperlink xmlns:r="http://schemas.openxmlformats.org/officeDocument/2006/relationships" ref="F24" r:id="rId72"/>
    <hyperlink xmlns:r="http://schemas.openxmlformats.org/officeDocument/2006/relationships" ref="G24" r:id="rId73"/>
    <hyperlink xmlns:r="http://schemas.openxmlformats.org/officeDocument/2006/relationships" ref="H24" r:id="rId74"/>
    <hyperlink xmlns:r="http://schemas.openxmlformats.org/officeDocument/2006/relationships" ref="J24" r:id="rId75"/>
    <hyperlink xmlns:r="http://schemas.openxmlformats.org/officeDocument/2006/relationships" ref="N24" r:id="rId76"/>
    <hyperlink xmlns:r="http://schemas.openxmlformats.org/officeDocument/2006/relationships" ref="O24" r:id="rId77"/>
    <hyperlink xmlns:r="http://schemas.openxmlformats.org/officeDocument/2006/relationships" ref="F25" r:id="rId78"/>
    <hyperlink xmlns:r="http://schemas.openxmlformats.org/officeDocument/2006/relationships" ref="G25" r:id="rId79"/>
    <hyperlink xmlns:r="http://schemas.openxmlformats.org/officeDocument/2006/relationships" ref="H25" r:id="rId80"/>
    <hyperlink xmlns:r="http://schemas.openxmlformats.org/officeDocument/2006/relationships" ref="J25" r:id="rId81"/>
    <hyperlink xmlns:r="http://schemas.openxmlformats.org/officeDocument/2006/relationships" ref="N25" r:id="rId82"/>
    <hyperlink xmlns:r="http://schemas.openxmlformats.org/officeDocument/2006/relationships" ref="O25" r:id="rId83"/>
    <hyperlink xmlns:r="http://schemas.openxmlformats.org/officeDocument/2006/relationships" ref="F26" r:id="rId84"/>
    <hyperlink xmlns:r="http://schemas.openxmlformats.org/officeDocument/2006/relationships" ref="G26" r:id="rId85"/>
    <hyperlink xmlns:r="http://schemas.openxmlformats.org/officeDocument/2006/relationships" ref="H26" r:id="rId86"/>
    <hyperlink xmlns:r="http://schemas.openxmlformats.org/officeDocument/2006/relationships" ref="J26" r:id="rId87"/>
    <hyperlink xmlns:r="http://schemas.openxmlformats.org/officeDocument/2006/relationships" ref="N26" r:id="rId88"/>
    <hyperlink xmlns:r="http://schemas.openxmlformats.org/officeDocument/2006/relationships" ref="O26" r:id="rId89"/>
    <hyperlink xmlns:r="http://schemas.openxmlformats.org/officeDocument/2006/relationships" ref="F27" r:id="rId90"/>
    <hyperlink xmlns:r="http://schemas.openxmlformats.org/officeDocument/2006/relationships" ref="G27" r:id="rId91"/>
    <hyperlink xmlns:r="http://schemas.openxmlformats.org/officeDocument/2006/relationships" ref="H27" r:id="rId92"/>
    <hyperlink xmlns:r="http://schemas.openxmlformats.org/officeDocument/2006/relationships" ref="J27" r:id="rId93"/>
    <hyperlink xmlns:r="http://schemas.openxmlformats.org/officeDocument/2006/relationships" ref="N27" r:id="rId94"/>
    <hyperlink xmlns:r="http://schemas.openxmlformats.org/officeDocument/2006/relationships" ref="O27" r:id="rId95"/>
    <hyperlink xmlns:r="http://schemas.openxmlformats.org/officeDocument/2006/relationships" ref="F28" r:id="rId96"/>
    <hyperlink xmlns:r="http://schemas.openxmlformats.org/officeDocument/2006/relationships" ref="G28" r:id="rId97"/>
    <hyperlink xmlns:r="http://schemas.openxmlformats.org/officeDocument/2006/relationships" ref="H28" r:id="rId98"/>
    <hyperlink xmlns:r="http://schemas.openxmlformats.org/officeDocument/2006/relationships" ref="J28" r:id="rId99"/>
    <hyperlink xmlns:r="http://schemas.openxmlformats.org/officeDocument/2006/relationships" ref="N28" r:id="rId100"/>
    <hyperlink xmlns:r="http://schemas.openxmlformats.org/officeDocument/2006/relationships" ref="O28" r:id="rId101"/>
    <hyperlink xmlns:r="http://schemas.openxmlformats.org/officeDocument/2006/relationships" ref="F29" r:id="rId102"/>
    <hyperlink xmlns:r="http://schemas.openxmlformats.org/officeDocument/2006/relationships" ref="G29" r:id="rId103"/>
    <hyperlink xmlns:r="http://schemas.openxmlformats.org/officeDocument/2006/relationships" ref="H29" r:id="rId104"/>
    <hyperlink xmlns:r="http://schemas.openxmlformats.org/officeDocument/2006/relationships" ref="J29" r:id="rId105"/>
    <hyperlink xmlns:r="http://schemas.openxmlformats.org/officeDocument/2006/relationships" ref="L29" r:id="rId106"/>
    <hyperlink xmlns:r="http://schemas.openxmlformats.org/officeDocument/2006/relationships" ref="N29" r:id="rId107"/>
    <hyperlink xmlns:r="http://schemas.openxmlformats.org/officeDocument/2006/relationships" ref="O29" r:id="rId108"/>
    <hyperlink xmlns:r="http://schemas.openxmlformats.org/officeDocument/2006/relationships" ref="F30" r:id="rId109"/>
    <hyperlink xmlns:r="http://schemas.openxmlformats.org/officeDocument/2006/relationships" ref="G30" r:id="rId110"/>
    <hyperlink xmlns:r="http://schemas.openxmlformats.org/officeDocument/2006/relationships" ref="H30" r:id="rId111"/>
    <hyperlink xmlns:r="http://schemas.openxmlformats.org/officeDocument/2006/relationships" ref="N30" r:id="rId112"/>
    <hyperlink xmlns:r="http://schemas.openxmlformats.org/officeDocument/2006/relationships" ref="O30" r:id="rId113"/>
    <hyperlink xmlns:r="http://schemas.openxmlformats.org/officeDocument/2006/relationships" ref="F33" r:id="rId114"/>
    <hyperlink xmlns:r="http://schemas.openxmlformats.org/officeDocument/2006/relationships" ref="G33" r:id="rId115"/>
    <hyperlink xmlns:r="http://schemas.openxmlformats.org/officeDocument/2006/relationships" ref="H33" r:id="rId116"/>
    <hyperlink xmlns:r="http://schemas.openxmlformats.org/officeDocument/2006/relationships" ref="J33" r:id="rId117"/>
    <hyperlink xmlns:r="http://schemas.openxmlformats.org/officeDocument/2006/relationships" ref="L33" r:id="rId118"/>
    <hyperlink xmlns:r="http://schemas.openxmlformats.org/officeDocument/2006/relationships" ref="N33" r:id="rId119"/>
    <hyperlink xmlns:r="http://schemas.openxmlformats.org/officeDocument/2006/relationships" ref="O33" r:id="rId120"/>
    <hyperlink xmlns:r="http://schemas.openxmlformats.org/officeDocument/2006/relationships" ref="F34" r:id="rId121"/>
    <hyperlink xmlns:r="http://schemas.openxmlformats.org/officeDocument/2006/relationships" ref="G34" r:id="rId122"/>
    <hyperlink xmlns:r="http://schemas.openxmlformats.org/officeDocument/2006/relationships" ref="H34" r:id="rId123"/>
    <hyperlink xmlns:r="http://schemas.openxmlformats.org/officeDocument/2006/relationships" ref="J34" r:id="rId124"/>
    <hyperlink xmlns:r="http://schemas.openxmlformats.org/officeDocument/2006/relationships" ref="N34" r:id="rId125"/>
    <hyperlink xmlns:r="http://schemas.openxmlformats.org/officeDocument/2006/relationships" ref="O34" r:id="rId126"/>
    <hyperlink xmlns:r="http://schemas.openxmlformats.org/officeDocument/2006/relationships" ref="F35" r:id="rId127"/>
    <hyperlink xmlns:r="http://schemas.openxmlformats.org/officeDocument/2006/relationships" ref="G35" r:id="rId128"/>
    <hyperlink xmlns:r="http://schemas.openxmlformats.org/officeDocument/2006/relationships" ref="H35" r:id="rId129"/>
    <hyperlink xmlns:r="http://schemas.openxmlformats.org/officeDocument/2006/relationships" ref="J35" r:id="rId130"/>
    <hyperlink xmlns:r="http://schemas.openxmlformats.org/officeDocument/2006/relationships" ref="N35" r:id="rId131"/>
    <hyperlink xmlns:r="http://schemas.openxmlformats.org/officeDocument/2006/relationships" ref="O35" r:id="rId132"/>
    <hyperlink xmlns:r="http://schemas.openxmlformats.org/officeDocument/2006/relationships" ref="F36" r:id="rId133"/>
    <hyperlink xmlns:r="http://schemas.openxmlformats.org/officeDocument/2006/relationships" ref="G36" r:id="rId134"/>
    <hyperlink xmlns:r="http://schemas.openxmlformats.org/officeDocument/2006/relationships" ref="H36" r:id="rId135"/>
    <hyperlink xmlns:r="http://schemas.openxmlformats.org/officeDocument/2006/relationships" ref="J36" r:id="rId136"/>
    <hyperlink xmlns:r="http://schemas.openxmlformats.org/officeDocument/2006/relationships" ref="N36" r:id="rId137"/>
    <hyperlink xmlns:r="http://schemas.openxmlformats.org/officeDocument/2006/relationships" ref="O36" r:id="rId138"/>
    <hyperlink xmlns:r="http://schemas.openxmlformats.org/officeDocument/2006/relationships" ref="F37" r:id="rId139"/>
    <hyperlink xmlns:r="http://schemas.openxmlformats.org/officeDocument/2006/relationships" ref="G37" r:id="rId140"/>
    <hyperlink xmlns:r="http://schemas.openxmlformats.org/officeDocument/2006/relationships" ref="H37" r:id="rId141"/>
    <hyperlink xmlns:r="http://schemas.openxmlformats.org/officeDocument/2006/relationships" ref="J37" r:id="rId142"/>
    <hyperlink xmlns:r="http://schemas.openxmlformats.org/officeDocument/2006/relationships" ref="N37" r:id="rId143"/>
    <hyperlink xmlns:r="http://schemas.openxmlformats.org/officeDocument/2006/relationships" ref="O37" r:id="rId144"/>
    <hyperlink xmlns:r="http://schemas.openxmlformats.org/officeDocument/2006/relationships" ref="F38" r:id="rId145"/>
    <hyperlink xmlns:r="http://schemas.openxmlformats.org/officeDocument/2006/relationships" ref="G38" r:id="rId146"/>
    <hyperlink xmlns:r="http://schemas.openxmlformats.org/officeDocument/2006/relationships" ref="H38" r:id="rId147"/>
    <hyperlink xmlns:r="http://schemas.openxmlformats.org/officeDocument/2006/relationships" ref="J38" r:id="rId148"/>
    <hyperlink xmlns:r="http://schemas.openxmlformats.org/officeDocument/2006/relationships" ref="N38" r:id="rId149"/>
    <hyperlink xmlns:r="http://schemas.openxmlformats.org/officeDocument/2006/relationships" ref="O38" r:id="rId150"/>
    <hyperlink xmlns:r="http://schemas.openxmlformats.org/officeDocument/2006/relationships" ref="F39" r:id="rId151"/>
    <hyperlink xmlns:r="http://schemas.openxmlformats.org/officeDocument/2006/relationships" ref="G39" r:id="rId152"/>
    <hyperlink xmlns:r="http://schemas.openxmlformats.org/officeDocument/2006/relationships" ref="H39" r:id="rId153"/>
    <hyperlink xmlns:r="http://schemas.openxmlformats.org/officeDocument/2006/relationships" ref="J39" r:id="rId154"/>
    <hyperlink xmlns:r="http://schemas.openxmlformats.org/officeDocument/2006/relationships" ref="L39" r:id="rId155"/>
    <hyperlink xmlns:r="http://schemas.openxmlformats.org/officeDocument/2006/relationships" ref="N39" r:id="rId156"/>
    <hyperlink xmlns:r="http://schemas.openxmlformats.org/officeDocument/2006/relationships" ref="O39" r:id="rId157"/>
    <hyperlink xmlns:r="http://schemas.openxmlformats.org/officeDocument/2006/relationships" ref="F42" r:id="rId158"/>
    <hyperlink xmlns:r="http://schemas.openxmlformats.org/officeDocument/2006/relationships" ref="G42" r:id="rId159"/>
    <hyperlink xmlns:r="http://schemas.openxmlformats.org/officeDocument/2006/relationships" ref="H42" r:id="rId160"/>
    <hyperlink xmlns:r="http://schemas.openxmlformats.org/officeDocument/2006/relationships" ref="J42" r:id="rId161"/>
    <hyperlink xmlns:r="http://schemas.openxmlformats.org/officeDocument/2006/relationships" ref="N42" r:id="rId162"/>
    <hyperlink xmlns:r="http://schemas.openxmlformats.org/officeDocument/2006/relationships" ref="O42" r:id="rId163"/>
    <hyperlink xmlns:r="http://schemas.openxmlformats.org/officeDocument/2006/relationships" ref="F43" r:id="rId164"/>
    <hyperlink xmlns:r="http://schemas.openxmlformats.org/officeDocument/2006/relationships" ref="G43" r:id="rId165"/>
    <hyperlink xmlns:r="http://schemas.openxmlformats.org/officeDocument/2006/relationships" ref="H43" r:id="rId166"/>
    <hyperlink xmlns:r="http://schemas.openxmlformats.org/officeDocument/2006/relationships" ref="J43" r:id="rId167"/>
    <hyperlink xmlns:r="http://schemas.openxmlformats.org/officeDocument/2006/relationships" ref="N43" r:id="rId168"/>
    <hyperlink xmlns:r="http://schemas.openxmlformats.org/officeDocument/2006/relationships" ref="O43" r:id="rId169"/>
    <hyperlink xmlns:r="http://schemas.openxmlformats.org/officeDocument/2006/relationships" ref="F44" r:id="rId170"/>
    <hyperlink xmlns:r="http://schemas.openxmlformats.org/officeDocument/2006/relationships" ref="G44" r:id="rId171"/>
    <hyperlink xmlns:r="http://schemas.openxmlformats.org/officeDocument/2006/relationships" ref="H44" r:id="rId172"/>
    <hyperlink xmlns:r="http://schemas.openxmlformats.org/officeDocument/2006/relationships" ref="J44" r:id="rId173"/>
    <hyperlink xmlns:r="http://schemas.openxmlformats.org/officeDocument/2006/relationships" ref="N44" r:id="rId174"/>
    <hyperlink xmlns:r="http://schemas.openxmlformats.org/officeDocument/2006/relationships" ref="O44" r:id="rId175"/>
    <hyperlink xmlns:r="http://schemas.openxmlformats.org/officeDocument/2006/relationships" ref="F45" r:id="rId176"/>
    <hyperlink xmlns:r="http://schemas.openxmlformats.org/officeDocument/2006/relationships" ref="J45" r:id="rId177"/>
    <hyperlink xmlns:r="http://schemas.openxmlformats.org/officeDocument/2006/relationships" ref="N45" r:id="rId178"/>
    <hyperlink xmlns:r="http://schemas.openxmlformats.org/officeDocument/2006/relationships" ref="O45" r:id="rId179"/>
    <hyperlink xmlns:r="http://schemas.openxmlformats.org/officeDocument/2006/relationships" ref="F46" r:id="rId180"/>
    <hyperlink xmlns:r="http://schemas.openxmlformats.org/officeDocument/2006/relationships" ref="G46" r:id="rId181"/>
    <hyperlink xmlns:r="http://schemas.openxmlformats.org/officeDocument/2006/relationships" ref="H46" r:id="rId182"/>
    <hyperlink xmlns:r="http://schemas.openxmlformats.org/officeDocument/2006/relationships" ref="J46" r:id="rId183"/>
    <hyperlink xmlns:r="http://schemas.openxmlformats.org/officeDocument/2006/relationships" ref="L46" r:id="rId184"/>
    <hyperlink xmlns:r="http://schemas.openxmlformats.org/officeDocument/2006/relationships" ref="N46" r:id="rId185"/>
    <hyperlink xmlns:r="http://schemas.openxmlformats.org/officeDocument/2006/relationships" ref="O46" r:id="rId186"/>
    <hyperlink xmlns:r="http://schemas.openxmlformats.org/officeDocument/2006/relationships" ref="F47" r:id="rId187"/>
    <hyperlink xmlns:r="http://schemas.openxmlformats.org/officeDocument/2006/relationships" ref="G47" r:id="rId188"/>
    <hyperlink xmlns:r="http://schemas.openxmlformats.org/officeDocument/2006/relationships" ref="H47" r:id="rId189"/>
    <hyperlink xmlns:r="http://schemas.openxmlformats.org/officeDocument/2006/relationships" ref="J47" r:id="rId190"/>
    <hyperlink xmlns:r="http://schemas.openxmlformats.org/officeDocument/2006/relationships" ref="L47" r:id="rId191"/>
    <hyperlink xmlns:r="http://schemas.openxmlformats.org/officeDocument/2006/relationships" ref="N47" r:id="rId192"/>
    <hyperlink xmlns:r="http://schemas.openxmlformats.org/officeDocument/2006/relationships" ref="O47" r:id="rId193"/>
    <hyperlink xmlns:r="http://schemas.openxmlformats.org/officeDocument/2006/relationships" ref="F48" r:id="rId194"/>
    <hyperlink xmlns:r="http://schemas.openxmlformats.org/officeDocument/2006/relationships" ref="G48" r:id="rId195"/>
    <hyperlink xmlns:r="http://schemas.openxmlformats.org/officeDocument/2006/relationships" ref="H48" r:id="rId196"/>
    <hyperlink xmlns:r="http://schemas.openxmlformats.org/officeDocument/2006/relationships" ref="J48" r:id="rId197"/>
    <hyperlink xmlns:r="http://schemas.openxmlformats.org/officeDocument/2006/relationships" ref="L48" r:id="rId198"/>
    <hyperlink xmlns:r="http://schemas.openxmlformats.org/officeDocument/2006/relationships" ref="N48" r:id="rId199"/>
    <hyperlink xmlns:r="http://schemas.openxmlformats.org/officeDocument/2006/relationships" ref="O48" r:id="rId200"/>
    <hyperlink xmlns:r="http://schemas.openxmlformats.org/officeDocument/2006/relationships" ref="F49" r:id="rId201"/>
    <hyperlink xmlns:r="http://schemas.openxmlformats.org/officeDocument/2006/relationships" ref="J49" r:id="rId202"/>
    <hyperlink xmlns:r="http://schemas.openxmlformats.org/officeDocument/2006/relationships" ref="L49" r:id="rId203"/>
    <hyperlink xmlns:r="http://schemas.openxmlformats.org/officeDocument/2006/relationships" ref="N49" r:id="rId204"/>
    <hyperlink xmlns:r="http://schemas.openxmlformats.org/officeDocument/2006/relationships" ref="O49" r:id="rId205"/>
    <hyperlink xmlns:r="http://schemas.openxmlformats.org/officeDocument/2006/relationships" ref="F50" r:id="rId206"/>
    <hyperlink xmlns:r="http://schemas.openxmlformats.org/officeDocument/2006/relationships" ref="J50" r:id="rId207"/>
    <hyperlink xmlns:r="http://schemas.openxmlformats.org/officeDocument/2006/relationships" ref="N50" r:id="rId208"/>
    <hyperlink xmlns:r="http://schemas.openxmlformats.org/officeDocument/2006/relationships" ref="O50" r:id="rId209"/>
    <hyperlink xmlns:r="http://schemas.openxmlformats.org/officeDocument/2006/relationships" ref="F51" r:id="rId210"/>
    <hyperlink xmlns:r="http://schemas.openxmlformats.org/officeDocument/2006/relationships" ref="G51" r:id="rId211"/>
    <hyperlink xmlns:r="http://schemas.openxmlformats.org/officeDocument/2006/relationships" ref="H51" r:id="rId212"/>
    <hyperlink xmlns:r="http://schemas.openxmlformats.org/officeDocument/2006/relationships" ref="J51" r:id="rId213"/>
    <hyperlink xmlns:r="http://schemas.openxmlformats.org/officeDocument/2006/relationships" ref="N51" r:id="rId214"/>
    <hyperlink xmlns:r="http://schemas.openxmlformats.org/officeDocument/2006/relationships" ref="O51" r:id="rId215"/>
    <hyperlink xmlns:r="http://schemas.openxmlformats.org/officeDocument/2006/relationships" ref="F52" r:id="rId216"/>
    <hyperlink xmlns:r="http://schemas.openxmlformats.org/officeDocument/2006/relationships" ref="J52" r:id="rId217"/>
    <hyperlink xmlns:r="http://schemas.openxmlformats.org/officeDocument/2006/relationships" ref="N52" r:id="rId218"/>
    <hyperlink xmlns:r="http://schemas.openxmlformats.org/officeDocument/2006/relationships" ref="O52" r:id="rId219"/>
    <hyperlink xmlns:r="http://schemas.openxmlformats.org/officeDocument/2006/relationships" ref="F53" r:id="rId220"/>
    <hyperlink xmlns:r="http://schemas.openxmlformats.org/officeDocument/2006/relationships" ref="G53" r:id="rId221"/>
    <hyperlink xmlns:r="http://schemas.openxmlformats.org/officeDocument/2006/relationships" ref="H53" r:id="rId222"/>
    <hyperlink xmlns:r="http://schemas.openxmlformats.org/officeDocument/2006/relationships" ref="J53" r:id="rId223"/>
    <hyperlink xmlns:r="http://schemas.openxmlformats.org/officeDocument/2006/relationships" ref="N53" r:id="rId224"/>
    <hyperlink xmlns:r="http://schemas.openxmlformats.org/officeDocument/2006/relationships" ref="O53" r:id="rId225"/>
    <hyperlink xmlns:r="http://schemas.openxmlformats.org/officeDocument/2006/relationships" ref="F54" r:id="rId226"/>
    <hyperlink xmlns:r="http://schemas.openxmlformats.org/officeDocument/2006/relationships" ref="G54" r:id="rId227"/>
    <hyperlink xmlns:r="http://schemas.openxmlformats.org/officeDocument/2006/relationships" ref="H54" r:id="rId228"/>
    <hyperlink xmlns:r="http://schemas.openxmlformats.org/officeDocument/2006/relationships" ref="J54" r:id="rId229"/>
    <hyperlink xmlns:r="http://schemas.openxmlformats.org/officeDocument/2006/relationships" ref="L54" r:id="rId230"/>
    <hyperlink xmlns:r="http://schemas.openxmlformats.org/officeDocument/2006/relationships" ref="N54" r:id="rId231"/>
    <hyperlink xmlns:r="http://schemas.openxmlformats.org/officeDocument/2006/relationships" ref="O54" r:id="rId232"/>
    <hyperlink xmlns:r="http://schemas.openxmlformats.org/officeDocument/2006/relationships" ref="F57" r:id="rId233"/>
    <hyperlink xmlns:r="http://schemas.openxmlformats.org/officeDocument/2006/relationships" ref="G57" r:id="rId234"/>
    <hyperlink xmlns:r="http://schemas.openxmlformats.org/officeDocument/2006/relationships" ref="H57" r:id="rId235"/>
    <hyperlink xmlns:r="http://schemas.openxmlformats.org/officeDocument/2006/relationships" ref="J57" r:id="rId236"/>
    <hyperlink xmlns:r="http://schemas.openxmlformats.org/officeDocument/2006/relationships" ref="L57" r:id="rId237"/>
    <hyperlink xmlns:r="http://schemas.openxmlformats.org/officeDocument/2006/relationships" ref="N57" r:id="rId238"/>
    <hyperlink xmlns:r="http://schemas.openxmlformats.org/officeDocument/2006/relationships" ref="O57" r:id="rId239"/>
    <hyperlink xmlns:r="http://schemas.openxmlformats.org/officeDocument/2006/relationships" ref="F58" r:id="rId240"/>
    <hyperlink xmlns:r="http://schemas.openxmlformats.org/officeDocument/2006/relationships" ref="G58" r:id="rId241"/>
    <hyperlink xmlns:r="http://schemas.openxmlformats.org/officeDocument/2006/relationships" ref="H58" r:id="rId242"/>
    <hyperlink xmlns:r="http://schemas.openxmlformats.org/officeDocument/2006/relationships" ref="N58" r:id="rId243"/>
    <hyperlink xmlns:r="http://schemas.openxmlformats.org/officeDocument/2006/relationships" ref="O58" r:id="rId244"/>
    <hyperlink xmlns:r="http://schemas.openxmlformats.org/officeDocument/2006/relationships" ref="F59" r:id="rId245"/>
    <hyperlink xmlns:r="http://schemas.openxmlformats.org/officeDocument/2006/relationships" ref="G59" r:id="rId246"/>
    <hyperlink xmlns:r="http://schemas.openxmlformats.org/officeDocument/2006/relationships" ref="H59" r:id="rId247"/>
    <hyperlink xmlns:r="http://schemas.openxmlformats.org/officeDocument/2006/relationships" ref="J59" r:id="rId248"/>
    <hyperlink xmlns:r="http://schemas.openxmlformats.org/officeDocument/2006/relationships" ref="K59" r:id="rId249"/>
    <hyperlink xmlns:r="http://schemas.openxmlformats.org/officeDocument/2006/relationships" ref="L59" r:id="rId250"/>
    <hyperlink xmlns:r="http://schemas.openxmlformats.org/officeDocument/2006/relationships" ref="N59" r:id="rId251"/>
    <hyperlink xmlns:r="http://schemas.openxmlformats.org/officeDocument/2006/relationships" ref="O59" r:id="rId252"/>
    <hyperlink xmlns:r="http://schemas.openxmlformats.org/officeDocument/2006/relationships" ref="F60" r:id="rId253"/>
    <hyperlink xmlns:r="http://schemas.openxmlformats.org/officeDocument/2006/relationships" ref="G60" r:id="rId254"/>
    <hyperlink xmlns:r="http://schemas.openxmlformats.org/officeDocument/2006/relationships" ref="H60" r:id="rId255"/>
    <hyperlink xmlns:r="http://schemas.openxmlformats.org/officeDocument/2006/relationships" ref="J60" r:id="rId256"/>
    <hyperlink xmlns:r="http://schemas.openxmlformats.org/officeDocument/2006/relationships" ref="K60" r:id="rId257"/>
    <hyperlink xmlns:r="http://schemas.openxmlformats.org/officeDocument/2006/relationships" ref="L60" r:id="rId258"/>
    <hyperlink xmlns:r="http://schemas.openxmlformats.org/officeDocument/2006/relationships" ref="N60" r:id="rId259"/>
    <hyperlink xmlns:r="http://schemas.openxmlformats.org/officeDocument/2006/relationships" ref="O60" r:id="rId260"/>
    <hyperlink xmlns:r="http://schemas.openxmlformats.org/officeDocument/2006/relationships" ref="F61" r:id="rId261"/>
    <hyperlink xmlns:r="http://schemas.openxmlformats.org/officeDocument/2006/relationships" ref="G61" r:id="rId262"/>
    <hyperlink xmlns:r="http://schemas.openxmlformats.org/officeDocument/2006/relationships" ref="H61" r:id="rId263"/>
    <hyperlink xmlns:r="http://schemas.openxmlformats.org/officeDocument/2006/relationships" ref="J61" r:id="rId264"/>
    <hyperlink xmlns:r="http://schemas.openxmlformats.org/officeDocument/2006/relationships" ref="N61" r:id="rId265"/>
    <hyperlink xmlns:r="http://schemas.openxmlformats.org/officeDocument/2006/relationships" ref="O61" r:id="rId266"/>
    <hyperlink xmlns:r="http://schemas.openxmlformats.org/officeDocument/2006/relationships" ref="F62" r:id="rId267"/>
    <hyperlink xmlns:r="http://schemas.openxmlformats.org/officeDocument/2006/relationships" ref="G62" r:id="rId268"/>
    <hyperlink xmlns:r="http://schemas.openxmlformats.org/officeDocument/2006/relationships" ref="H62" r:id="rId269"/>
    <hyperlink xmlns:r="http://schemas.openxmlformats.org/officeDocument/2006/relationships" ref="J62" r:id="rId270"/>
    <hyperlink xmlns:r="http://schemas.openxmlformats.org/officeDocument/2006/relationships" ref="N62" r:id="rId271"/>
    <hyperlink xmlns:r="http://schemas.openxmlformats.org/officeDocument/2006/relationships" ref="O62" r:id="rId272"/>
    <hyperlink xmlns:r="http://schemas.openxmlformats.org/officeDocument/2006/relationships" ref="F63" r:id="rId273"/>
    <hyperlink xmlns:r="http://schemas.openxmlformats.org/officeDocument/2006/relationships" ref="J63" r:id="rId274"/>
    <hyperlink xmlns:r="http://schemas.openxmlformats.org/officeDocument/2006/relationships" ref="F64" r:id="rId275"/>
    <hyperlink xmlns:r="http://schemas.openxmlformats.org/officeDocument/2006/relationships" ref="G64" r:id="rId276"/>
    <hyperlink xmlns:r="http://schemas.openxmlformats.org/officeDocument/2006/relationships" ref="H64" r:id="rId277"/>
    <hyperlink xmlns:r="http://schemas.openxmlformats.org/officeDocument/2006/relationships" ref="J64" r:id="rId278"/>
    <hyperlink xmlns:r="http://schemas.openxmlformats.org/officeDocument/2006/relationships" ref="L64" r:id="rId279"/>
    <hyperlink xmlns:r="http://schemas.openxmlformats.org/officeDocument/2006/relationships" ref="N64" r:id="rId280"/>
    <hyperlink xmlns:r="http://schemas.openxmlformats.org/officeDocument/2006/relationships" ref="O64" r:id="rId281"/>
    <hyperlink xmlns:r="http://schemas.openxmlformats.org/officeDocument/2006/relationships" ref="F65" r:id="rId282"/>
    <hyperlink xmlns:r="http://schemas.openxmlformats.org/officeDocument/2006/relationships" ref="N65" r:id="rId283"/>
    <hyperlink xmlns:r="http://schemas.openxmlformats.org/officeDocument/2006/relationships" ref="O65" r:id="rId284"/>
    <hyperlink xmlns:r="http://schemas.openxmlformats.org/officeDocument/2006/relationships" ref="F66" r:id="rId285"/>
    <hyperlink xmlns:r="http://schemas.openxmlformats.org/officeDocument/2006/relationships" ref="G66" r:id="rId286"/>
    <hyperlink xmlns:r="http://schemas.openxmlformats.org/officeDocument/2006/relationships" ref="H66" r:id="rId287"/>
    <hyperlink xmlns:r="http://schemas.openxmlformats.org/officeDocument/2006/relationships" ref="J66" r:id="rId288"/>
    <hyperlink xmlns:r="http://schemas.openxmlformats.org/officeDocument/2006/relationships" ref="L66" r:id="rId289"/>
    <hyperlink xmlns:r="http://schemas.openxmlformats.org/officeDocument/2006/relationships" ref="N66" r:id="rId290"/>
    <hyperlink xmlns:r="http://schemas.openxmlformats.org/officeDocument/2006/relationships" ref="O66" r:id="rId291"/>
    <hyperlink xmlns:r="http://schemas.openxmlformats.org/officeDocument/2006/relationships" ref="F67" r:id="rId292"/>
    <hyperlink xmlns:r="http://schemas.openxmlformats.org/officeDocument/2006/relationships" ref="G67" r:id="rId293"/>
    <hyperlink xmlns:r="http://schemas.openxmlformats.org/officeDocument/2006/relationships" ref="H67" r:id="rId294"/>
    <hyperlink xmlns:r="http://schemas.openxmlformats.org/officeDocument/2006/relationships" ref="J67" r:id="rId295"/>
    <hyperlink xmlns:r="http://schemas.openxmlformats.org/officeDocument/2006/relationships" ref="L67" r:id="rId296"/>
    <hyperlink xmlns:r="http://schemas.openxmlformats.org/officeDocument/2006/relationships" ref="N67" r:id="rId297"/>
    <hyperlink xmlns:r="http://schemas.openxmlformats.org/officeDocument/2006/relationships" ref="O67" r:id="rId298"/>
  </hyperlink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D9480F"/>
    <outlinePr summaryBelow="0"/>
    <pageSetUpPr fitToPage="1"/>
  </sheetPr>
  <dimension ref="A1:P65"/>
  <sheetViews>
    <sheetView showGridLines="0" zoomScale="110" workbookViewId="0">
      <pane xSplit="2" ySplit="6" topLeftCell="C7"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6" customWidth="1" min="3" max="3"/>
    <col width="9" customWidth="1" min="4" max="4"/>
    <col width="30" customWidth="1" min="5" max="5"/>
    <col width="11" customWidth="1" min="6" max="6"/>
    <col width="23" customWidth="1" min="7" max="7"/>
    <col width="10" customWidth="1" min="8" max="8"/>
    <col width="30" customWidth="1" min="9" max="9"/>
    <col width="23" customWidth="1" min="10" max="10"/>
    <col width="11" customWidth="1" min="11" max="11"/>
    <col width="9" customWidth="1" min="12" max="12"/>
    <col width="30" customWidth="1" min="13" max="13"/>
    <col width="23" customWidth="1" min="14" max="14"/>
    <col width="11" customWidth="1" min="15" max="15"/>
    <col hidden="1" width="13" customWidth="1" min="16" max="16"/>
  </cols>
  <sheetData>
    <row r="1" ht="34" customHeight="1">
      <c r="A1" s="49" t="inlineStr">
        <is>
          <t>Mechanics</t>
        </is>
      </c>
    </row>
    <row r="2">
      <c r="A2" s="20" t="inlineStr">
        <is>
          <t>OCR MEI Paper 1  ·  45 topics  ·  pick R, A or G in the yellow Rating column for each one</t>
        </is>
      </c>
    </row>
    <row r="3">
      <c r="A3" s="21">
        <f>"Rated so far: "&amp;(COUNTIF($D$7:$D$65,"R")+COUNTIF($D$7:$D$65,"A")+COUNTIF($D$7:$D$65,"G"))&amp;" of 45     Red "&amp;COUNTIF($D$7:$D$65,"R")&amp;"   ·   Amber "&amp;COUNTIF($D$7:$D$65,"A")&amp;"   ·   Green "&amp;COUNTIF($D$7:$D$65,"G")</f>
        <v/>
      </c>
    </row>
    <row r="4" ht="8" customHeight="1"/>
    <row r="5">
      <c r="A5" s="22" t="inlineStr">
        <is>
          <t>Your check</t>
        </is>
      </c>
      <c r="B5" s="23" t="n"/>
      <c r="C5" s="23" t="n"/>
      <c r="D5" s="23" t="n"/>
      <c r="E5" s="23" t="n"/>
      <c r="F5" s="24" t="inlineStr">
        <is>
          <t>Maths Genie</t>
        </is>
      </c>
      <c r="G5" s="23" t="n"/>
      <c r="H5" s="23" t="n"/>
      <c r="I5" s="24" t="inlineStr">
        <is>
          <t>PMT practice</t>
        </is>
      </c>
      <c r="J5" s="23" t="n"/>
      <c r="K5" s="23" t="n"/>
      <c r="L5" s="23" t="n"/>
      <c r="M5" s="24" t="inlineStr">
        <is>
          <t>OCR MEI past-paper questions</t>
        </is>
      </c>
      <c r="N5" s="23" t="n"/>
      <c r="O5" s="23" t="n"/>
    </row>
    <row r="6" ht="22" customHeight="1">
      <c r="A6" s="50" t="inlineStr">
        <is>
          <t>Ref</t>
        </is>
      </c>
      <c r="B6" s="51" t="inlineStr">
        <is>
          <t>Topic</t>
        </is>
      </c>
      <c r="C6" s="50" t="inlineStr">
        <is>
          <t>Year</t>
        </is>
      </c>
      <c r="D6" s="50" t="inlineStr">
        <is>
          <t>Rating</t>
        </is>
      </c>
      <c r="E6" s="51" t="inlineStr">
        <is>
          <t>Notes</t>
        </is>
      </c>
      <c r="F6" s="50" t="inlineStr">
        <is>
          <t>Video</t>
        </is>
      </c>
      <c r="G6" s="50" t="inlineStr">
        <is>
          <t>Questions</t>
        </is>
      </c>
      <c r="H6" s="50" t="inlineStr">
        <is>
          <t>Answers</t>
        </is>
      </c>
      <c r="I6" s="51" t="inlineStr">
        <is>
          <t>Worksheet</t>
        </is>
      </c>
      <c r="J6" s="50" t="inlineStr">
        <is>
          <t>Questions</t>
        </is>
      </c>
      <c r="K6" s="50" t="inlineStr">
        <is>
          <t>Mark scheme</t>
        </is>
      </c>
      <c r="L6" s="50" t="inlineStr">
        <is>
          <t>Answers</t>
        </is>
      </c>
      <c r="M6" s="51" t="inlineStr">
        <is>
          <t>OCR MEI sheet</t>
        </is>
      </c>
      <c r="N6" s="50" t="inlineStr">
        <is>
          <t>Questions</t>
        </is>
      </c>
      <c r="O6" s="50" t="inlineStr">
        <is>
          <t>Mark scheme</t>
        </is>
      </c>
    </row>
    <row r="7" ht="10" customHeight="1"/>
    <row r="8" ht="26" customHeight="1">
      <c r="A8" s="52" t="n">
        <v>1</v>
      </c>
      <c r="B8" s="53" t="inlineStr">
        <is>
          <t>Models and quantities</t>
        </is>
      </c>
      <c r="C8" s="54" t="n"/>
      <c r="D8" s="54" t="n"/>
      <c r="E8" s="55" t="inlineStr">
        <is>
          <t>5 topics  ·  Year 1: 4  ·  Year 2: 1</t>
        </is>
      </c>
      <c r="F8" s="54" t="n"/>
      <c r="G8" s="54" t="n"/>
      <c r="H8" s="54" t="n"/>
      <c r="I8" s="54" t="n"/>
      <c r="J8" s="54" t="n"/>
      <c r="K8" s="54" t="n"/>
      <c r="L8" s="54" t="n"/>
      <c r="M8" s="54" t="n"/>
      <c r="N8" s="54" t="n"/>
      <c r="O8" s="54" t="n"/>
    </row>
    <row r="9" outlineLevel="1" ht="20" customHeight="1">
      <c r="A9" s="31" t="inlineStr">
        <is>
          <t>Mp31</t>
        </is>
      </c>
      <c r="B9" s="32" t="inlineStr">
        <is>
          <t>Language of simplifying assumptions</t>
        </is>
      </c>
      <c r="C9" s="33" t="n">
        <v>1</v>
      </c>
      <c r="D9" s="34" t="n"/>
      <c r="E9" s="35" t="n"/>
      <c r="F9" s="36" t="inlineStr">
        <is>
          <t>Topic page</t>
        </is>
      </c>
      <c r="G9" s="36" t="inlineStr">
        <is>
          <t>Q 2, 3, 5, 7</t>
        </is>
      </c>
      <c r="H9" s="36" t="inlineStr">
        <is>
          <t>Answers</t>
        </is>
      </c>
      <c r="I9" s="35" t="inlineStr">
        <is>
          <t>Edexcel: Connected particles</t>
        </is>
      </c>
      <c r="J9" s="36" t="inlineStr">
        <is>
          <t>Pages 2, 5–8, 11–13</t>
        </is>
      </c>
      <c r="K9" s="37" t="inlineStr">
        <is>
          <t>in the PDF</t>
        </is>
      </c>
      <c r="L9" s="37" t="inlineStr">
        <is>
          <t>in the PDF</t>
        </is>
      </c>
      <c r="M9" s="35" t="inlineStr">
        <is>
          <t>Calculus in Kinematics</t>
        </is>
      </c>
      <c r="N9" s="36" t="inlineStr">
        <is>
          <t>Pages 3, 4</t>
        </is>
      </c>
      <c r="O9" s="36" t="inlineStr">
        <is>
          <t>Marks</t>
        </is>
      </c>
      <c r="P9" t="inlineStr">
        <is>
          <t>M1</t>
        </is>
      </c>
    </row>
    <row r="10" outlineLevel="1" ht="32" customHeight="1">
      <c r="A10" s="31" t="inlineStr">
        <is>
          <t>Mp32</t>
        </is>
      </c>
      <c r="B10" s="32" t="inlineStr">
        <is>
          <t>The particle model</t>
        </is>
      </c>
      <c r="C10" s="33" t="n">
        <v>1</v>
      </c>
      <c r="D10" s="34" t="n"/>
      <c r="E10" s="35" t="n"/>
      <c r="F10" s="36" t="inlineStr">
        <is>
          <t>Topic page</t>
        </is>
      </c>
      <c r="G10" s="36" t="inlineStr">
        <is>
          <t>Q 1, 2, 6</t>
        </is>
      </c>
      <c r="H10" s="36" t="inlineStr">
        <is>
          <t>Answers</t>
        </is>
      </c>
      <c r="I10" s="35" t="inlineStr">
        <is>
          <t>Edexcel: Moments - Moments about a point 1</t>
        </is>
      </c>
      <c r="J10" s="36" t="inlineStr">
        <is>
          <t>Pages 3, 10</t>
        </is>
      </c>
      <c r="K10" s="37" t="inlineStr">
        <is>
          <t>in the PDF</t>
        </is>
      </c>
      <c r="L10" s="37" t="inlineStr">
        <is>
          <t>in the PDF</t>
        </is>
      </c>
      <c r="M10" s="40" t="inlineStr">
        <is>
          <t>none for this topic</t>
        </is>
      </c>
      <c r="N10" s="37" t="inlineStr">
        <is>
          <t>none on this topic</t>
        </is>
      </c>
      <c r="O10" s="39" t="n"/>
      <c r="P10" t="inlineStr">
        <is>
          <t>M1</t>
        </is>
      </c>
    </row>
    <row r="11" outlineLevel="1" ht="20" customHeight="1">
      <c r="A11" s="31" t="inlineStr">
        <is>
          <t>Mp33</t>
        </is>
      </c>
      <c r="B11" s="32" t="inlineStr">
        <is>
          <t>Fundamental quantities and units</t>
        </is>
      </c>
      <c r="C11" s="33" t="n">
        <v>1</v>
      </c>
      <c r="D11" s="34" t="n"/>
      <c r="E11" s="35" t="n"/>
      <c r="F11" s="36" t="inlineStr">
        <is>
          <t>Topic page</t>
        </is>
      </c>
      <c r="G11" s="37" t="inlineStr">
        <is>
          <t>none on this topic</t>
        </is>
      </c>
      <c r="H11" s="39" t="n"/>
      <c r="I11" s="40" t="inlineStr">
        <is>
          <t>none for this topic</t>
        </is>
      </c>
      <c r="J11" s="37" t="inlineStr">
        <is>
          <t>none on this topic</t>
        </is>
      </c>
      <c r="K11" s="39" t="n"/>
      <c r="L11" s="39" t="n"/>
      <c r="M11" s="40" t="inlineStr">
        <is>
          <t>none for this topic</t>
        </is>
      </c>
      <c r="N11" s="37" t="inlineStr">
        <is>
          <t>none on this topic</t>
        </is>
      </c>
      <c r="O11" s="39" t="n"/>
      <c r="P11" t="inlineStr">
        <is>
          <t>M1</t>
        </is>
      </c>
    </row>
    <row r="12" outlineLevel="1" ht="20" customHeight="1">
      <c r="A12" s="31" t="inlineStr">
        <is>
          <t>Mp34</t>
        </is>
      </c>
      <c r="B12" s="32" t="inlineStr">
        <is>
          <t>Derived quantities and units</t>
        </is>
      </c>
      <c r="C12" s="33" t="n">
        <v>1</v>
      </c>
      <c r="D12" s="34" t="n"/>
      <c r="E12" s="35" t="n"/>
      <c r="F12" s="36" t="inlineStr">
        <is>
          <t>Topic page</t>
        </is>
      </c>
      <c r="G12" s="36" t="inlineStr">
        <is>
          <t>Q 3</t>
        </is>
      </c>
      <c r="H12" s="36" t="inlineStr">
        <is>
          <t>Answers</t>
        </is>
      </c>
      <c r="I12" s="35" t="inlineStr">
        <is>
          <t>Edexcel: by Graphical Methods</t>
        </is>
      </c>
      <c r="J12" s="36" t="inlineStr">
        <is>
          <t>Page 1</t>
        </is>
      </c>
      <c r="K12" s="36" t="inlineStr">
        <is>
          <t>Marks</t>
        </is>
      </c>
      <c r="L12" s="36" t="inlineStr">
        <is>
          <t>Answers</t>
        </is>
      </c>
      <c r="M12" s="40" t="inlineStr">
        <is>
          <t>none for this topic</t>
        </is>
      </c>
      <c r="N12" s="37" t="inlineStr">
        <is>
          <t>none on this topic</t>
        </is>
      </c>
      <c r="O12" s="39" t="n"/>
      <c r="P12" t="inlineStr">
        <is>
          <t>M1</t>
        </is>
      </c>
    </row>
    <row r="13" outlineLevel="1" ht="20" customHeight="1">
      <c r="A13" s="31" t="inlineStr">
        <is>
          <t>Mp35</t>
        </is>
      </c>
      <c r="B13" s="32" t="inlineStr">
        <is>
          <t>Derived quantity: moment</t>
        </is>
      </c>
      <c r="C13" s="56" t="n">
        <v>2</v>
      </c>
      <c r="D13" s="34" t="n"/>
      <c r="E13" s="35" t="n"/>
      <c r="F13" s="36" t="inlineStr">
        <is>
          <t>Topic page</t>
        </is>
      </c>
      <c r="G13" s="37" t="inlineStr">
        <is>
          <t>none on this topic</t>
        </is>
      </c>
      <c r="H13" s="39" t="n"/>
      <c r="I13" s="40" t="inlineStr">
        <is>
          <t>none for this topic</t>
        </is>
      </c>
      <c r="J13" s="37" t="inlineStr">
        <is>
          <t>none on this topic</t>
        </is>
      </c>
      <c r="K13" s="39" t="n"/>
      <c r="L13" s="39" t="n"/>
      <c r="M13" s="35" t="inlineStr">
        <is>
          <t>Rigid Bodies in Equilibrium</t>
        </is>
      </c>
      <c r="N13" s="36" t="inlineStr">
        <is>
          <t>Page 3</t>
        </is>
      </c>
      <c r="O13" s="36" t="inlineStr">
        <is>
          <t>Marks</t>
        </is>
      </c>
      <c r="P13" t="inlineStr">
        <is>
          <t>M1</t>
        </is>
      </c>
    </row>
    <row r="14" ht="10" customHeight="1"/>
    <row r="15" ht="26" customHeight="1">
      <c r="A15" s="52" t="n">
        <v>2</v>
      </c>
      <c r="B15" s="53" t="inlineStr">
        <is>
          <t>Kinematics in 1 dimension</t>
        </is>
      </c>
      <c r="C15" s="54" t="n"/>
      <c r="D15" s="54" t="n"/>
      <c r="E15" s="55" t="inlineStr">
        <is>
          <t>8 topics  ·  Year 1: 8</t>
        </is>
      </c>
      <c r="F15" s="54" t="n"/>
      <c r="G15" s="54" t="n"/>
      <c r="H15" s="54" t="n"/>
      <c r="I15" s="54" t="n"/>
      <c r="J15" s="54" t="n"/>
      <c r="K15" s="54" t="n"/>
      <c r="L15" s="54" t="n"/>
      <c r="M15" s="54" t="n"/>
      <c r="N15" s="54" t="n"/>
      <c r="O15" s="54" t="n"/>
    </row>
    <row r="16" outlineLevel="1" ht="32" customHeight="1">
      <c r="A16" s="31" t="inlineStr">
        <is>
          <t>Mk1</t>
        </is>
      </c>
      <c r="B16" s="32" t="inlineStr">
        <is>
          <t>Language of kinematics</t>
        </is>
      </c>
      <c r="C16" s="33" t="n">
        <v>1</v>
      </c>
      <c r="D16" s="34" t="n"/>
      <c r="E16" s="35" t="n"/>
      <c r="F16" s="36" t="inlineStr">
        <is>
          <t>▶ Watch</t>
        </is>
      </c>
      <c r="G16" s="37" t="inlineStr">
        <is>
          <t>none on this topic</t>
        </is>
      </c>
      <c r="H16" s="39" t="n"/>
      <c r="I16" s="35" t="inlineStr">
        <is>
          <t>Edexcel: Uniform Acceleration Formulae</t>
        </is>
      </c>
      <c r="J16" s="36" t="inlineStr">
        <is>
          <t>Pages 1, 3</t>
        </is>
      </c>
      <c r="K16" s="36" t="inlineStr">
        <is>
          <t>Marks</t>
        </is>
      </c>
      <c r="L16" s="36" t="inlineStr">
        <is>
          <t>Answers</t>
        </is>
      </c>
      <c r="M16" s="35" t="inlineStr">
        <is>
          <t>Motion in 1 Dimension, Kinematics Graphs and Constant Acceleration Formulae</t>
        </is>
      </c>
      <c r="N16" s="36" t="inlineStr">
        <is>
          <t>Page 5</t>
        </is>
      </c>
      <c r="O16" s="36" t="inlineStr">
        <is>
          <t>Marks</t>
        </is>
      </c>
      <c r="P16" t="inlineStr">
        <is>
          <t>M2</t>
        </is>
      </c>
    </row>
    <row r="17" outlineLevel="1" ht="20" customHeight="1">
      <c r="A17" s="31" t="inlineStr">
        <is>
          <t>Mk2</t>
        </is>
      </c>
      <c r="B17" s="32" t="inlineStr">
        <is>
          <t>Position, displacement, distance and distance travelled</t>
        </is>
      </c>
      <c r="C17" s="33" t="n">
        <v>1</v>
      </c>
      <c r="D17" s="34" t="n"/>
      <c r="E17" s="35" t="n"/>
      <c r="F17" s="36" t="inlineStr">
        <is>
          <t>Topic page</t>
        </is>
      </c>
      <c r="G17" s="36" t="inlineStr">
        <is>
          <t>Q 1, 4, 7, 9</t>
        </is>
      </c>
      <c r="H17" s="36" t="inlineStr">
        <is>
          <t>Answers</t>
        </is>
      </c>
      <c r="I17" s="35" t="inlineStr">
        <is>
          <t>Edexcel: Problems in Calculus</t>
        </is>
      </c>
      <c r="J17" s="36" t="inlineStr">
        <is>
          <t>Pages 1–3</t>
        </is>
      </c>
      <c r="K17" s="36" t="inlineStr">
        <is>
          <t>Marks</t>
        </is>
      </c>
      <c r="L17" s="36" t="inlineStr">
        <is>
          <t>Answers</t>
        </is>
      </c>
      <c r="M17" s="35" t="inlineStr">
        <is>
          <t>Calculus in Kinematics</t>
        </is>
      </c>
      <c r="N17" s="36" t="inlineStr">
        <is>
          <t>Pages 1, 4</t>
        </is>
      </c>
      <c r="O17" s="36" t="inlineStr">
        <is>
          <t>Marks</t>
        </is>
      </c>
      <c r="P17" t="inlineStr">
        <is>
          <t>M2</t>
        </is>
      </c>
    </row>
    <row r="18" outlineLevel="1" ht="20" customHeight="1">
      <c r="A18" s="31" t="inlineStr">
        <is>
          <t>Mk3</t>
        </is>
      </c>
      <c r="B18" s="32" t="inlineStr">
        <is>
          <t>Velocity, speed and acceleration distinctions</t>
        </is>
      </c>
      <c r="C18" s="33" t="n">
        <v>1</v>
      </c>
      <c r="D18" s="34" t="n"/>
      <c r="E18" s="35" t="n"/>
      <c r="F18" s="36" t="inlineStr">
        <is>
          <t>Topic page</t>
        </is>
      </c>
      <c r="G18" s="36" t="inlineStr">
        <is>
          <t>Q 6, 7</t>
        </is>
      </c>
      <c r="H18" s="36" t="inlineStr">
        <is>
          <t>Answers</t>
        </is>
      </c>
      <c r="I18" s="35" t="inlineStr">
        <is>
          <t>Edexcel: Problems in Calculus</t>
        </is>
      </c>
      <c r="J18" s="36" t="inlineStr">
        <is>
          <t>Page 3</t>
        </is>
      </c>
      <c r="K18" s="36" t="inlineStr">
        <is>
          <t>Marks</t>
        </is>
      </c>
      <c r="L18" s="36" t="inlineStr">
        <is>
          <t>Answers</t>
        </is>
      </c>
      <c r="M18" s="35" t="inlineStr">
        <is>
          <t>Calculus in Kinematics</t>
        </is>
      </c>
      <c r="N18" s="36" t="inlineStr">
        <is>
          <t>Pages 1, 4</t>
        </is>
      </c>
      <c r="O18" s="36" t="inlineStr">
        <is>
          <t>Marks</t>
        </is>
      </c>
      <c r="P18" t="inlineStr">
        <is>
          <t>M2</t>
        </is>
      </c>
    </row>
    <row r="19" outlineLevel="1" ht="32" customHeight="1">
      <c r="A19" s="31" t="inlineStr">
        <is>
          <t>Mk4</t>
        </is>
      </c>
      <c r="B19" s="32" t="inlineStr">
        <is>
          <t>Draw and interpret kinematics graphs</t>
        </is>
      </c>
      <c r="C19" s="33" t="n">
        <v>1</v>
      </c>
      <c r="D19" s="34" t="n"/>
      <c r="E19" s="35" t="n"/>
      <c r="F19" s="36" t="inlineStr">
        <is>
          <t>▶ Watch</t>
        </is>
      </c>
      <c r="G19" s="36" t="inlineStr">
        <is>
          <t>Q 1–4</t>
        </is>
      </c>
      <c r="H19" s="36" t="inlineStr">
        <is>
          <t>Answers</t>
        </is>
      </c>
      <c r="I19" s="35" t="inlineStr">
        <is>
          <t>Edexcel: by graphical methods</t>
        </is>
      </c>
      <c r="J19" s="36" t="inlineStr">
        <is>
          <t>Pages 1–5, 7</t>
        </is>
      </c>
      <c r="K19" s="37" t="inlineStr">
        <is>
          <t>in the PDF</t>
        </is>
      </c>
      <c r="L19" s="37" t="inlineStr">
        <is>
          <t>in the PDF</t>
        </is>
      </c>
      <c r="M19" s="35" t="inlineStr">
        <is>
          <t>Motion in 1 Dimension, Kinematics Graphs and Constant Acceleration Formulae</t>
        </is>
      </c>
      <c r="N19" s="36" t="inlineStr">
        <is>
          <t>Pages 1–5</t>
        </is>
      </c>
      <c r="O19" s="36" t="inlineStr">
        <is>
          <t>Marks</t>
        </is>
      </c>
      <c r="P19" t="inlineStr">
        <is>
          <t>M2</t>
        </is>
      </c>
    </row>
    <row r="20" outlineLevel="1" ht="20" customHeight="1">
      <c r="A20" s="31" t="inlineStr">
        <is>
          <t>Mk5</t>
        </is>
      </c>
      <c r="B20" s="32" t="inlineStr">
        <is>
          <t>Differentiate position and velocity</t>
        </is>
      </c>
      <c r="C20" s="33" t="n">
        <v>1</v>
      </c>
      <c r="D20" s="34" t="n"/>
      <c r="E20" s="35" t="n"/>
      <c r="F20" s="36" t="inlineStr">
        <is>
          <t>▶ Watch</t>
        </is>
      </c>
      <c r="G20" s="36" t="inlineStr">
        <is>
          <t>Q 4, 5, 8, 9, 11</t>
        </is>
      </c>
      <c r="H20" s="36" t="inlineStr">
        <is>
          <t>Answers</t>
        </is>
      </c>
      <c r="I20" s="35" t="inlineStr">
        <is>
          <t>Edexcel: Problems in Calculus</t>
        </is>
      </c>
      <c r="J20" s="36" t="inlineStr">
        <is>
          <t>Pages 1–3</t>
        </is>
      </c>
      <c r="K20" s="36" t="inlineStr">
        <is>
          <t>Marks</t>
        </is>
      </c>
      <c r="L20" s="36" t="inlineStr">
        <is>
          <t>Answers</t>
        </is>
      </c>
      <c r="M20" s="35" t="inlineStr">
        <is>
          <t>Calculus in Kinematics</t>
        </is>
      </c>
      <c r="N20" s="36" t="inlineStr">
        <is>
          <t>Pages 1, 4</t>
        </is>
      </c>
      <c r="O20" s="36" t="inlineStr">
        <is>
          <t>Marks</t>
        </is>
      </c>
      <c r="P20" t="inlineStr">
        <is>
          <t>M2</t>
        </is>
      </c>
    </row>
    <row r="21" outlineLevel="1" ht="32" customHeight="1">
      <c r="A21" s="31" t="inlineStr">
        <is>
          <t>Mk6</t>
        </is>
      </c>
      <c r="B21" s="32" t="inlineStr">
        <is>
          <t>Integrate acceleration and velocity</t>
        </is>
      </c>
      <c r="C21" s="33" t="n">
        <v>1</v>
      </c>
      <c r="D21" s="34" t="n"/>
      <c r="E21" s="35" t="n"/>
      <c r="F21" s="36" t="inlineStr">
        <is>
          <t>▶ Watch</t>
        </is>
      </c>
      <c r="G21" s="36" t="inlineStr">
        <is>
          <t>Q 1–4, 6, 7, 10, 12</t>
        </is>
      </c>
      <c r="H21" s="36" t="inlineStr">
        <is>
          <t>Answers</t>
        </is>
      </c>
      <c r="I21" s="35" t="inlineStr">
        <is>
          <t>Edexcel: Problems with calculus</t>
        </is>
      </c>
      <c r="J21" s="36" t="inlineStr">
        <is>
          <t>Pages 1–5</t>
        </is>
      </c>
      <c r="K21" s="37" t="inlineStr">
        <is>
          <t>in the PDF</t>
        </is>
      </c>
      <c r="L21" s="37" t="inlineStr">
        <is>
          <t>in the PDF</t>
        </is>
      </c>
      <c r="M21" s="35" t="inlineStr">
        <is>
          <t>Calculus in Kinematics</t>
        </is>
      </c>
      <c r="N21" s="36" t="inlineStr">
        <is>
          <t>Pages 2–4</t>
        </is>
      </c>
      <c r="O21" s="36" t="inlineStr">
        <is>
          <t>Marks</t>
        </is>
      </c>
      <c r="P21" t="inlineStr">
        <is>
          <t>M2</t>
        </is>
      </c>
    </row>
    <row r="22" outlineLevel="1" ht="32" customHeight="1">
      <c r="A22" s="31" t="inlineStr">
        <is>
          <t>Mk7</t>
        </is>
      </c>
      <c r="B22" s="32" t="inlineStr">
        <is>
          <t>When constant acceleration formulae apply</t>
        </is>
      </c>
      <c r="C22" s="33" t="n">
        <v>1</v>
      </c>
      <c r="D22" s="34" t="n"/>
      <c r="E22" s="35" t="n"/>
      <c r="F22" s="36" t="inlineStr">
        <is>
          <t>Topic page</t>
        </is>
      </c>
      <c r="G22" s="36" t="inlineStr">
        <is>
          <t>Q 4, 8</t>
        </is>
      </c>
      <c r="H22" s="36" t="inlineStr">
        <is>
          <t>Answers</t>
        </is>
      </c>
      <c r="I22" s="35" t="inlineStr">
        <is>
          <t>Edexcel: by Graphical Methods</t>
        </is>
      </c>
      <c r="J22" s="36" t="inlineStr">
        <is>
          <t>Page 1</t>
        </is>
      </c>
      <c r="K22" s="37" t="inlineStr">
        <is>
          <t>none</t>
        </is>
      </c>
      <c r="L22" s="36" t="inlineStr">
        <is>
          <t>Answers</t>
        </is>
      </c>
      <c r="M22" s="35" t="inlineStr">
        <is>
          <t>Motion in 1 Dimension, Kinematics Graphs and Constant Acceleration Formulae</t>
        </is>
      </c>
      <c r="N22" s="36" t="inlineStr">
        <is>
          <t>Page 6</t>
        </is>
      </c>
      <c r="O22" s="36" t="inlineStr">
        <is>
          <t>Marks</t>
        </is>
      </c>
      <c r="P22" t="inlineStr">
        <is>
          <t>M2</t>
        </is>
      </c>
    </row>
    <row r="23" outlineLevel="1" ht="32" customHeight="1">
      <c r="A23" s="31" t="inlineStr">
        <is>
          <t>Mk8</t>
        </is>
      </c>
      <c r="B23" s="32" t="inlineStr">
        <is>
          <t>Solve 1-D kinematics problems</t>
        </is>
      </c>
      <c r="C23" s="33" t="n">
        <v>1</v>
      </c>
      <c r="D23" s="34" t="n"/>
      <c r="E23" s="35" t="n"/>
      <c r="F23" s="36" t="inlineStr">
        <is>
          <t>▶ Watch</t>
        </is>
      </c>
      <c r="G23" s="36" t="inlineStr">
        <is>
          <t>Q 2, 5–10, 15</t>
        </is>
      </c>
      <c r="H23" s="36" t="inlineStr">
        <is>
          <t>Answers</t>
        </is>
      </c>
      <c r="I23" s="35" t="inlineStr">
        <is>
          <t>Edexcel: Uniform acceleration formulae</t>
        </is>
      </c>
      <c r="J23" s="36" t="inlineStr">
        <is>
          <t>Pages 1, 4–7, 9</t>
        </is>
      </c>
      <c r="K23" s="37" t="inlineStr">
        <is>
          <t>in the PDF</t>
        </is>
      </c>
      <c r="L23" s="37" t="inlineStr">
        <is>
          <t>in the PDF</t>
        </is>
      </c>
      <c r="M23" s="35" t="inlineStr">
        <is>
          <t>Motion in 1 Dimension, Kinematics Graphs and Constant Acceleration Formulae</t>
        </is>
      </c>
      <c r="N23" s="36" t="inlineStr">
        <is>
          <t>Pages 1–5</t>
        </is>
      </c>
      <c r="O23" s="36" t="inlineStr">
        <is>
          <t>Marks</t>
        </is>
      </c>
      <c r="P23" t="inlineStr">
        <is>
          <t>M2</t>
        </is>
      </c>
    </row>
    <row r="24" ht="10" customHeight="1"/>
    <row r="25" ht="26" customHeight="1">
      <c r="A25" s="52" t="n">
        <v>3</v>
      </c>
      <c r="B25" s="53" t="inlineStr">
        <is>
          <t>Kinematics in 2 dimensions</t>
        </is>
      </c>
      <c r="C25" s="54" t="n"/>
      <c r="D25" s="54" t="n"/>
      <c r="E25" s="55" t="inlineStr">
        <is>
          <t>4 topics  ·  Year 2: 4</t>
        </is>
      </c>
      <c r="F25" s="54" t="n"/>
      <c r="G25" s="54" t="n"/>
      <c r="H25" s="54" t="n"/>
      <c r="I25" s="54" t="n"/>
      <c r="J25" s="54" t="n"/>
      <c r="K25" s="54" t="n"/>
      <c r="L25" s="54" t="n"/>
      <c r="M25" s="54" t="n"/>
      <c r="N25" s="54" t="n"/>
      <c r="O25" s="54" t="n"/>
    </row>
    <row r="26" outlineLevel="1" ht="32" customHeight="1">
      <c r="A26" s="31" t="inlineStr">
        <is>
          <t>Mk9</t>
        </is>
      </c>
      <c r="B26" s="32" t="inlineStr">
        <is>
          <t>Language of kinematics in 2 dimensions</t>
        </is>
      </c>
      <c r="C26" s="56" t="n">
        <v>2</v>
      </c>
      <c r="D26" s="34" t="n"/>
      <c r="E26" s="35" t="n"/>
      <c r="F26" s="36" t="inlineStr">
        <is>
          <t>Topic page</t>
        </is>
      </c>
      <c r="G26" s="36" t="inlineStr">
        <is>
          <t>Q 2–4, 12, 16, 21</t>
        </is>
      </c>
      <c r="H26" s="36" t="inlineStr">
        <is>
          <t>Answers</t>
        </is>
      </c>
      <c r="I26" s="35" t="inlineStr">
        <is>
          <t>Edexcel: Problems with vectors 1</t>
        </is>
      </c>
      <c r="J26" s="36" t="inlineStr">
        <is>
          <t>Pages 1, 4, 5, 7, 9</t>
        </is>
      </c>
      <c r="K26" s="37" t="inlineStr">
        <is>
          <t>in the PDF</t>
        </is>
      </c>
      <c r="L26" s="37" t="inlineStr">
        <is>
          <t>in the PDF</t>
        </is>
      </c>
      <c r="M26" s="35" t="inlineStr">
        <is>
          <t>Motion in 2 Dimensions</t>
        </is>
      </c>
      <c r="N26" s="36" t="inlineStr">
        <is>
          <t>Pages 1–3</t>
        </is>
      </c>
      <c r="O26" s="36" t="inlineStr">
        <is>
          <t>Marks</t>
        </is>
      </c>
      <c r="P26" t="inlineStr">
        <is>
          <t>M3</t>
        </is>
      </c>
    </row>
    <row r="27" outlineLevel="1" ht="32" customHeight="1">
      <c r="A27" s="31" t="inlineStr">
        <is>
          <t>Mk10</t>
        </is>
      </c>
      <c r="B27" s="32" t="inlineStr">
        <is>
          <t>Extending 1-D kinematics to 2-D using vectors</t>
        </is>
      </c>
      <c r="C27" s="56" t="n">
        <v>2</v>
      </c>
      <c r="D27" s="34" t="n"/>
      <c r="E27" s="35" t="n"/>
      <c r="F27" s="36" t="inlineStr">
        <is>
          <t>▶ Watch</t>
        </is>
      </c>
      <c r="G27" s="36" t="inlineStr">
        <is>
          <t>Q 1, 10, 13, 14, 16–19</t>
        </is>
      </c>
      <c r="H27" s="36" t="inlineStr">
        <is>
          <t>Answers</t>
        </is>
      </c>
      <c r="I27" s="35" t="inlineStr">
        <is>
          <t>Edexcel: Problems in Calculus</t>
        </is>
      </c>
      <c r="J27" s="36" t="inlineStr">
        <is>
          <t>Pages 5–10</t>
        </is>
      </c>
      <c r="K27" s="37" t="inlineStr">
        <is>
          <t>none</t>
        </is>
      </c>
      <c r="L27" s="36" t="inlineStr">
        <is>
          <t>Answers</t>
        </is>
      </c>
      <c r="M27" s="35" t="inlineStr">
        <is>
          <t>Motion in 2 Dimensions</t>
        </is>
      </c>
      <c r="N27" s="36" t="inlineStr">
        <is>
          <t>Pages 1–4</t>
        </is>
      </c>
      <c r="O27" s="36" t="inlineStr">
        <is>
          <t>Marks</t>
        </is>
      </c>
      <c r="P27" t="inlineStr">
        <is>
          <t>M3</t>
        </is>
      </c>
    </row>
    <row r="28" outlineLevel="1" ht="20" customHeight="1">
      <c r="A28" s="31" t="inlineStr">
        <is>
          <t>Mk11</t>
        </is>
      </c>
      <c r="B28" s="32" t="inlineStr">
        <is>
          <t>Cartesian equation of a path</t>
        </is>
      </c>
      <c r="C28" s="56" t="n">
        <v>2</v>
      </c>
      <c r="D28" s="34" t="n"/>
      <c r="E28" s="35" t="n"/>
      <c r="F28" s="36" t="inlineStr">
        <is>
          <t>Topic page</t>
        </is>
      </c>
      <c r="G28" s="36" t="inlineStr">
        <is>
          <t>Q 6</t>
        </is>
      </c>
      <c r="H28" s="36" t="inlineStr">
        <is>
          <t>Answers</t>
        </is>
      </c>
      <c r="I28" s="35" t="inlineStr">
        <is>
          <t>Edexcel: Projectiles 2</t>
        </is>
      </c>
      <c r="J28" s="36" t="inlineStr">
        <is>
          <t>Pages 2, 3</t>
        </is>
      </c>
      <c r="K28" s="37" t="inlineStr">
        <is>
          <t>in the PDF</t>
        </is>
      </c>
      <c r="L28" s="37" t="inlineStr">
        <is>
          <t>in the PDF</t>
        </is>
      </c>
      <c r="M28" s="35" t="inlineStr">
        <is>
          <t>Motion in 2 Dimensions</t>
        </is>
      </c>
      <c r="N28" s="36" t="inlineStr">
        <is>
          <t>Pages 2–4</t>
        </is>
      </c>
      <c r="O28" s="36" t="inlineStr">
        <is>
          <t>Marks</t>
        </is>
      </c>
      <c r="P28" t="inlineStr">
        <is>
          <t>M3</t>
        </is>
      </c>
    </row>
    <row r="29" outlineLevel="1" ht="32" customHeight="1">
      <c r="A29" s="31" t="inlineStr">
        <is>
          <t>Mk12</t>
        </is>
      </c>
      <c r="B29" s="32" t="inlineStr">
        <is>
          <t>Vectors to solve kinematics problems</t>
        </is>
      </c>
      <c r="C29" s="56" t="n">
        <v>2</v>
      </c>
      <c r="D29" s="34" t="n"/>
      <c r="E29" s="35" t="n"/>
      <c r="F29" s="36" t="inlineStr">
        <is>
          <t>▶ Watch</t>
        </is>
      </c>
      <c r="G29" s="36" t="inlineStr">
        <is>
          <t>Q 5, 7–9, 12, 14, 18, 20</t>
        </is>
      </c>
      <c r="H29" s="36" t="inlineStr">
        <is>
          <t>Answers</t>
        </is>
      </c>
      <c r="I29" s="35" t="inlineStr">
        <is>
          <t>Edexcel: Problems with vectors 1</t>
        </is>
      </c>
      <c r="J29" s="36" t="inlineStr">
        <is>
          <t>Pages 1, 3, 4, 6–10</t>
        </is>
      </c>
      <c r="K29" s="37" t="inlineStr">
        <is>
          <t>in the PDF</t>
        </is>
      </c>
      <c r="L29" s="37" t="inlineStr">
        <is>
          <t>in the PDF</t>
        </is>
      </c>
      <c r="M29" s="35" t="inlineStr">
        <is>
          <t>Motion in 2 Dimensions</t>
        </is>
      </c>
      <c r="N29" s="36" t="inlineStr">
        <is>
          <t>Pages 1–4</t>
        </is>
      </c>
      <c r="O29" s="36" t="inlineStr">
        <is>
          <t>Marks</t>
        </is>
      </c>
      <c r="P29" t="inlineStr">
        <is>
          <t>M3</t>
        </is>
      </c>
    </row>
    <row r="30" ht="10" customHeight="1"/>
    <row r="31" ht="26" customHeight="1">
      <c r="A31" s="52" t="n">
        <v>4</v>
      </c>
      <c r="B31" s="53" t="inlineStr">
        <is>
          <t>Projectiles</t>
        </is>
      </c>
      <c r="C31" s="54" t="n"/>
      <c r="D31" s="54" t="n"/>
      <c r="E31" s="55" t="inlineStr">
        <is>
          <t>5 topics  ·  Year 2: 5</t>
        </is>
      </c>
      <c r="F31" s="54" t="n"/>
      <c r="G31" s="54" t="n"/>
      <c r="H31" s="54" t="n"/>
      <c r="I31" s="54" t="n"/>
      <c r="J31" s="54" t="n"/>
      <c r="K31" s="54" t="n"/>
      <c r="L31" s="54" t="n"/>
      <c r="M31" s="54" t="n"/>
      <c r="N31" s="54" t="n"/>
      <c r="O31" s="54" t="n"/>
    </row>
    <row r="32" outlineLevel="1" ht="32" customHeight="1">
      <c r="A32" s="31" t="inlineStr">
        <is>
          <t>My1</t>
        </is>
      </c>
      <c r="B32" s="32" t="inlineStr">
        <is>
          <t>Model motion under gravity using vectors</t>
        </is>
      </c>
      <c r="C32" s="56" t="n">
        <v>2</v>
      </c>
      <c r="D32" s="34" t="n"/>
      <c r="E32" s="35" t="n"/>
      <c r="F32" s="36" t="inlineStr">
        <is>
          <t>▶ Watch</t>
        </is>
      </c>
      <c r="G32" s="36" t="inlineStr">
        <is>
          <t>Q 2, 5, 7–9</t>
        </is>
      </c>
      <c r="H32" s="36" t="inlineStr">
        <is>
          <t>Answers</t>
        </is>
      </c>
      <c r="I32" s="35" t="inlineStr">
        <is>
          <t>Edexcel: Projectiles 2</t>
        </is>
      </c>
      <c r="J32" s="36" t="inlineStr">
        <is>
          <t>Pages 2, 4, 8, 11</t>
        </is>
      </c>
      <c r="K32" s="37" t="inlineStr">
        <is>
          <t>in the PDF</t>
        </is>
      </c>
      <c r="L32" s="37" t="inlineStr">
        <is>
          <t>in the PDF</t>
        </is>
      </c>
      <c r="M32" s="35" t="inlineStr">
        <is>
          <t>Motion Under Gravity in Two Dimensions</t>
        </is>
      </c>
      <c r="N32" s="36" t="inlineStr">
        <is>
          <t>Pages 3, 4, 8</t>
        </is>
      </c>
      <c r="O32" s="36" t="inlineStr">
        <is>
          <t>Marks</t>
        </is>
      </c>
      <c r="P32" t="inlineStr">
        <is>
          <t>M4</t>
        </is>
      </c>
    </row>
    <row r="33" outlineLevel="1" ht="32" customHeight="1">
      <c r="A33" s="31" t="inlineStr">
        <is>
          <t>My2</t>
        </is>
      </c>
      <c r="B33" s="32" t="inlineStr">
        <is>
          <t>Position, velocity, range and maximum height</t>
        </is>
      </c>
      <c r="C33" s="56" t="n">
        <v>2</v>
      </c>
      <c r="D33" s="34" t="n"/>
      <c r="E33" s="35" t="n"/>
      <c r="F33" s="36" t="inlineStr">
        <is>
          <t>▶ Watch</t>
        </is>
      </c>
      <c r="G33" s="36" t="inlineStr">
        <is>
          <t>Q 1–7, 9</t>
        </is>
      </c>
      <c r="H33" s="36" t="inlineStr">
        <is>
          <t>Answers</t>
        </is>
      </c>
      <c r="I33" s="35" t="inlineStr">
        <is>
          <t>Edexcel: Projectiles 2</t>
        </is>
      </c>
      <c r="J33" s="36" t="inlineStr">
        <is>
          <t>Pages 1, 4–6, 9, 11–13</t>
        </is>
      </c>
      <c r="K33" s="37" t="inlineStr">
        <is>
          <t>in the PDF</t>
        </is>
      </c>
      <c r="L33" s="37" t="inlineStr">
        <is>
          <t>in the PDF</t>
        </is>
      </c>
      <c r="M33" s="35" t="inlineStr">
        <is>
          <t>Motion Under Gravity in Two Dimensions</t>
        </is>
      </c>
      <c r="N33" s="36" t="inlineStr">
        <is>
          <t>Pages 1–3, 5, 7, 8</t>
        </is>
      </c>
      <c r="O33" s="36" t="inlineStr">
        <is>
          <t>Marks</t>
        </is>
      </c>
      <c r="P33" t="inlineStr">
        <is>
          <t>M4</t>
        </is>
      </c>
    </row>
    <row r="34" outlineLevel="1" ht="32" customHeight="1">
      <c r="A34" s="31" t="inlineStr">
        <is>
          <t>My3</t>
        </is>
      </c>
      <c r="B34" s="32" t="inlineStr">
        <is>
          <t>Find the initial velocity of a projectile</t>
        </is>
      </c>
      <c r="C34" s="56" t="n">
        <v>2</v>
      </c>
      <c r="D34" s="34" t="n"/>
      <c r="E34" s="35" t="n"/>
      <c r="F34" s="36" t="inlineStr">
        <is>
          <t>Topic page</t>
        </is>
      </c>
      <c r="G34" s="36" t="inlineStr">
        <is>
          <t>Q 3–5, 7–9</t>
        </is>
      </c>
      <c r="H34" s="36" t="inlineStr">
        <is>
          <t>Answers</t>
        </is>
      </c>
      <c r="I34" s="35" t="inlineStr">
        <is>
          <t>Edexcel: Projectiles 2</t>
        </is>
      </c>
      <c r="J34" s="36" t="inlineStr">
        <is>
          <t>Pages 1, 4, 8, 9, 11, 12</t>
        </is>
      </c>
      <c r="K34" s="37" t="inlineStr">
        <is>
          <t>in the PDF</t>
        </is>
      </c>
      <c r="L34" s="37" t="inlineStr">
        <is>
          <t>in the PDF</t>
        </is>
      </c>
      <c r="M34" s="35" t="inlineStr">
        <is>
          <t>Motion Under Gravity in Two Dimensions</t>
        </is>
      </c>
      <c r="N34" s="36" t="inlineStr">
        <is>
          <t>Pages 5, 6, 8</t>
        </is>
      </c>
      <c r="O34" s="36" t="inlineStr">
        <is>
          <t>Marks</t>
        </is>
      </c>
      <c r="P34" t="inlineStr">
        <is>
          <t>M4</t>
        </is>
      </c>
    </row>
    <row r="35" outlineLevel="1" ht="32" customHeight="1">
      <c r="A35" s="31" t="inlineStr">
        <is>
          <t>My4</t>
        </is>
      </c>
      <c r="B35" s="32" t="inlineStr">
        <is>
          <t>Equation of the trajectory</t>
        </is>
      </c>
      <c r="C35" s="56" t="n">
        <v>2</v>
      </c>
      <c r="D35" s="34" t="n"/>
      <c r="E35" s="35" t="n"/>
      <c r="F35" s="36" t="inlineStr">
        <is>
          <t>Topic page</t>
        </is>
      </c>
      <c r="G35" s="36" t="inlineStr">
        <is>
          <t>Q 6</t>
        </is>
      </c>
      <c r="H35" s="36" t="inlineStr">
        <is>
          <t>Answers</t>
        </is>
      </c>
      <c r="I35" s="35" t="inlineStr">
        <is>
          <t>Edexcel: Projectiles 2</t>
        </is>
      </c>
      <c r="J35" s="36" t="inlineStr">
        <is>
          <t>Pages 2, 3</t>
        </is>
      </c>
      <c r="K35" s="37" t="inlineStr">
        <is>
          <t>in the PDF</t>
        </is>
      </c>
      <c r="L35" s="37" t="inlineStr">
        <is>
          <t>in the PDF</t>
        </is>
      </c>
      <c r="M35" s="35" t="inlineStr">
        <is>
          <t>Motion Under Gravity in Two Dimensions</t>
        </is>
      </c>
      <c r="N35" s="36" t="inlineStr">
        <is>
          <t>Pages 3, 7</t>
        </is>
      </c>
      <c r="O35" s="36" t="inlineStr">
        <is>
          <t>Marks</t>
        </is>
      </c>
      <c r="P35" t="inlineStr">
        <is>
          <t>M4</t>
        </is>
      </c>
    </row>
    <row r="36" outlineLevel="1" ht="32" customHeight="1">
      <c r="A36" s="31" t="inlineStr">
        <is>
          <t>My5</t>
        </is>
      </c>
      <c r="B36" s="32" t="inlineStr">
        <is>
          <t>Solve simple projectile problems</t>
        </is>
      </c>
      <c r="C36" s="56" t="n">
        <v>2</v>
      </c>
      <c r="D36" s="34" t="n"/>
      <c r="E36" s="35" t="n"/>
      <c r="F36" s="36" t="inlineStr">
        <is>
          <t>▶ Watch</t>
        </is>
      </c>
      <c r="G36" s="36" t="inlineStr">
        <is>
          <t>Q 2–9</t>
        </is>
      </c>
      <c r="H36" s="36" t="inlineStr">
        <is>
          <t>Answers</t>
        </is>
      </c>
      <c r="I36" s="35" t="inlineStr">
        <is>
          <t>Edexcel: Projectiles 2</t>
        </is>
      </c>
      <c r="J36" s="36" t="inlineStr">
        <is>
          <t>Pages 1, 3, 5, 8, 9, 12, 13</t>
        </is>
      </c>
      <c r="K36" s="37" t="inlineStr">
        <is>
          <t>in the PDF</t>
        </is>
      </c>
      <c r="L36" s="37" t="inlineStr">
        <is>
          <t>in the PDF</t>
        </is>
      </c>
      <c r="M36" s="35" t="inlineStr">
        <is>
          <t>Motion Under Gravity in Two Dimensions</t>
        </is>
      </c>
      <c r="N36" s="36" t="inlineStr">
        <is>
          <t>Pages 1–5, 7</t>
        </is>
      </c>
      <c r="O36" s="36" t="inlineStr">
        <is>
          <t>Marks</t>
        </is>
      </c>
      <c r="P36" t="inlineStr">
        <is>
          <t>M4</t>
        </is>
      </c>
    </row>
    <row r="37" ht="10" customHeight="1"/>
    <row r="38" ht="26" customHeight="1">
      <c r="A38" s="52" t="n">
        <v>5</v>
      </c>
      <c r="B38" s="53" t="inlineStr">
        <is>
          <t>Forces</t>
        </is>
      </c>
      <c r="C38" s="54" t="n"/>
      <c r="D38" s="54" t="n"/>
      <c r="E38" s="55" t="inlineStr">
        <is>
          <t>12 topics  ·  Year 1: 5  ·  Year 2: 7</t>
        </is>
      </c>
      <c r="F38" s="54" t="n"/>
      <c r="G38" s="54" t="n"/>
      <c r="H38" s="54" t="n"/>
      <c r="I38" s="54" t="n"/>
      <c r="J38" s="54" t="n"/>
      <c r="K38" s="54" t="n"/>
      <c r="L38" s="54" t="n"/>
      <c r="M38" s="54" t="n"/>
      <c r="N38" s="54" t="n"/>
      <c r="O38" s="54" t="n"/>
    </row>
    <row r="39" outlineLevel="1" ht="20" customHeight="1">
      <c r="A39" s="31" t="inlineStr">
        <is>
          <t>MF1</t>
        </is>
      </c>
      <c r="B39" s="32" t="inlineStr">
        <is>
          <t>Language relating to forces</t>
        </is>
      </c>
      <c r="C39" s="33" t="n">
        <v>1</v>
      </c>
      <c r="D39" s="34" t="n"/>
      <c r="E39" s="35" t="n"/>
      <c r="F39" s="36" t="inlineStr">
        <is>
          <t>Topic page</t>
        </is>
      </c>
      <c r="G39" s="36" t="inlineStr">
        <is>
          <t>Q 8</t>
        </is>
      </c>
      <c r="H39" s="36" t="inlineStr">
        <is>
          <t>Answers</t>
        </is>
      </c>
      <c r="I39" s="35" t="inlineStr">
        <is>
          <t>Edexcel: F = ma on a slope</t>
        </is>
      </c>
      <c r="J39" s="36" t="inlineStr">
        <is>
          <t>Page 3</t>
        </is>
      </c>
      <c r="K39" s="37" t="inlineStr">
        <is>
          <t>none</t>
        </is>
      </c>
      <c r="L39" s="36" t="inlineStr">
        <is>
          <t>Answers</t>
        </is>
      </c>
      <c r="M39" s="35" t="inlineStr">
        <is>
          <t>Forces</t>
        </is>
      </c>
      <c r="N39" s="36" t="inlineStr">
        <is>
          <t>Page 1</t>
        </is>
      </c>
      <c r="O39" s="36" t="inlineStr">
        <is>
          <t>Marks</t>
        </is>
      </c>
      <c r="P39" t="inlineStr">
        <is>
          <t>M5</t>
        </is>
      </c>
    </row>
    <row r="40" outlineLevel="1" ht="32" customHeight="1">
      <c r="A40" s="31" t="inlineStr">
        <is>
          <t>MF2</t>
        </is>
      </c>
      <c r="B40" s="32" t="inlineStr">
        <is>
          <t>Acceleration due to gravity</t>
        </is>
      </c>
      <c r="C40" s="33" t="n">
        <v>1</v>
      </c>
      <c r="D40" s="34" t="n"/>
      <c r="E40" s="35" t="n"/>
      <c r="F40" s="36" t="inlineStr">
        <is>
          <t>Topic page</t>
        </is>
      </c>
      <c r="G40" s="37" t="inlineStr">
        <is>
          <t>none on this topic</t>
        </is>
      </c>
      <c r="H40" s="39" t="n"/>
      <c r="I40" s="40" t="inlineStr">
        <is>
          <t>none for this topic</t>
        </is>
      </c>
      <c r="J40" s="37" t="inlineStr">
        <is>
          <t>none on this topic</t>
        </is>
      </c>
      <c r="K40" s="39" t="n"/>
      <c r="L40" s="39" t="n"/>
      <c r="M40" s="35" t="inlineStr">
        <is>
          <t>Motion Under Gravity in Two Dimensions</t>
        </is>
      </c>
      <c r="N40" s="36" t="inlineStr">
        <is>
          <t>Page 6</t>
        </is>
      </c>
      <c r="O40" s="36" t="inlineStr">
        <is>
          <t>Marks</t>
        </is>
      </c>
      <c r="P40" t="inlineStr">
        <is>
          <t>M5</t>
        </is>
      </c>
    </row>
    <row r="41" outlineLevel="1" ht="32" customHeight="1">
      <c r="A41" s="31" t="inlineStr">
        <is>
          <t>MF3</t>
        </is>
      </c>
      <c r="B41" s="32" t="inlineStr">
        <is>
          <t>Identify forces and draw force diagrams</t>
        </is>
      </c>
      <c r="C41" s="33" t="n">
        <v>1</v>
      </c>
      <c r="D41" s="34" t="n"/>
      <c r="E41" s="35" t="n"/>
      <c r="F41" s="36" t="inlineStr">
        <is>
          <t>▶ Watch</t>
        </is>
      </c>
      <c r="G41" s="37" t="inlineStr">
        <is>
          <t>none on this topic</t>
        </is>
      </c>
      <c r="H41" s="39" t="n"/>
      <c r="I41" s="35" t="inlineStr">
        <is>
          <t>Edexcel: Statics - Equilibrium problems</t>
        </is>
      </c>
      <c r="J41" s="36" t="inlineStr">
        <is>
          <t>Page 2</t>
        </is>
      </c>
      <c r="K41" s="37" t="inlineStr">
        <is>
          <t>in the PDF</t>
        </is>
      </c>
      <c r="L41" s="37" t="inlineStr">
        <is>
          <t>in the PDF</t>
        </is>
      </c>
      <c r="M41" s="35" t="inlineStr">
        <is>
          <t>Forces</t>
        </is>
      </c>
      <c r="N41" s="36" t="inlineStr">
        <is>
          <t>Page 1</t>
        </is>
      </c>
      <c r="O41" s="36" t="inlineStr">
        <is>
          <t>Marks</t>
        </is>
      </c>
      <c r="P41" t="inlineStr">
        <is>
          <t>M5</t>
        </is>
      </c>
    </row>
    <row r="42" outlineLevel="1" ht="20" customHeight="1">
      <c r="A42" s="31" t="inlineStr">
        <is>
          <t>MF4</t>
        </is>
      </c>
      <c r="B42" s="32" t="inlineStr">
        <is>
          <t>Resultant of concurrent forces</t>
        </is>
      </c>
      <c r="C42" s="33" t="n">
        <v>1</v>
      </c>
      <c r="D42" s="34" t="n"/>
      <c r="E42" s="35" t="n"/>
      <c r="F42" s="36" t="inlineStr">
        <is>
          <t>▶ Watch</t>
        </is>
      </c>
      <c r="G42" s="36" t="inlineStr">
        <is>
          <t>Q 9, 12</t>
        </is>
      </c>
      <c r="H42" s="36" t="inlineStr">
        <is>
          <t>Answers</t>
        </is>
      </c>
      <c r="I42" s="35" t="inlineStr">
        <is>
          <t>Edexcel: Statics</t>
        </is>
      </c>
      <c r="J42" s="36" t="inlineStr">
        <is>
          <t>Page 3</t>
        </is>
      </c>
      <c r="K42" s="37" t="inlineStr">
        <is>
          <t>in the PDF</t>
        </is>
      </c>
      <c r="L42" s="37" t="inlineStr">
        <is>
          <t>in the PDF</t>
        </is>
      </c>
      <c r="M42" s="35" t="inlineStr">
        <is>
          <t>Vectors (Yr. 1)</t>
        </is>
      </c>
      <c r="N42" s="36" t="inlineStr">
        <is>
          <t>Page 1</t>
        </is>
      </c>
      <c r="O42" s="36" t="inlineStr">
        <is>
          <t>Marks</t>
        </is>
      </c>
      <c r="P42" t="inlineStr">
        <is>
          <t>M5</t>
        </is>
      </c>
    </row>
    <row r="43" outlineLevel="1" ht="20" customHeight="1">
      <c r="A43" s="31" t="inlineStr">
        <is>
          <t>MF5</t>
        </is>
      </c>
      <c r="B43" s="32" t="inlineStr">
        <is>
          <t>Equilibrium of a particle</t>
        </is>
      </c>
      <c r="C43" s="33" t="n">
        <v>1</v>
      </c>
      <c r="D43" s="34" t="n"/>
      <c r="E43" s="35" t="n"/>
      <c r="F43" s="36" t="inlineStr">
        <is>
          <t>Topic page</t>
        </is>
      </c>
      <c r="G43" s="36" t="inlineStr">
        <is>
          <t>Q 6</t>
        </is>
      </c>
      <c r="H43" s="36" t="inlineStr">
        <is>
          <t>Answers</t>
        </is>
      </c>
      <c r="I43" s="40" t="inlineStr">
        <is>
          <t>none for this topic</t>
        </is>
      </c>
      <c r="J43" s="37" t="inlineStr">
        <is>
          <t>none on this topic</t>
        </is>
      </c>
      <c r="K43" s="39" t="n"/>
      <c r="L43" s="39" t="n"/>
      <c r="M43" s="35" t="inlineStr">
        <is>
          <t>Forces</t>
        </is>
      </c>
      <c r="N43" s="36" t="inlineStr">
        <is>
          <t>Pages 1, 2</t>
        </is>
      </c>
      <c r="O43" s="36" t="inlineStr">
        <is>
          <t>Marks</t>
        </is>
      </c>
      <c r="P43" t="inlineStr">
        <is>
          <t>M5</t>
        </is>
      </c>
    </row>
    <row r="44" outlineLevel="1" ht="20" customHeight="1">
      <c r="A44" s="31" t="inlineStr">
        <is>
          <t>MF6</t>
        </is>
      </c>
      <c r="B44" s="32" t="inlineStr">
        <is>
          <t>Resolve a force into components</t>
        </is>
      </c>
      <c r="C44" s="56" t="n">
        <v>2</v>
      </c>
      <c r="D44" s="34" t="n"/>
      <c r="E44" s="35" t="n"/>
      <c r="F44" s="36" t="inlineStr">
        <is>
          <t>▶ Watch</t>
        </is>
      </c>
      <c r="G44" s="36" t="inlineStr">
        <is>
          <t>Q 1, 2, 8</t>
        </is>
      </c>
      <c r="H44" s="36" t="inlineStr">
        <is>
          <t>Answers</t>
        </is>
      </c>
      <c r="I44" s="35" t="inlineStr">
        <is>
          <t>Edexcel: Statics</t>
        </is>
      </c>
      <c r="J44" s="36" t="inlineStr">
        <is>
          <t>Pages 1, 2, 4, 5</t>
        </is>
      </c>
      <c r="K44" s="37" t="inlineStr">
        <is>
          <t>in the PDF</t>
        </is>
      </c>
      <c r="L44" s="37" t="inlineStr">
        <is>
          <t>in the PDF</t>
        </is>
      </c>
      <c r="M44" s="35" t="inlineStr">
        <is>
          <t>Vector Treatment of Forces</t>
        </is>
      </c>
      <c r="N44" s="36" t="inlineStr">
        <is>
          <t>Pages 1–3</t>
        </is>
      </c>
      <c r="O44" s="36" t="inlineStr">
        <is>
          <t>Marks</t>
        </is>
      </c>
      <c r="P44" t="inlineStr">
        <is>
          <t>M5</t>
        </is>
      </c>
    </row>
    <row r="45" outlineLevel="1" ht="32" customHeight="1">
      <c r="A45" s="31" t="inlineStr">
        <is>
          <t>MF7</t>
        </is>
      </c>
      <c r="B45" s="32" t="inlineStr">
        <is>
          <t>Equilibrium condition for resultant zero</t>
        </is>
      </c>
      <c r="C45" s="56" t="n">
        <v>2</v>
      </c>
      <c r="D45" s="34" t="n"/>
      <c r="E45" s="35" t="n"/>
      <c r="F45" s="36" t="inlineStr">
        <is>
          <t>Topic page</t>
        </is>
      </c>
      <c r="G45" s="36" t="inlineStr">
        <is>
          <t>Q 1, 2</t>
        </is>
      </c>
      <c r="H45" s="36" t="inlineStr">
        <is>
          <t>Answers</t>
        </is>
      </c>
      <c r="I45" s="35" t="inlineStr">
        <is>
          <t>Edexcel: Statics - Equilibrium problems</t>
        </is>
      </c>
      <c r="J45" s="36" t="inlineStr">
        <is>
          <t>Pages 4, 5, 7, 9, 12, 13</t>
        </is>
      </c>
      <c r="K45" s="37" t="inlineStr">
        <is>
          <t>in the PDF</t>
        </is>
      </c>
      <c r="L45" s="37" t="inlineStr">
        <is>
          <t>in the PDF</t>
        </is>
      </c>
      <c r="M45" s="35" t="inlineStr">
        <is>
          <t>Vector Treatment of Forces</t>
        </is>
      </c>
      <c r="N45" s="36" t="inlineStr">
        <is>
          <t>Pages 1–3</t>
        </is>
      </c>
      <c r="O45" s="36" t="inlineStr">
        <is>
          <t>Marks</t>
        </is>
      </c>
      <c r="P45" t="inlineStr">
        <is>
          <t>M5</t>
        </is>
      </c>
    </row>
    <row r="46" outlineLevel="1" ht="32" customHeight="1">
      <c r="A46" s="31" t="inlineStr">
        <is>
          <t>MF8</t>
        </is>
      </c>
      <c r="B46" s="32" t="inlineStr">
        <is>
          <t>Forces in equilibrium sum to zero</t>
        </is>
      </c>
      <c r="C46" s="56" t="n">
        <v>2</v>
      </c>
      <c r="D46" s="34" t="n"/>
      <c r="E46" s="35" t="n"/>
      <c r="F46" s="36" t="inlineStr">
        <is>
          <t>Topic page</t>
        </is>
      </c>
      <c r="G46" s="36" t="inlineStr">
        <is>
          <t>Q 6</t>
        </is>
      </c>
      <c r="H46" s="36" t="inlineStr">
        <is>
          <t>Answers</t>
        </is>
      </c>
      <c r="I46" s="35" t="inlineStr">
        <is>
          <t>Edexcel: Statics - Equilibrium problems</t>
        </is>
      </c>
      <c r="J46" s="36" t="inlineStr">
        <is>
          <t>Pages 5, 9, 12, 13</t>
        </is>
      </c>
      <c r="K46" s="37" t="inlineStr">
        <is>
          <t>in the PDF</t>
        </is>
      </c>
      <c r="L46" s="37" t="inlineStr">
        <is>
          <t>in the PDF</t>
        </is>
      </c>
      <c r="M46" s="35" t="inlineStr">
        <is>
          <t>Forces</t>
        </is>
      </c>
      <c r="N46" s="36" t="inlineStr">
        <is>
          <t>Page 1</t>
        </is>
      </c>
      <c r="O46" s="36" t="inlineStr">
        <is>
          <t>Marks</t>
        </is>
      </c>
      <c r="P46" t="inlineStr">
        <is>
          <t>M5</t>
        </is>
      </c>
    </row>
    <row r="47" outlineLevel="1" ht="32" customHeight="1">
      <c r="A47" s="31" t="inlineStr">
        <is>
          <t>MF9</t>
        </is>
      </c>
      <c r="B47" s="32" t="inlineStr">
        <is>
          <t>Equations for a particle in equilibrium</t>
        </is>
      </c>
      <c r="C47" s="56" t="n">
        <v>2</v>
      </c>
      <c r="D47" s="34" t="n"/>
      <c r="E47" s="35" t="n"/>
      <c r="F47" s="36" t="inlineStr">
        <is>
          <t>▶ Watch</t>
        </is>
      </c>
      <c r="G47" s="36" t="inlineStr">
        <is>
          <t>Q 1, 2</t>
        </is>
      </c>
      <c r="H47" s="36" t="inlineStr">
        <is>
          <t>Answers</t>
        </is>
      </c>
      <c r="I47" s="35" t="inlineStr">
        <is>
          <t>Edexcel: Statics - Equilibrium problems</t>
        </is>
      </c>
      <c r="J47" s="36" t="inlineStr">
        <is>
          <t>Pages 4, 5, 7, 9, 12, 13</t>
        </is>
      </c>
      <c r="K47" s="37" t="inlineStr">
        <is>
          <t>in the PDF</t>
        </is>
      </c>
      <c r="L47" s="37" t="inlineStr">
        <is>
          <t>in the PDF</t>
        </is>
      </c>
      <c r="M47" s="35" t="inlineStr">
        <is>
          <t>Vector Treatment of Forces</t>
        </is>
      </c>
      <c r="N47" s="36" t="inlineStr">
        <is>
          <t>Pages 1, 3</t>
        </is>
      </c>
      <c r="O47" s="36" t="inlineStr">
        <is>
          <t>Marks</t>
        </is>
      </c>
      <c r="P47" t="inlineStr">
        <is>
          <t>M5</t>
        </is>
      </c>
    </row>
    <row r="48" outlineLevel="1" ht="32" customHeight="1">
      <c r="A48" s="31" t="inlineStr">
        <is>
          <t>MF10</t>
        </is>
      </c>
      <c r="B48" s="32" t="inlineStr">
        <is>
          <t>Frictional force and normal contact force</t>
        </is>
      </c>
      <c r="C48" s="56" t="n">
        <v>2</v>
      </c>
      <c r="D48" s="34" t="n"/>
      <c r="E48" s="35" t="n"/>
      <c r="F48" s="36" t="inlineStr">
        <is>
          <t>Topic page</t>
        </is>
      </c>
      <c r="G48" s="36" t="inlineStr">
        <is>
          <t>Q 8</t>
        </is>
      </c>
      <c r="H48" s="36" t="inlineStr">
        <is>
          <t>Answers</t>
        </is>
      </c>
      <c r="I48" s="35" t="inlineStr">
        <is>
          <t>Edexcel: Statics - Equilibrium problems</t>
        </is>
      </c>
      <c r="J48" s="36" t="inlineStr">
        <is>
          <t>Pages 2, 4, 7</t>
        </is>
      </c>
      <c r="K48" s="37" t="inlineStr">
        <is>
          <t>in the PDF</t>
        </is>
      </c>
      <c r="L48" s="37" t="inlineStr">
        <is>
          <t>in the PDF</t>
        </is>
      </c>
      <c r="M48" s="35" t="inlineStr">
        <is>
          <t>Frictional Force and Normal Contact Force</t>
        </is>
      </c>
      <c r="N48" s="36" t="inlineStr">
        <is>
          <t>Page 1</t>
        </is>
      </c>
      <c r="O48" s="36" t="inlineStr">
        <is>
          <t>Marks</t>
        </is>
      </c>
      <c r="P48" t="inlineStr">
        <is>
          <t>M5</t>
        </is>
      </c>
    </row>
    <row r="49" outlineLevel="1" ht="32" customHeight="1">
      <c r="A49" s="31" t="inlineStr">
        <is>
          <t>MF11</t>
        </is>
      </c>
      <c r="B49" s="32" t="inlineStr">
        <is>
          <t>Modelling friction with F ≤ μR</t>
        </is>
      </c>
      <c r="C49" s="56" t="n">
        <v>2</v>
      </c>
      <c r="D49" s="34" t="n"/>
      <c r="E49" s="35" t="n"/>
      <c r="F49" s="36" t="inlineStr">
        <is>
          <t>Topic page</t>
        </is>
      </c>
      <c r="G49" s="36" t="inlineStr">
        <is>
          <t>Q 3, 4, 6, 7, 10</t>
        </is>
      </c>
      <c r="H49" s="36" t="inlineStr">
        <is>
          <t>Answers</t>
        </is>
      </c>
      <c r="I49" s="35" t="inlineStr">
        <is>
          <t>Edexcel: Statics - Equilibrium problems</t>
        </is>
      </c>
      <c r="J49" s="36" t="inlineStr">
        <is>
          <t>Pages 2, 4–7, 10, 11, 13</t>
        </is>
      </c>
      <c r="K49" s="37" t="inlineStr">
        <is>
          <t>in the PDF</t>
        </is>
      </c>
      <c r="L49" s="37" t="inlineStr">
        <is>
          <t>in the PDF</t>
        </is>
      </c>
      <c r="M49" s="35" t="inlineStr">
        <is>
          <t>Frictional Force and Normal Contact Force</t>
        </is>
      </c>
      <c r="N49" s="36" t="inlineStr">
        <is>
          <t>Pages 2, 3</t>
        </is>
      </c>
      <c r="O49" s="36" t="inlineStr">
        <is>
          <t>Marks</t>
        </is>
      </c>
      <c r="P49" t="inlineStr">
        <is>
          <t>M5</t>
        </is>
      </c>
    </row>
    <row r="50" outlineLevel="1" ht="32" customHeight="1">
      <c r="A50" s="31" t="inlineStr">
        <is>
          <t>MF12</t>
        </is>
      </c>
      <c r="B50" s="32" t="inlineStr">
        <is>
          <t>Apply Newton's Laws to friction problems</t>
        </is>
      </c>
      <c r="C50" s="56" t="n">
        <v>2</v>
      </c>
      <c r="D50" s="34" t="n"/>
      <c r="E50" s="35" t="n"/>
      <c r="F50" s="36" t="inlineStr">
        <is>
          <t>▶ Watch</t>
        </is>
      </c>
      <c r="G50" s="36" t="inlineStr">
        <is>
          <t>Q 5, 8–10</t>
        </is>
      </c>
      <c r="H50" s="36" t="inlineStr">
        <is>
          <t>Answers</t>
        </is>
      </c>
      <c r="I50" s="35" t="inlineStr">
        <is>
          <t>Edexcel: F = ma on a slope</t>
        </is>
      </c>
      <c r="J50" s="36" t="inlineStr">
        <is>
          <t>Pages 1–5</t>
        </is>
      </c>
      <c r="K50" s="37" t="inlineStr">
        <is>
          <t>in the PDF</t>
        </is>
      </c>
      <c r="L50" s="37" t="inlineStr">
        <is>
          <t>in the PDF</t>
        </is>
      </c>
      <c r="M50" s="35" t="inlineStr">
        <is>
          <t>Frictional Force and Normal Contact Force</t>
        </is>
      </c>
      <c r="N50" s="36" t="inlineStr">
        <is>
          <t>Pages 1, 3</t>
        </is>
      </c>
      <c r="O50" s="36" t="inlineStr">
        <is>
          <t>Marks</t>
        </is>
      </c>
      <c r="P50" t="inlineStr">
        <is>
          <t>M5</t>
        </is>
      </c>
    </row>
    <row r="51" ht="10" customHeight="1"/>
    <row r="52" ht="26" customHeight="1">
      <c r="A52" s="52" t="n">
        <v>6</v>
      </c>
      <c r="B52" s="53" t="inlineStr">
        <is>
          <t>Newton's laws of motion</t>
        </is>
      </c>
      <c r="C52" s="54" t="n"/>
      <c r="D52" s="54" t="n"/>
      <c r="E52" s="55" t="inlineStr">
        <is>
          <t>7 topics  ·  Year 1: 6  ·  Year 2: 1</t>
        </is>
      </c>
      <c r="F52" s="54" t="n"/>
      <c r="G52" s="54" t="n"/>
      <c r="H52" s="54" t="n"/>
      <c r="I52" s="54" t="n"/>
      <c r="J52" s="54" t="n"/>
      <c r="K52" s="54" t="n"/>
      <c r="L52" s="54" t="n"/>
      <c r="M52" s="54" t="n"/>
      <c r="N52" s="54" t="n"/>
      <c r="O52" s="54" t="n"/>
    </row>
    <row r="53" outlineLevel="1" ht="32" customHeight="1">
      <c r="A53" s="31" t="inlineStr">
        <is>
          <t>Mn1</t>
        </is>
      </c>
      <c r="B53" s="32" t="inlineStr">
        <is>
          <t>Meaning of Newton's three laws</t>
        </is>
      </c>
      <c r="C53" s="33" t="n">
        <v>1</v>
      </c>
      <c r="D53" s="34" t="n"/>
      <c r="E53" s="35" t="n"/>
      <c r="F53" s="36" t="inlineStr">
        <is>
          <t>Topic page</t>
        </is>
      </c>
      <c r="G53" s="36" t="inlineStr">
        <is>
          <t>Q 3–5</t>
        </is>
      </c>
      <c r="H53" s="36" t="inlineStr">
        <is>
          <t>Answers</t>
        </is>
      </c>
      <c r="I53" s="35" t="inlineStr">
        <is>
          <t>Edexcel: Forces and Newton's Laws of Motion</t>
        </is>
      </c>
      <c r="J53" s="36" t="inlineStr">
        <is>
          <t>Pages 1, 2, 5</t>
        </is>
      </c>
      <c r="K53" s="36" t="inlineStr">
        <is>
          <t>Marks</t>
        </is>
      </c>
      <c r="L53" s="36" t="inlineStr">
        <is>
          <t>Answers</t>
        </is>
      </c>
      <c r="M53" s="35" t="inlineStr">
        <is>
          <t>Newton's Laws of Motion (Yr. 1)</t>
        </is>
      </c>
      <c r="N53" s="36" t="inlineStr">
        <is>
          <t>Pages 2, 3</t>
        </is>
      </c>
      <c r="O53" s="36" t="inlineStr">
        <is>
          <t>Marks</t>
        </is>
      </c>
      <c r="P53" t="inlineStr">
        <is>
          <t>M6</t>
        </is>
      </c>
    </row>
    <row r="54" outlineLevel="1" ht="32" customHeight="1">
      <c r="A54" s="31" t="inlineStr">
        <is>
          <t>Mn2</t>
        </is>
      </c>
      <c r="B54" s="32" t="inlineStr">
        <is>
          <t>Meaning of the term 'equation of motion'</t>
        </is>
      </c>
      <c r="C54" s="33" t="n">
        <v>1</v>
      </c>
      <c r="D54" s="34" t="n"/>
      <c r="E54" s="35" t="n"/>
      <c r="F54" s="36" t="inlineStr">
        <is>
          <t>Topic page</t>
        </is>
      </c>
      <c r="G54" s="37" t="inlineStr">
        <is>
          <t>none on this topic</t>
        </is>
      </c>
      <c r="H54" s="39" t="n"/>
      <c r="I54" s="35" t="inlineStr">
        <is>
          <t>Edexcel: Connected particles</t>
        </is>
      </c>
      <c r="J54" s="36" t="inlineStr">
        <is>
          <t>Pages 5, 7, 13</t>
        </is>
      </c>
      <c r="K54" s="37" t="inlineStr">
        <is>
          <t>in the PDF</t>
        </is>
      </c>
      <c r="L54" s="37" t="inlineStr">
        <is>
          <t>in the PDF</t>
        </is>
      </c>
      <c r="M54" s="35" t="inlineStr">
        <is>
          <t>Newton's Laws of Motion (Yr. 2)</t>
        </is>
      </c>
      <c r="N54" s="36" t="inlineStr">
        <is>
          <t>Pages 4, 5</t>
        </is>
      </c>
      <c r="O54" s="36" t="inlineStr">
        <is>
          <t>Marks</t>
        </is>
      </c>
      <c r="P54" t="inlineStr">
        <is>
          <t>M6</t>
        </is>
      </c>
    </row>
    <row r="55" outlineLevel="1" ht="32" customHeight="1">
      <c r="A55" s="31" t="inlineStr">
        <is>
          <t>Mn3</t>
        </is>
      </c>
      <c r="B55" s="32" t="inlineStr">
        <is>
          <t>Equation of motion for a particle in a straight line</t>
        </is>
      </c>
      <c r="C55" s="33" t="n">
        <v>1</v>
      </c>
      <c r="D55" s="34" t="n"/>
      <c r="E55" s="35" t="n"/>
      <c r="F55" s="36" t="inlineStr">
        <is>
          <t>▶ Watch</t>
        </is>
      </c>
      <c r="G55" s="36" t="inlineStr">
        <is>
          <t>Q 3–5, 7</t>
        </is>
      </c>
      <c r="H55" s="36" t="inlineStr">
        <is>
          <t>Answers</t>
        </is>
      </c>
      <c r="I55" s="35" t="inlineStr">
        <is>
          <t>Edexcel: F = ma horizontally</t>
        </is>
      </c>
      <c r="J55" s="36" t="inlineStr">
        <is>
          <t>Pages 1–4</t>
        </is>
      </c>
      <c r="K55" s="37" t="inlineStr">
        <is>
          <t>in the PDF</t>
        </is>
      </c>
      <c r="L55" s="37" t="inlineStr">
        <is>
          <t>in the PDF</t>
        </is>
      </c>
      <c r="M55" s="35" t="inlineStr">
        <is>
          <t>Newton's Laws of Motion (Yr. 1)</t>
        </is>
      </c>
      <c r="N55" s="36" t="inlineStr">
        <is>
          <t>Pages 1, 2</t>
        </is>
      </c>
      <c r="O55" s="36" t="inlineStr">
        <is>
          <t>Marks</t>
        </is>
      </c>
      <c r="P55" t="inlineStr">
        <is>
          <t>M6</t>
        </is>
      </c>
    </row>
    <row r="56" outlineLevel="1" ht="32" customHeight="1">
      <c r="A56" s="31" t="inlineStr">
        <is>
          <t>Mn4</t>
        </is>
      </c>
      <c r="B56" s="32" t="inlineStr">
        <is>
          <t>Model a system of connected particles</t>
        </is>
      </c>
      <c r="C56" s="33" t="n">
        <v>1</v>
      </c>
      <c r="D56" s="34" t="n"/>
      <c r="E56" s="35" t="n"/>
      <c r="F56" s="36" t="inlineStr">
        <is>
          <t>▶ Watch</t>
        </is>
      </c>
      <c r="G56" s="36" t="inlineStr">
        <is>
          <t>Q 1–5, 13–15</t>
        </is>
      </c>
      <c r="H56" s="36" t="inlineStr">
        <is>
          <t>Answers</t>
        </is>
      </c>
      <c r="I56" s="35" t="inlineStr">
        <is>
          <t>Edexcel: Connected particles</t>
        </is>
      </c>
      <c r="J56" s="36" t="inlineStr">
        <is>
          <t>Pages 1–3, 6, 8, 11, 15, 16</t>
        </is>
      </c>
      <c r="K56" s="37" t="inlineStr">
        <is>
          <t>in the PDF</t>
        </is>
      </c>
      <c r="L56" s="37" t="inlineStr">
        <is>
          <t>in the PDF</t>
        </is>
      </c>
      <c r="M56" s="35" t="inlineStr">
        <is>
          <t>Newton's Laws of Motion (Yr. 1)</t>
        </is>
      </c>
      <c r="N56" s="36" t="inlineStr">
        <is>
          <t>Pages 1–4</t>
        </is>
      </c>
      <c r="O56" s="36" t="inlineStr">
        <is>
          <t>Marks</t>
        </is>
      </c>
      <c r="P56" t="inlineStr">
        <is>
          <t>M6</t>
        </is>
      </c>
    </row>
    <row r="57" outlineLevel="1" ht="32" customHeight="1">
      <c r="A57" s="31" t="inlineStr">
        <is>
          <t>Mn5</t>
        </is>
      </c>
      <c r="B57" s="32" t="inlineStr">
        <is>
          <t>Equations of motion for individual particles</t>
        </is>
      </c>
      <c r="C57" s="33" t="n">
        <v>1</v>
      </c>
      <c r="D57" s="34" t="n"/>
      <c r="E57" s="35" t="n"/>
      <c r="F57" s="36" t="inlineStr">
        <is>
          <t>▶ Watch</t>
        </is>
      </c>
      <c r="G57" s="36" t="inlineStr">
        <is>
          <t>Q 1–5, 13–15</t>
        </is>
      </c>
      <c r="H57" s="36" t="inlineStr">
        <is>
          <t>Answers</t>
        </is>
      </c>
      <c r="I57" s="35" t="inlineStr">
        <is>
          <t>Edexcel: Connected particles</t>
        </is>
      </c>
      <c r="J57" s="36" t="inlineStr">
        <is>
          <t>Pages 1–3, 6, 8, 11, 15, 16</t>
        </is>
      </c>
      <c r="K57" s="37" t="inlineStr">
        <is>
          <t>in the PDF</t>
        </is>
      </c>
      <c r="L57" s="37" t="inlineStr">
        <is>
          <t>in the PDF</t>
        </is>
      </c>
      <c r="M57" s="35" t="inlineStr">
        <is>
          <t>Newton's Laws of Motion (Yr. 1)</t>
        </is>
      </c>
      <c r="N57" s="36" t="inlineStr">
        <is>
          <t>Pages 1–4</t>
        </is>
      </c>
      <c r="O57" s="36" t="inlineStr">
        <is>
          <t>Marks</t>
        </is>
      </c>
      <c r="P57" t="inlineStr">
        <is>
          <t>M6</t>
        </is>
      </c>
    </row>
    <row r="58" outlineLevel="1" ht="32" customHeight="1">
      <c r="A58" s="31" t="inlineStr">
        <is>
          <t>Mn6</t>
        </is>
      </c>
      <c r="B58" s="32" t="inlineStr">
        <is>
          <t>System with no relative motion as a single particle</t>
        </is>
      </c>
      <c r="C58" s="33" t="n">
        <v>1</v>
      </c>
      <c r="D58" s="34" t="n"/>
      <c r="E58" s="35" t="n"/>
      <c r="F58" s="36" t="inlineStr">
        <is>
          <t>Topic page</t>
        </is>
      </c>
      <c r="G58" s="36" t="inlineStr">
        <is>
          <t>Q 3–5</t>
        </is>
      </c>
      <c r="H58" s="36" t="inlineStr">
        <is>
          <t>Answers</t>
        </is>
      </c>
      <c r="I58" s="35" t="inlineStr">
        <is>
          <t>Edexcel: Connected particles</t>
        </is>
      </c>
      <c r="J58" s="36" t="inlineStr">
        <is>
          <t>Pages 3, 8, 9, 15</t>
        </is>
      </c>
      <c r="K58" s="37" t="inlineStr">
        <is>
          <t>in the PDF</t>
        </is>
      </c>
      <c r="L58" s="37" t="inlineStr">
        <is>
          <t>in the PDF</t>
        </is>
      </c>
      <c r="M58" s="35" t="inlineStr">
        <is>
          <t>Newton's Laws of Motion (Yr. 1)</t>
        </is>
      </c>
      <c r="N58" s="36" t="inlineStr">
        <is>
          <t>Pages 2, 3</t>
        </is>
      </c>
      <c r="O58" s="36" t="inlineStr">
        <is>
          <t>Marks</t>
        </is>
      </c>
      <c r="P58" t="inlineStr">
        <is>
          <t>M6</t>
        </is>
      </c>
    </row>
    <row r="59" outlineLevel="1" ht="32" customHeight="1">
      <c r="A59" s="31" t="inlineStr">
        <is>
          <t>Mn7</t>
        </is>
      </c>
      <c r="B59" s="32" t="inlineStr">
        <is>
          <t>Equation of motion in a straight line or plane</t>
        </is>
      </c>
      <c r="C59" s="56" t="n">
        <v>2</v>
      </c>
      <c r="D59" s="34" t="n"/>
      <c r="E59" s="35" t="n"/>
      <c r="F59" s="36" t="inlineStr">
        <is>
          <t>Topic page</t>
        </is>
      </c>
      <c r="G59" s="36" t="inlineStr">
        <is>
          <t>Q 7</t>
        </is>
      </c>
      <c r="H59" s="36" t="inlineStr">
        <is>
          <t>Answers</t>
        </is>
      </c>
      <c r="I59" s="35" t="inlineStr">
        <is>
          <t>Edexcel: F = ma horizontally</t>
        </is>
      </c>
      <c r="J59" s="36" t="inlineStr">
        <is>
          <t>Pages 2–4</t>
        </is>
      </c>
      <c r="K59" s="37" t="inlineStr">
        <is>
          <t>in the PDF</t>
        </is>
      </c>
      <c r="L59" s="37" t="inlineStr">
        <is>
          <t>in the PDF</t>
        </is>
      </c>
      <c r="M59" s="35" t="inlineStr">
        <is>
          <t>Newton's Laws of Motion (Yr. 2)</t>
        </is>
      </c>
      <c r="N59" s="36" t="inlineStr">
        <is>
          <t>Pages 1, 2, 5–7</t>
        </is>
      </c>
      <c r="O59" s="36" t="inlineStr">
        <is>
          <t>Marks</t>
        </is>
      </c>
      <c r="P59" t="inlineStr">
        <is>
          <t>M6</t>
        </is>
      </c>
    </row>
    <row r="60" ht="10" customHeight="1"/>
    <row r="61" ht="26" customHeight="1">
      <c r="A61" s="52" t="n">
        <v>7</v>
      </c>
      <c r="B61" s="53" t="inlineStr">
        <is>
          <t>Rigid bodies</t>
        </is>
      </c>
      <c r="C61" s="54" t="n"/>
      <c r="D61" s="54" t="n"/>
      <c r="E61" s="55" t="inlineStr">
        <is>
          <t>4 topics  ·  Year 2: 4</t>
        </is>
      </c>
      <c r="F61" s="54" t="n"/>
      <c r="G61" s="54" t="n"/>
      <c r="H61" s="54" t="n"/>
      <c r="I61" s="54" t="n"/>
      <c r="J61" s="54" t="n"/>
      <c r="K61" s="54" t="n"/>
      <c r="L61" s="54" t="n"/>
      <c r="M61" s="54" t="n"/>
      <c r="N61" s="54" t="n"/>
      <c r="O61" s="54" t="n"/>
    </row>
    <row r="62" outlineLevel="1" ht="32" customHeight="1">
      <c r="A62" s="31" t="inlineStr">
        <is>
          <t>MF13</t>
        </is>
      </c>
      <c r="B62" s="32" t="inlineStr">
        <is>
          <t>Moment of a force</t>
        </is>
      </c>
      <c r="C62" s="56" t="n">
        <v>2</v>
      </c>
      <c r="D62" s="34" t="n"/>
      <c r="E62" s="35" t="n"/>
      <c r="F62" s="36" t="inlineStr">
        <is>
          <t>Topic page</t>
        </is>
      </c>
      <c r="G62" s="36" t="inlineStr">
        <is>
          <t>Q 1, 2</t>
        </is>
      </c>
      <c r="H62" s="36" t="inlineStr">
        <is>
          <t>Answers</t>
        </is>
      </c>
      <c r="I62" s="35" t="inlineStr">
        <is>
          <t>Edexcel: Moments - Moments about a point 1</t>
        </is>
      </c>
      <c r="J62" s="36" t="inlineStr">
        <is>
          <t>Pages 3, 5, 8, 9</t>
        </is>
      </c>
      <c r="K62" s="37" t="inlineStr">
        <is>
          <t>in the PDF</t>
        </is>
      </c>
      <c r="L62" s="37" t="inlineStr">
        <is>
          <t>in the PDF</t>
        </is>
      </c>
      <c r="M62" s="35" t="inlineStr">
        <is>
          <t>Rigid Bodies in Equilibrium</t>
        </is>
      </c>
      <c r="N62" s="36" t="inlineStr">
        <is>
          <t>Pages 1, 3</t>
        </is>
      </c>
      <c r="O62" s="36" t="inlineStr">
        <is>
          <t>Marks</t>
        </is>
      </c>
      <c r="P62" t="inlineStr">
        <is>
          <t>M7</t>
        </is>
      </c>
    </row>
    <row r="63" outlineLevel="1" ht="32" customHeight="1">
      <c r="A63" s="31" t="inlineStr">
        <is>
          <t>MF14</t>
        </is>
      </c>
      <c r="B63" s="32" t="inlineStr">
        <is>
          <t>Equilibrium of a rigid body</t>
        </is>
      </c>
      <c r="C63" s="56" t="n">
        <v>2</v>
      </c>
      <c r="D63" s="34" t="n"/>
      <c r="E63" s="35" t="n"/>
      <c r="F63" s="36" t="inlineStr">
        <is>
          <t>▶ Watch</t>
        </is>
      </c>
      <c r="G63" s="36" t="inlineStr">
        <is>
          <t>Q 2–4</t>
        </is>
      </c>
      <c r="H63" s="36" t="inlineStr">
        <is>
          <t>Answers</t>
        </is>
      </c>
      <c r="I63" s="35" t="inlineStr">
        <is>
          <t>Edexcel: Moments - Moments about a point 1</t>
        </is>
      </c>
      <c r="J63" s="36" t="inlineStr">
        <is>
          <t>Pages 1–5, 7, 9</t>
        </is>
      </c>
      <c r="K63" s="37" t="inlineStr">
        <is>
          <t>in the PDF</t>
        </is>
      </c>
      <c r="L63" s="37" t="inlineStr">
        <is>
          <t>in the PDF</t>
        </is>
      </c>
      <c r="M63" s="35" t="inlineStr">
        <is>
          <t>Rigid Bodies in Equilibrium</t>
        </is>
      </c>
      <c r="N63" s="36" t="inlineStr">
        <is>
          <t>Pages 1–3</t>
        </is>
      </c>
      <c r="O63" s="36" t="inlineStr">
        <is>
          <t>Marks</t>
        </is>
      </c>
      <c r="P63" t="inlineStr">
        <is>
          <t>M7</t>
        </is>
      </c>
    </row>
    <row r="64" outlineLevel="1" ht="32" customHeight="1">
      <c r="A64" s="31" t="inlineStr">
        <is>
          <t>MF15</t>
        </is>
      </c>
      <c r="B64" s="32" t="inlineStr">
        <is>
          <t>Turning effect of forces</t>
        </is>
      </c>
      <c r="C64" s="56" t="n">
        <v>2</v>
      </c>
      <c r="D64" s="34" t="n"/>
      <c r="E64" s="35" t="n"/>
      <c r="F64" s="36" t="inlineStr">
        <is>
          <t>▶ Watch</t>
        </is>
      </c>
      <c r="G64" s="36" t="inlineStr">
        <is>
          <t>Q 1, 2</t>
        </is>
      </c>
      <c r="H64" s="36" t="inlineStr">
        <is>
          <t>Answers</t>
        </is>
      </c>
      <c r="I64" s="35" t="inlineStr">
        <is>
          <t>Edexcel: Moments - Moments about a point 1</t>
        </is>
      </c>
      <c r="J64" s="36" t="inlineStr">
        <is>
          <t>Pages 3, 6, 7, 10</t>
        </is>
      </c>
      <c r="K64" s="37" t="inlineStr">
        <is>
          <t>in the PDF</t>
        </is>
      </c>
      <c r="L64" s="37" t="inlineStr">
        <is>
          <t>in the PDF</t>
        </is>
      </c>
      <c r="M64" s="35" t="inlineStr">
        <is>
          <t>Rigid Bodies in Equilibrium</t>
        </is>
      </c>
      <c r="N64" s="36" t="inlineStr">
        <is>
          <t>Pages 1, 3</t>
        </is>
      </c>
      <c r="O64" s="36" t="inlineStr">
        <is>
          <t>Marks</t>
        </is>
      </c>
      <c r="P64" t="inlineStr">
        <is>
          <t>M7</t>
        </is>
      </c>
    </row>
    <row r="65" outlineLevel="1" ht="32" customHeight="1">
      <c r="A65" s="31" t="inlineStr">
        <is>
          <t>MF16</t>
        </is>
      </c>
      <c r="B65" s="32" t="inlineStr">
        <is>
          <t>Weight acting through a point</t>
        </is>
      </c>
      <c r="C65" s="56" t="n">
        <v>2</v>
      </c>
      <c r="D65" s="34" t="n"/>
      <c r="E65" s="35" t="n"/>
      <c r="F65" s="36" t="inlineStr">
        <is>
          <t>▶ Watch</t>
        </is>
      </c>
      <c r="G65" s="36" t="inlineStr">
        <is>
          <t>Q 3, 4</t>
        </is>
      </c>
      <c r="H65" s="36" t="inlineStr">
        <is>
          <t>Answers</t>
        </is>
      </c>
      <c r="I65" s="35" t="inlineStr">
        <is>
          <t>Edexcel: Moments - Moments about a point 1</t>
        </is>
      </c>
      <c r="J65" s="36" t="inlineStr">
        <is>
          <t>Pages 5, 9</t>
        </is>
      </c>
      <c r="K65" s="37" t="inlineStr">
        <is>
          <t>in the PDF</t>
        </is>
      </c>
      <c r="L65" s="37" t="inlineStr">
        <is>
          <t>in the PDF</t>
        </is>
      </c>
      <c r="M65" s="35" t="inlineStr">
        <is>
          <t>Rigid Bodies in Equilibrium</t>
        </is>
      </c>
      <c r="N65" s="36" t="inlineStr">
        <is>
          <t>Page 1</t>
        </is>
      </c>
      <c r="O65" s="36" t="inlineStr">
        <is>
          <t>Marks</t>
        </is>
      </c>
      <c r="P65" t="inlineStr">
        <is>
          <t>M7</t>
        </is>
      </c>
    </row>
  </sheetData>
  <mergeCells count="4">
    <mergeCell ref="M5:O5"/>
    <mergeCell ref="A5:E5"/>
    <mergeCell ref="F5:H5"/>
    <mergeCell ref="I5:L5"/>
  </mergeCells>
  <conditionalFormatting sqref="D7:D65">
    <cfRule type="cellIs" priority="1" operator="equal" dxfId="0">
      <formula>"R"</formula>
    </cfRule>
    <cfRule type="cellIs" priority="3" operator="equal" dxfId="1">
      <formula>"A"</formula>
    </cfRule>
    <cfRule type="cellIs" priority="5" operator="equal" dxfId="2">
      <formula>"G"</formula>
    </cfRule>
  </conditionalFormatting>
  <conditionalFormatting sqref="B7:B65">
    <cfRule type="expression" priority="2" dxfId="3">
      <formula>$D7="R"</formula>
    </cfRule>
    <cfRule type="expression" priority="4" dxfId="4">
      <formula>$D7="A"</formula>
    </cfRule>
    <cfRule type="expression" priority="6" dxfId="5">
      <formula>$D7="G"</formula>
    </cfRule>
  </conditionalFormatting>
  <dataValidations count="1">
    <dataValidation sqref="D7:D65" showDropDown="0" showInputMessage="0" showErrorMessage="1" allowBlank="1" errorTitle="R, A or G" error="Please pick R, A or G from the list." promptTitle="How confident are you?" prompt="R = can't do it yet&#10;A = getting there&#10;G = confident" type="list">
      <formula1>"R,A,G"</formula1>
    </dataValidation>
  </dataValidations>
  <hyperlinks>
    <hyperlink xmlns:r="http://schemas.openxmlformats.org/officeDocument/2006/relationships" ref="F9" r:id="rId1"/>
    <hyperlink xmlns:r="http://schemas.openxmlformats.org/officeDocument/2006/relationships" ref="G9" r:id="rId2"/>
    <hyperlink xmlns:r="http://schemas.openxmlformats.org/officeDocument/2006/relationships" ref="H9" r:id="rId3"/>
    <hyperlink xmlns:r="http://schemas.openxmlformats.org/officeDocument/2006/relationships" ref="J9" r:id="rId4"/>
    <hyperlink xmlns:r="http://schemas.openxmlformats.org/officeDocument/2006/relationships" ref="N9" r:id="rId5"/>
    <hyperlink xmlns:r="http://schemas.openxmlformats.org/officeDocument/2006/relationships" ref="O9" r:id="rId6"/>
    <hyperlink xmlns:r="http://schemas.openxmlformats.org/officeDocument/2006/relationships" ref="F10" r:id="rId7"/>
    <hyperlink xmlns:r="http://schemas.openxmlformats.org/officeDocument/2006/relationships" ref="G10" r:id="rId8"/>
    <hyperlink xmlns:r="http://schemas.openxmlformats.org/officeDocument/2006/relationships" ref="H10" r:id="rId9"/>
    <hyperlink xmlns:r="http://schemas.openxmlformats.org/officeDocument/2006/relationships" ref="J10" r:id="rId10"/>
    <hyperlink xmlns:r="http://schemas.openxmlformats.org/officeDocument/2006/relationships" ref="F11" r:id="rId11"/>
    <hyperlink xmlns:r="http://schemas.openxmlformats.org/officeDocument/2006/relationships" ref="F12" r:id="rId12"/>
    <hyperlink xmlns:r="http://schemas.openxmlformats.org/officeDocument/2006/relationships" ref="G12" r:id="rId13"/>
    <hyperlink xmlns:r="http://schemas.openxmlformats.org/officeDocument/2006/relationships" ref="H12" r:id="rId14"/>
    <hyperlink xmlns:r="http://schemas.openxmlformats.org/officeDocument/2006/relationships" ref="J12" r:id="rId15"/>
    <hyperlink xmlns:r="http://schemas.openxmlformats.org/officeDocument/2006/relationships" ref="K12" r:id="rId16"/>
    <hyperlink xmlns:r="http://schemas.openxmlformats.org/officeDocument/2006/relationships" ref="L12" r:id="rId17"/>
    <hyperlink xmlns:r="http://schemas.openxmlformats.org/officeDocument/2006/relationships" ref="F13" r:id="rId18"/>
    <hyperlink xmlns:r="http://schemas.openxmlformats.org/officeDocument/2006/relationships" ref="N13" r:id="rId19"/>
    <hyperlink xmlns:r="http://schemas.openxmlformats.org/officeDocument/2006/relationships" ref="O13" r:id="rId20"/>
    <hyperlink xmlns:r="http://schemas.openxmlformats.org/officeDocument/2006/relationships" ref="F16" r:id="rId21"/>
    <hyperlink xmlns:r="http://schemas.openxmlformats.org/officeDocument/2006/relationships" ref="J16" r:id="rId22"/>
    <hyperlink xmlns:r="http://schemas.openxmlformats.org/officeDocument/2006/relationships" ref="K16" r:id="rId23"/>
    <hyperlink xmlns:r="http://schemas.openxmlformats.org/officeDocument/2006/relationships" ref="L16" r:id="rId24"/>
    <hyperlink xmlns:r="http://schemas.openxmlformats.org/officeDocument/2006/relationships" ref="N16" r:id="rId25"/>
    <hyperlink xmlns:r="http://schemas.openxmlformats.org/officeDocument/2006/relationships" ref="O16" r:id="rId26"/>
    <hyperlink xmlns:r="http://schemas.openxmlformats.org/officeDocument/2006/relationships" ref="F17" r:id="rId27"/>
    <hyperlink xmlns:r="http://schemas.openxmlformats.org/officeDocument/2006/relationships" ref="G17" r:id="rId28"/>
    <hyperlink xmlns:r="http://schemas.openxmlformats.org/officeDocument/2006/relationships" ref="H17" r:id="rId29"/>
    <hyperlink xmlns:r="http://schemas.openxmlformats.org/officeDocument/2006/relationships" ref="J17" r:id="rId30"/>
    <hyperlink xmlns:r="http://schemas.openxmlformats.org/officeDocument/2006/relationships" ref="K17" r:id="rId31"/>
    <hyperlink xmlns:r="http://schemas.openxmlformats.org/officeDocument/2006/relationships" ref="L17" r:id="rId32"/>
    <hyperlink xmlns:r="http://schemas.openxmlformats.org/officeDocument/2006/relationships" ref="N17" r:id="rId33"/>
    <hyperlink xmlns:r="http://schemas.openxmlformats.org/officeDocument/2006/relationships" ref="O17" r:id="rId34"/>
    <hyperlink xmlns:r="http://schemas.openxmlformats.org/officeDocument/2006/relationships" ref="F18" r:id="rId35"/>
    <hyperlink xmlns:r="http://schemas.openxmlformats.org/officeDocument/2006/relationships" ref="G18" r:id="rId36"/>
    <hyperlink xmlns:r="http://schemas.openxmlformats.org/officeDocument/2006/relationships" ref="H18" r:id="rId37"/>
    <hyperlink xmlns:r="http://schemas.openxmlformats.org/officeDocument/2006/relationships" ref="J18" r:id="rId38"/>
    <hyperlink xmlns:r="http://schemas.openxmlformats.org/officeDocument/2006/relationships" ref="K18" r:id="rId39"/>
    <hyperlink xmlns:r="http://schemas.openxmlformats.org/officeDocument/2006/relationships" ref="L18" r:id="rId40"/>
    <hyperlink xmlns:r="http://schemas.openxmlformats.org/officeDocument/2006/relationships" ref="N18" r:id="rId41"/>
    <hyperlink xmlns:r="http://schemas.openxmlformats.org/officeDocument/2006/relationships" ref="O18" r:id="rId42"/>
    <hyperlink xmlns:r="http://schemas.openxmlformats.org/officeDocument/2006/relationships" ref="F19" r:id="rId43"/>
    <hyperlink xmlns:r="http://schemas.openxmlformats.org/officeDocument/2006/relationships" ref="G19" r:id="rId44"/>
    <hyperlink xmlns:r="http://schemas.openxmlformats.org/officeDocument/2006/relationships" ref="H19" r:id="rId45"/>
    <hyperlink xmlns:r="http://schemas.openxmlformats.org/officeDocument/2006/relationships" ref="J19" r:id="rId46"/>
    <hyperlink xmlns:r="http://schemas.openxmlformats.org/officeDocument/2006/relationships" ref="N19" r:id="rId47"/>
    <hyperlink xmlns:r="http://schemas.openxmlformats.org/officeDocument/2006/relationships" ref="O19" r:id="rId48"/>
    <hyperlink xmlns:r="http://schemas.openxmlformats.org/officeDocument/2006/relationships" ref="F20" r:id="rId49"/>
    <hyperlink xmlns:r="http://schemas.openxmlformats.org/officeDocument/2006/relationships" ref="G20" r:id="rId50"/>
    <hyperlink xmlns:r="http://schemas.openxmlformats.org/officeDocument/2006/relationships" ref="H20" r:id="rId51"/>
    <hyperlink xmlns:r="http://schemas.openxmlformats.org/officeDocument/2006/relationships" ref="J20" r:id="rId52"/>
    <hyperlink xmlns:r="http://schemas.openxmlformats.org/officeDocument/2006/relationships" ref="K20" r:id="rId53"/>
    <hyperlink xmlns:r="http://schemas.openxmlformats.org/officeDocument/2006/relationships" ref="L20" r:id="rId54"/>
    <hyperlink xmlns:r="http://schemas.openxmlformats.org/officeDocument/2006/relationships" ref="N20" r:id="rId55"/>
    <hyperlink xmlns:r="http://schemas.openxmlformats.org/officeDocument/2006/relationships" ref="O20" r:id="rId56"/>
    <hyperlink xmlns:r="http://schemas.openxmlformats.org/officeDocument/2006/relationships" ref="F21" r:id="rId57"/>
    <hyperlink xmlns:r="http://schemas.openxmlformats.org/officeDocument/2006/relationships" ref="G21" r:id="rId58"/>
    <hyperlink xmlns:r="http://schemas.openxmlformats.org/officeDocument/2006/relationships" ref="H21" r:id="rId59"/>
    <hyperlink xmlns:r="http://schemas.openxmlformats.org/officeDocument/2006/relationships" ref="J21" r:id="rId60"/>
    <hyperlink xmlns:r="http://schemas.openxmlformats.org/officeDocument/2006/relationships" ref="N21" r:id="rId61"/>
    <hyperlink xmlns:r="http://schemas.openxmlformats.org/officeDocument/2006/relationships" ref="O21" r:id="rId62"/>
    <hyperlink xmlns:r="http://schemas.openxmlformats.org/officeDocument/2006/relationships" ref="F22" r:id="rId63"/>
    <hyperlink xmlns:r="http://schemas.openxmlformats.org/officeDocument/2006/relationships" ref="G22" r:id="rId64"/>
    <hyperlink xmlns:r="http://schemas.openxmlformats.org/officeDocument/2006/relationships" ref="H22" r:id="rId65"/>
    <hyperlink xmlns:r="http://schemas.openxmlformats.org/officeDocument/2006/relationships" ref="J22" r:id="rId66"/>
    <hyperlink xmlns:r="http://schemas.openxmlformats.org/officeDocument/2006/relationships" ref="L22" r:id="rId67"/>
    <hyperlink xmlns:r="http://schemas.openxmlformats.org/officeDocument/2006/relationships" ref="N22" r:id="rId68"/>
    <hyperlink xmlns:r="http://schemas.openxmlformats.org/officeDocument/2006/relationships" ref="O22" r:id="rId69"/>
    <hyperlink xmlns:r="http://schemas.openxmlformats.org/officeDocument/2006/relationships" ref="F23" r:id="rId70"/>
    <hyperlink xmlns:r="http://schemas.openxmlformats.org/officeDocument/2006/relationships" ref="G23" r:id="rId71"/>
    <hyperlink xmlns:r="http://schemas.openxmlformats.org/officeDocument/2006/relationships" ref="H23" r:id="rId72"/>
    <hyperlink xmlns:r="http://schemas.openxmlformats.org/officeDocument/2006/relationships" ref="J23" r:id="rId73"/>
    <hyperlink xmlns:r="http://schemas.openxmlformats.org/officeDocument/2006/relationships" ref="N23" r:id="rId74"/>
    <hyperlink xmlns:r="http://schemas.openxmlformats.org/officeDocument/2006/relationships" ref="O23" r:id="rId75"/>
    <hyperlink xmlns:r="http://schemas.openxmlformats.org/officeDocument/2006/relationships" ref="F26" r:id="rId76"/>
    <hyperlink xmlns:r="http://schemas.openxmlformats.org/officeDocument/2006/relationships" ref="G26" r:id="rId77"/>
    <hyperlink xmlns:r="http://schemas.openxmlformats.org/officeDocument/2006/relationships" ref="H26" r:id="rId78"/>
    <hyperlink xmlns:r="http://schemas.openxmlformats.org/officeDocument/2006/relationships" ref="J26" r:id="rId79"/>
    <hyperlink xmlns:r="http://schemas.openxmlformats.org/officeDocument/2006/relationships" ref="N26" r:id="rId80"/>
    <hyperlink xmlns:r="http://schemas.openxmlformats.org/officeDocument/2006/relationships" ref="O26" r:id="rId81"/>
    <hyperlink xmlns:r="http://schemas.openxmlformats.org/officeDocument/2006/relationships" ref="F27" r:id="rId82"/>
    <hyperlink xmlns:r="http://schemas.openxmlformats.org/officeDocument/2006/relationships" ref="G27" r:id="rId83"/>
    <hyperlink xmlns:r="http://schemas.openxmlformats.org/officeDocument/2006/relationships" ref="H27" r:id="rId84"/>
    <hyperlink xmlns:r="http://schemas.openxmlformats.org/officeDocument/2006/relationships" ref="J27" r:id="rId85"/>
    <hyperlink xmlns:r="http://schemas.openxmlformats.org/officeDocument/2006/relationships" ref="L27" r:id="rId86"/>
    <hyperlink xmlns:r="http://schemas.openxmlformats.org/officeDocument/2006/relationships" ref="N27" r:id="rId87"/>
    <hyperlink xmlns:r="http://schemas.openxmlformats.org/officeDocument/2006/relationships" ref="O27" r:id="rId88"/>
    <hyperlink xmlns:r="http://schemas.openxmlformats.org/officeDocument/2006/relationships" ref="F28" r:id="rId89"/>
    <hyperlink xmlns:r="http://schemas.openxmlformats.org/officeDocument/2006/relationships" ref="G28" r:id="rId90"/>
    <hyperlink xmlns:r="http://schemas.openxmlformats.org/officeDocument/2006/relationships" ref="H28" r:id="rId91"/>
    <hyperlink xmlns:r="http://schemas.openxmlformats.org/officeDocument/2006/relationships" ref="J28" r:id="rId92"/>
    <hyperlink xmlns:r="http://schemas.openxmlformats.org/officeDocument/2006/relationships" ref="N28" r:id="rId93"/>
    <hyperlink xmlns:r="http://schemas.openxmlformats.org/officeDocument/2006/relationships" ref="O28" r:id="rId94"/>
    <hyperlink xmlns:r="http://schemas.openxmlformats.org/officeDocument/2006/relationships" ref="F29" r:id="rId95"/>
    <hyperlink xmlns:r="http://schemas.openxmlformats.org/officeDocument/2006/relationships" ref="G29" r:id="rId96"/>
    <hyperlink xmlns:r="http://schemas.openxmlformats.org/officeDocument/2006/relationships" ref="H29" r:id="rId97"/>
    <hyperlink xmlns:r="http://schemas.openxmlformats.org/officeDocument/2006/relationships" ref="J29" r:id="rId98"/>
    <hyperlink xmlns:r="http://schemas.openxmlformats.org/officeDocument/2006/relationships" ref="N29" r:id="rId99"/>
    <hyperlink xmlns:r="http://schemas.openxmlformats.org/officeDocument/2006/relationships" ref="O29" r:id="rId100"/>
    <hyperlink xmlns:r="http://schemas.openxmlformats.org/officeDocument/2006/relationships" ref="F32" r:id="rId101"/>
    <hyperlink xmlns:r="http://schemas.openxmlformats.org/officeDocument/2006/relationships" ref="G32" r:id="rId102"/>
    <hyperlink xmlns:r="http://schemas.openxmlformats.org/officeDocument/2006/relationships" ref="H32" r:id="rId103"/>
    <hyperlink xmlns:r="http://schemas.openxmlformats.org/officeDocument/2006/relationships" ref="J32" r:id="rId104"/>
    <hyperlink xmlns:r="http://schemas.openxmlformats.org/officeDocument/2006/relationships" ref="N32" r:id="rId105"/>
    <hyperlink xmlns:r="http://schemas.openxmlformats.org/officeDocument/2006/relationships" ref="O32" r:id="rId106"/>
    <hyperlink xmlns:r="http://schemas.openxmlformats.org/officeDocument/2006/relationships" ref="F33" r:id="rId107"/>
    <hyperlink xmlns:r="http://schemas.openxmlformats.org/officeDocument/2006/relationships" ref="G33" r:id="rId108"/>
    <hyperlink xmlns:r="http://schemas.openxmlformats.org/officeDocument/2006/relationships" ref="H33" r:id="rId109"/>
    <hyperlink xmlns:r="http://schemas.openxmlformats.org/officeDocument/2006/relationships" ref="J33" r:id="rId110"/>
    <hyperlink xmlns:r="http://schemas.openxmlformats.org/officeDocument/2006/relationships" ref="N33" r:id="rId111"/>
    <hyperlink xmlns:r="http://schemas.openxmlformats.org/officeDocument/2006/relationships" ref="O33" r:id="rId112"/>
    <hyperlink xmlns:r="http://schemas.openxmlformats.org/officeDocument/2006/relationships" ref="F34" r:id="rId113"/>
    <hyperlink xmlns:r="http://schemas.openxmlformats.org/officeDocument/2006/relationships" ref="G34" r:id="rId114"/>
    <hyperlink xmlns:r="http://schemas.openxmlformats.org/officeDocument/2006/relationships" ref="H34" r:id="rId115"/>
    <hyperlink xmlns:r="http://schemas.openxmlformats.org/officeDocument/2006/relationships" ref="J34" r:id="rId116"/>
    <hyperlink xmlns:r="http://schemas.openxmlformats.org/officeDocument/2006/relationships" ref="N34" r:id="rId117"/>
    <hyperlink xmlns:r="http://schemas.openxmlformats.org/officeDocument/2006/relationships" ref="O34" r:id="rId118"/>
    <hyperlink xmlns:r="http://schemas.openxmlformats.org/officeDocument/2006/relationships" ref="F35" r:id="rId119"/>
    <hyperlink xmlns:r="http://schemas.openxmlformats.org/officeDocument/2006/relationships" ref="G35" r:id="rId120"/>
    <hyperlink xmlns:r="http://schemas.openxmlformats.org/officeDocument/2006/relationships" ref="H35" r:id="rId121"/>
    <hyperlink xmlns:r="http://schemas.openxmlformats.org/officeDocument/2006/relationships" ref="J35" r:id="rId122"/>
    <hyperlink xmlns:r="http://schemas.openxmlformats.org/officeDocument/2006/relationships" ref="N35" r:id="rId123"/>
    <hyperlink xmlns:r="http://schemas.openxmlformats.org/officeDocument/2006/relationships" ref="O35" r:id="rId124"/>
    <hyperlink xmlns:r="http://schemas.openxmlformats.org/officeDocument/2006/relationships" ref="F36" r:id="rId125"/>
    <hyperlink xmlns:r="http://schemas.openxmlformats.org/officeDocument/2006/relationships" ref="G36" r:id="rId126"/>
    <hyperlink xmlns:r="http://schemas.openxmlformats.org/officeDocument/2006/relationships" ref="H36" r:id="rId127"/>
    <hyperlink xmlns:r="http://schemas.openxmlformats.org/officeDocument/2006/relationships" ref="J36" r:id="rId128"/>
    <hyperlink xmlns:r="http://schemas.openxmlformats.org/officeDocument/2006/relationships" ref="N36" r:id="rId129"/>
    <hyperlink xmlns:r="http://schemas.openxmlformats.org/officeDocument/2006/relationships" ref="O36" r:id="rId130"/>
    <hyperlink xmlns:r="http://schemas.openxmlformats.org/officeDocument/2006/relationships" ref="F39" r:id="rId131"/>
    <hyperlink xmlns:r="http://schemas.openxmlformats.org/officeDocument/2006/relationships" ref="G39" r:id="rId132"/>
    <hyperlink xmlns:r="http://schemas.openxmlformats.org/officeDocument/2006/relationships" ref="H39" r:id="rId133"/>
    <hyperlink xmlns:r="http://schemas.openxmlformats.org/officeDocument/2006/relationships" ref="J39" r:id="rId134"/>
    <hyperlink xmlns:r="http://schemas.openxmlformats.org/officeDocument/2006/relationships" ref="L39" r:id="rId135"/>
    <hyperlink xmlns:r="http://schemas.openxmlformats.org/officeDocument/2006/relationships" ref="N39" r:id="rId136"/>
    <hyperlink xmlns:r="http://schemas.openxmlformats.org/officeDocument/2006/relationships" ref="O39" r:id="rId137"/>
    <hyperlink xmlns:r="http://schemas.openxmlformats.org/officeDocument/2006/relationships" ref="F40" r:id="rId138"/>
    <hyperlink xmlns:r="http://schemas.openxmlformats.org/officeDocument/2006/relationships" ref="N40" r:id="rId139"/>
    <hyperlink xmlns:r="http://schemas.openxmlformats.org/officeDocument/2006/relationships" ref="O40" r:id="rId140"/>
    <hyperlink xmlns:r="http://schemas.openxmlformats.org/officeDocument/2006/relationships" ref="F41" r:id="rId141"/>
    <hyperlink xmlns:r="http://schemas.openxmlformats.org/officeDocument/2006/relationships" ref="J41" r:id="rId142"/>
    <hyperlink xmlns:r="http://schemas.openxmlformats.org/officeDocument/2006/relationships" ref="N41" r:id="rId143"/>
    <hyperlink xmlns:r="http://schemas.openxmlformats.org/officeDocument/2006/relationships" ref="O41" r:id="rId144"/>
    <hyperlink xmlns:r="http://schemas.openxmlformats.org/officeDocument/2006/relationships" ref="F42" r:id="rId145"/>
    <hyperlink xmlns:r="http://schemas.openxmlformats.org/officeDocument/2006/relationships" ref="G42" r:id="rId146"/>
    <hyperlink xmlns:r="http://schemas.openxmlformats.org/officeDocument/2006/relationships" ref="H42" r:id="rId147"/>
    <hyperlink xmlns:r="http://schemas.openxmlformats.org/officeDocument/2006/relationships" ref="J42" r:id="rId148"/>
    <hyperlink xmlns:r="http://schemas.openxmlformats.org/officeDocument/2006/relationships" ref="N42" r:id="rId149"/>
    <hyperlink xmlns:r="http://schemas.openxmlformats.org/officeDocument/2006/relationships" ref="O42" r:id="rId150"/>
    <hyperlink xmlns:r="http://schemas.openxmlformats.org/officeDocument/2006/relationships" ref="F43" r:id="rId151"/>
    <hyperlink xmlns:r="http://schemas.openxmlformats.org/officeDocument/2006/relationships" ref="G43" r:id="rId152"/>
    <hyperlink xmlns:r="http://schemas.openxmlformats.org/officeDocument/2006/relationships" ref="H43" r:id="rId153"/>
    <hyperlink xmlns:r="http://schemas.openxmlformats.org/officeDocument/2006/relationships" ref="N43" r:id="rId154"/>
    <hyperlink xmlns:r="http://schemas.openxmlformats.org/officeDocument/2006/relationships" ref="O43" r:id="rId155"/>
    <hyperlink xmlns:r="http://schemas.openxmlformats.org/officeDocument/2006/relationships" ref="F44" r:id="rId156"/>
    <hyperlink xmlns:r="http://schemas.openxmlformats.org/officeDocument/2006/relationships" ref="G44" r:id="rId157"/>
    <hyperlink xmlns:r="http://schemas.openxmlformats.org/officeDocument/2006/relationships" ref="H44" r:id="rId158"/>
    <hyperlink xmlns:r="http://schemas.openxmlformats.org/officeDocument/2006/relationships" ref="J44" r:id="rId159"/>
    <hyperlink xmlns:r="http://schemas.openxmlformats.org/officeDocument/2006/relationships" ref="N44" r:id="rId160"/>
    <hyperlink xmlns:r="http://schemas.openxmlformats.org/officeDocument/2006/relationships" ref="O44" r:id="rId161"/>
    <hyperlink xmlns:r="http://schemas.openxmlformats.org/officeDocument/2006/relationships" ref="F45" r:id="rId162"/>
    <hyperlink xmlns:r="http://schemas.openxmlformats.org/officeDocument/2006/relationships" ref="G45" r:id="rId163"/>
    <hyperlink xmlns:r="http://schemas.openxmlformats.org/officeDocument/2006/relationships" ref="H45" r:id="rId164"/>
    <hyperlink xmlns:r="http://schemas.openxmlformats.org/officeDocument/2006/relationships" ref="J45" r:id="rId165"/>
    <hyperlink xmlns:r="http://schemas.openxmlformats.org/officeDocument/2006/relationships" ref="N45" r:id="rId166"/>
    <hyperlink xmlns:r="http://schemas.openxmlformats.org/officeDocument/2006/relationships" ref="O45" r:id="rId167"/>
    <hyperlink xmlns:r="http://schemas.openxmlformats.org/officeDocument/2006/relationships" ref="F46" r:id="rId168"/>
    <hyperlink xmlns:r="http://schemas.openxmlformats.org/officeDocument/2006/relationships" ref="G46" r:id="rId169"/>
    <hyperlink xmlns:r="http://schemas.openxmlformats.org/officeDocument/2006/relationships" ref="H46" r:id="rId170"/>
    <hyperlink xmlns:r="http://schemas.openxmlformats.org/officeDocument/2006/relationships" ref="J46" r:id="rId171"/>
    <hyperlink xmlns:r="http://schemas.openxmlformats.org/officeDocument/2006/relationships" ref="N46" r:id="rId172"/>
    <hyperlink xmlns:r="http://schemas.openxmlformats.org/officeDocument/2006/relationships" ref="O46" r:id="rId173"/>
    <hyperlink xmlns:r="http://schemas.openxmlformats.org/officeDocument/2006/relationships" ref="F47" r:id="rId174"/>
    <hyperlink xmlns:r="http://schemas.openxmlformats.org/officeDocument/2006/relationships" ref="G47" r:id="rId175"/>
    <hyperlink xmlns:r="http://schemas.openxmlformats.org/officeDocument/2006/relationships" ref="H47" r:id="rId176"/>
    <hyperlink xmlns:r="http://schemas.openxmlformats.org/officeDocument/2006/relationships" ref="J47" r:id="rId177"/>
    <hyperlink xmlns:r="http://schemas.openxmlformats.org/officeDocument/2006/relationships" ref="N47" r:id="rId178"/>
    <hyperlink xmlns:r="http://schemas.openxmlformats.org/officeDocument/2006/relationships" ref="O47" r:id="rId179"/>
    <hyperlink xmlns:r="http://schemas.openxmlformats.org/officeDocument/2006/relationships" ref="F48" r:id="rId180"/>
    <hyperlink xmlns:r="http://schemas.openxmlformats.org/officeDocument/2006/relationships" ref="G48" r:id="rId181"/>
    <hyperlink xmlns:r="http://schemas.openxmlformats.org/officeDocument/2006/relationships" ref="H48" r:id="rId182"/>
    <hyperlink xmlns:r="http://schemas.openxmlformats.org/officeDocument/2006/relationships" ref="J48" r:id="rId183"/>
    <hyperlink xmlns:r="http://schemas.openxmlformats.org/officeDocument/2006/relationships" ref="N48" r:id="rId184"/>
    <hyperlink xmlns:r="http://schemas.openxmlformats.org/officeDocument/2006/relationships" ref="O48" r:id="rId185"/>
    <hyperlink xmlns:r="http://schemas.openxmlformats.org/officeDocument/2006/relationships" ref="F49" r:id="rId186"/>
    <hyperlink xmlns:r="http://schemas.openxmlformats.org/officeDocument/2006/relationships" ref="G49" r:id="rId187"/>
    <hyperlink xmlns:r="http://schemas.openxmlformats.org/officeDocument/2006/relationships" ref="H49" r:id="rId188"/>
    <hyperlink xmlns:r="http://schemas.openxmlformats.org/officeDocument/2006/relationships" ref="J49" r:id="rId189"/>
    <hyperlink xmlns:r="http://schemas.openxmlformats.org/officeDocument/2006/relationships" ref="N49" r:id="rId190"/>
    <hyperlink xmlns:r="http://schemas.openxmlformats.org/officeDocument/2006/relationships" ref="O49" r:id="rId191"/>
    <hyperlink xmlns:r="http://schemas.openxmlformats.org/officeDocument/2006/relationships" ref="F50" r:id="rId192"/>
    <hyperlink xmlns:r="http://schemas.openxmlformats.org/officeDocument/2006/relationships" ref="G50" r:id="rId193"/>
    <hyperlink xmlns:r="http://schemas.openxmlformats.org/officeDocument/2006/relationships" ref="H50" r:id="rId194"/>
    <hyperlink xmlns:r="http://schemas.openxmlformats.org/officeDocument/2006/relationships" ref="J50" r:id="rId195"/>
    <hyperlink xmlns:r="http://schemas.openxmlformats.org/officeDocument/2006/relationships" ref="N50" r:id="rId196"/>
    <hyperlink xmlns:r="http://schemas.openxmlformats.org/officeDocument/2006/relationships" ref="O50" r:id="rId197"/>
    <hyperlink xmlns:r="http://schemas.openxmlformats.org/officeDocument/2006/relationships" ref="F53" r:id="rId198"/>
    <hyperlink xmlns:r="http://schemas.openxmlformats.org/officeDocument/2006/relationships" ref="G53" r:id="rId199"/>
    <hyperlink xmlns:r="http://schemas.openxmlformats.org/officeDocument/2006/relationships" ref="H53" r:id="rId200"/>
    <hyperlink xmlns:r="http://schemas.openxmlformats.org/officeDocument/2006/relationships" ref="J53" r:id="rId201"/>
    <hyperlink xmlns:r="http://schemas.openxmlformats.org/officeDocument/2006/relationships" ref="K53" r:id="rId202"/>
    <hyperlink xmlns:r="http://schemas.openxmlformats.org/officeDocument/2006/relationships" ref="L53" r:id="rId203"/>
    <hyperlink xmlns:r="http://schemas.openxmlformats.org/officeDocument/2006/relationships" ref="N53" r:id="rId204"/>
    <hyperlink xmlns:r="http://schemas.openxmlformats.org/officeDocument/2006/relationships" ref="O53" r:id="rId205"/>
    <hyperlink xmlns:r="http://schemas.openxmlformats.org/officeDocument/2006/relationships" ref="F54" r:id="rId206"/>
    <hyperlink xmlns:r="http://schemas.openxmlformats.org/officeDocument/2006/relationships" ref="J54" r:id="rId207"/>
    <hyperlink xmlns:r="http://schemas.openxmlformats.org/officeDocument/2006/relationships" ref="N54" r:id="rId208"/>
    <hyperlink xmlns:r="http://schemas.openxmlformats.org/officeDocument/2006/relationships" ref="O54" r:id="rId209"/>
    <hyperlink xmlns:r="http://schemas.openxmlformats.org/officeDocument/2006/relationships" ref="F55" r:id="rId210"/>
    <hyperlink xmlns:r="http://schemas.openxmlformats.org/officeDocument/2006/relationships" ref="G55" r:id="rId211"/>
    <hyperlink xmlns:r="http://schemas.openxmlformats.org/officeDocument/2006/relationships" ref="H55" r:id="rId212"/>
    <hyperlink xmlns:r="http://schemas.openxmlformats.org/officeDocument/2006/relationships" ref="J55" r:id="rId213"/>
    <hyperlink xmlns:r="http://schemas.openxmlformats.org/officeDocument/2006/relationships" ref="N55" r:id="rId214"/>
    <hyperlink xmlns:r="http://schemas.openxmlformats.org/officeDocument/2006/relationships" ref="O55" r:id="rId215"/>
    <hyperlink xmlns:r="http://schemas.openxmlformats.org/officeDocument/2006/relationships" ref="F56" r:id="rId216"/>
    <hyperlink xmlns:r="http://schemas.openxmlformats.org/officeDocument/2006/relationships" ref="G56" r:id="rId217"/>
    <hyperlink xmlns:r="http://schemas.openxmlformats.org/officeDocument/2006/relationships" ref="H56" r:id="rId218"/>
    <hyperlink xmlns:r="http://schemas.openxmlformats.org/officeDocument/2006/relationships" ref="J56" r:id="rId219"/>
    <hyperlink xmlns:r="http://schemas.openxmlformats.org/officeDocument/2006/relationships" ref="N56" r:id="rId220"/>
    <hyperlink xmlns:r="http://schemas.openxmlformats.org/officeDocument/2006/relationships" ref="O56" r:id="rId221"/>
    <hyperlink xmlns:r="http://schemas.openxmlformats.org/officeDocument/2006/relationships" ref="F57" r:id="rId222"/>
    <hyperlink xmlns:r="http://schemas.openxmlformats.org/officeDocument/2006/relationships" ref="G57" r:id="rId223"/>
    <hyperlink xmlns:r="http://schemas.openxmlformats.org/officeDocument/2006/relationships" ref="H57" r:id="rId224"/>
    <hyperlink xmlns:r="http://schemas.openxmlformats.org/officeDocument/2006/relationships" ref="J57" r:id="rId225"/>
    <hyperlink xmlns:r="http://schemas.openxmlformats.org/officeDocument/2006/relationships" ref="N57" r:id="rId226"/>
    <hyperlink xmlns:r="http://schemas.openxmlformats.org/officeDocument/2006/relationships" ref="O57" r:id="rId227"/>
    <hyperlink xmlns:r="http://schemas.openxmlformats.org/officeDocument/2006/relationships" ref="F58" r:id="rId228"/>
    <hyperlink xmlns:r="http://schemas.openxmlformats.org/officeDocument/2006/relationships" ref="G58" r:id="rId229"/>
    <hyperlink xmlns:r="http://schemas.openxmlformats.org/officeDocument/2006/relationships" ref="H58" r:id="rId230"/>
    <hyperlink xmlns:r="http://schemas.openxmlformats.org/officeDocument/2006/relationships" ref="J58" r:id="rId231"/>
    <hyperlink xmlns:r="http://schemas.openxmlformats.org/officeDocument/2006/relationships" ref="N58" r:id="rId232"/>
    <hyperlink xmlns:r="http://schemas.openxmlformats.org/officeDocument/2006/relationships" ref="O58" r:id="rId233"/>
    <hyperlink xmlns:r="http://schemas.openxmlformats.org/officeDocument/2006/relationships" ref="F59" r:id="rId234"/>
    <hyperlink xmlns:r="http://schemas.openxmlformats.org/officeDocument/2006/relationships" ref="G59" r:id="rId235"/>
    <hyperlink xmlns:r="http://schemas.openxmlformats.org/officeDocument/2006/relationships" ref="H59" r:id="rId236"/>
    <hyperlink xmlns:r="http://schemas.openxmlformats.org/officeDocument/2006/relationships" ref="J59" r:id="rId237"/>
    <hyperlink xmlns:r="http://schemas.openxmlformats.org/officeDocument/2006/relationships" ref="N59" r:id="rId238"/>
    <hyperlink xmlns:r="http://schemas.openxmlformats.org/officeDocument/2006/relationships" ref="O59" r:id="rId239"/>
    <hyperlink xmlns:r="http://schemas.openxmlformats.org/officeDocument/2006/relationships" ref="F62" r:id="rId240"/>
    <hyperlink xmlns:r="http://schemas.openxmlformats.org/officeDocument/2006/relationships" ref="G62" r:id="rId241"/>
    <hyperlink xmlns:r="http://schemas.openxmlformats.org/officeDocument/2006/relationships" ref="H62" r:id="rId242"/>
    <hyperlink xmlns:r="http://schemas.openxmlformats.org/officeDocument/2006/relationships" ref="J62" r:id="rId243"/>
    <hyperlink xmlns:r="http://schemas.openxmlformats.org/officeDocument/2006/relationships" ref="N62" r:id="rId244"/>
    <hyperlink xmlns:r="http://schemas.openxmlformats.org/officeDocument/2006/relationships" ref="O62" r:id="rId245"/>
    <hyperlink xmlns:r="http://schemas.openxmlformats.org/officeDocument/2006/relationships" ref="F63" r:id="rId246"/>
    <hyperlink xmlns:r="http://schemas.openxmlformats.org/officeDocument/2006/relationships" ref="G63" r:id="rId247"/>
    <hyperlink xmlns:r="http://schemas.openxmlformats.org/officeDocument/2006/relationships" ref="H63" r:id="rId248"/>
    <hyperlink xmlns:r="http://schemas.openxmlformats.org/officeDocument/2006/relationships" ref="J63" r:id="rId249"/>
    <hyperlink xmlns:r="http://schemas.openxmlformats.org/officeDocument/2006/relationships" ref="N63" r:id="rId250"/>
    <hyperlink xmlns:r="http://schemas.openxmlformats.org/officeDocument/2006/relationships" ref="O63" r:id="rId251"/>
    <hyperlink xmlns:r="http://schemas.openxmlformats.org/officeDocument/2006/relationships" ref="F64" r:id="rId252"/>
    <hyperlink xmlns:r="http://schemas.openxmlformats.org/officeDocument/2006/relationships" ref="G64" r:id="rId253"/>
    <hyperlink xmlns:r="http://schemas.openxmlformats.org/officeDocument/2006/relationships" ref="H64" r:id="rId254"/>
    <hyperlink xmlns:r="http://schemas.openxmlformats.org/officeDocument/2006/relationships" ref="J64" r:id="rId255"/>
    <hyperlink xmlns:r="http://schemas.openxmlformats.org/officeDocument/2006/relationships" ref="N64" r:id="rId256"/>
    <hyperlink xmlns:r="http://schemas.openxmlformats.org/officeDocument/2006/relationships" ref="O64" r:id="rId257"/>
    <hyperlink xmlns:r="http://schemas.openxmlformats.org/officeDocument/2006/relationships" ref="F65" r:id="rId258"/>
    <hyperlink xmlns:r="http://schemas.openxmlformats.org/officeDocument/2006/relationships" ref="G65" r:id="rId259"/>
    <hyperlink xmlns:r="http://schemas.openxmlformats.org/officeDocument/2006/relationships" ref="H65" r:id="rId260"/>
    <hyperlink xmlns:r="http://schemas.openxmlformats.org/officeDocument/2006/relationships" ref="J65" r:id="rId261"/>
    <hyperlink xmlns:r="http://schemas.openxmlformats.org/officeDocument/2006/relationships" ref="N65" r:id="rId262"/>
    <hyperlink xmlns:r="http://schemas.openxmlformats.org/officeDocument/2006/relationships" ref="O65" r:id="rId263"/>
  </hyperlink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6B7280"/>
    <outlinePr summaryBelow="1" summaryRight="1"/>
    <pageSetUpPr fitToPage="1"/>
  </sheetPr>
  <dimension ref="A1:E73"/>
  <sheetViews>
    <sheetView showGridLines="0" zoomScale="110" workbookViewId="0">
      <pane ySplit="4" topLeftCell="A5" activePane="bottomLeft" state="frozen"/>
      <selection pane="bottomLeft" activeCell="A1" sqref="A1"/>
    </sheetView>
  </sheetViews>
  <sheetFormatPr baseColWidth="8" defaultRowHeight="15"/>
  <cols>
    <col width="46" customWidth="1" min="1" max="1"/>
    <col width="13" customWidth="1" min="2" max="2"/>
    <col width="13" customWidth="1" min="3" max="3"/>
    <col width="11" customWidth="1" min="4" max="4"/>
    <col width="32" customWidth="1" min="5" max="5"/>
    <col width="4" customWidth="1" min="6" max="6"/>
  </cols>
  <sheetData>
    <row r="1" ht="34" customHeight="1">
      <c r="A1" s="57" t="inlineStr">
        <is>
          <t>OCR MEI topic sheets</t>
        </is>
      </c>
    </row>
    <row r="2">
      <c r="A2" s="20" t="inlineStr">
        <is>
          <t>Real OCR MEI exam questions grouped by topic, with the mark scheme at the back of each PDF. Try a sheet once most of its topics are Amber or Green.</t>
        </is>
      </c>
    </row>
    <row r="4" ht="22" customHeight="1">
      <c r="A4" s="58" t="inlineStr">
        <is>
          <t>Sheet</t>
        </is>
      </c>
      <c r="B4" s="59" t="inlineStr">
        <is>
          <t>Questions</t>
        </is>
      </c>
      <c r="C4" s="59" t="inlineStr">
        <is>
          <t>Mark scheme</t>
        </is>
      </c>
      <c r="D4" s="59" t="inlineStr">
        <is>
          <t>Done?</t>
        </is>
      </c>
      <c r="E4" s="58" t="inlineStr">
        <is>
          <t>Score / notes</t>
        </is>
      </c>
    </row>
    <row r="5" ht="10" customHeight="1"/>
    <row r="6" ht="26" customHeight="1">
      <c r="A6" s="60" t="inlineStr">
        <is>
          <t>Pure maths  ·  Papers 1, 2 and 3</t>
        </is>
      </c>
      <c r="B6" s="61" t="n"/>
      <c r="C6" s="61" t="n"/>
      <c r="D6" s="61" t="n"/>
      <c r="E6" s="61" t="n"/>
    </row>
    <row r="7" ht="22" customHeight="1">
      <c r="A7" s="35" t="inlineStr">
        <is>
          <t>Graphs (Yr. 1)</t>
        </is>
      </c>
      <c r="B7" s="36" t="inlineStr">
        <is>
          <t>Questions</t>
        </is>
      </c>
      <c r="C7" s="36" t="inlineStr">
        <is>
          <t>Marks</t>
        </is>
      </c>
      <c r="D7" s="62" t="n"/>
      <c r="E7" s="39" t="n"/>
    </row>
    <row r="8" ht="22" customHeight="1">
      <c r="A8" s="35" t="inlineStr">
        <is>
          <t>Inequalities</t>
        </is>
      </c>
      <c r="B8" s="36" t="inlineStr">
        <is>
          <t>Questions</t>
        </is>
      </c>
      <c r="C8" s="36" t="inlineStr">
        <is>
          <t>Marks</t>
        </is>
      </c>
      <c r="D8" s="62" t="n"/>
      <c r="E8" s="39" t="n"/>
    </row>
    <row r="9" ht="22" customHeight="1">
      <c r="A9" s="35" t="inlineStr">
        <is>
          <t>Polynomials</t>
        </is>
      </c>
      <c r="B9" s="36" t="inlineStr">
        <is>
          <t>Questions</t>
        </is>
      </c>
      <c r="C9" s="36" t="inlineStr">
        <is>
          <t>Marks</t>
        </is>
      </c>
      <c r="D9" s="62" t="n"/>
      <c r="E9" s="39" t="n"/>
    </row>
    <row r="10" ht="22" customHeight="1">
      <c r="A10" s="35" t="inlineStr">
        <is>
          <t>Solution of Equations</t>
        </is>
      </c>
      <c r="B10" s="36" t="inlineStr">
        <is>
          <t>Questions</t>
        </is>
      </c>
      <c r="C10" s="36" t="inlineStr">
        <is>
          <t>Marks</t>
        </is>
      </c>
      <c r="D10" s="62" t="n"/>
      <c r="E10" s="39" t="n"/>
    </row>
    <row r="11" ht="22" customHeight="1">
      <c r="A11" s="35" t="inlineStr">
        <is>
          <t>Surds and Indices</t>
        </is>
      </c>
      <c r="B11" s="36" t="inlineStr">
        <is>
          <t>Questions</t>
        </is>
      </c>
      <c r="C11" s="36" t="inlineStr">
        <is>
          <t>Marks</t>
        </is>
      </c>
      <c r="D11" s="62" t="n"/>
      <c r="E11" s="39" t="n"/>
    </row>
    <row r="12" ht="22" customHeight="1">
      <c r="A12" s="35" t="inlineStr">
        <is>
          <t>Graphs (Yr. 2)</t>
        </is>
      </c>
      <c r="B12" s="36" t="inlineStr">
        <is>
          <t>Questions</t>
        </is>
      </c>
      <c r="C12" s="36" t="inlineStr">
        <is>
          <t>Marks</t>
        </is>
      </c>
      <c r="D12" s="62" t="n"/>
      <c r="E12" s="39" t="n"/>
    </row>
    <row r="13" ht="22" customHeight="1">
      <c r="A13" s="35" t="inlineStr">
        <is>
          <t>Partial Fractions</t>
        </is>
      </c>
      <c r="B13" s="36" t="inlineStr">
        <is>
          <t>Questions</t>
        </is>
      </c>
      <c r="C13" s="36" t="inlineStr">
        <is>
          <t>Marks</t>
        </is>
      </c>
      <c r="D13" s="62" t="n"/>
      <c r="E13" s="39" t="n"/>
    </row>
    <row r="14" ht="22" customHeight="1">
      <c r="A14" s="35" t="inlineStr">
        <is>
          <t>Rational Expressions</t>
        </is>
      </c>
      <c r="B14" s="36" t="inlineStr">
        <is>
          <t>Questions</t>
        </is>
      </c>
      <c r="C14" s="36" t="inlineStr">
        <is>
          <t>Marks</t>
        </is>
      </c>
      <c r="D14" s="62" t="n"/>
      <c r="E14" s="39" t="n"/>
    </row>
    <row r="15" ht="22" customHeight="1">
      <c r="A15" s="35" t="inlineStr">
        <is>
          <t>The Language of Functions</t>
        </is>
      </c>
      <c r="B15" s="36" t="inlineStr">
        <is>
          <t>Questions</t>
        </is>
      </c>
      <c r="C15" s="36" t="inlineStr">
        <is>
          <t>Marks</t>
        </is>
      </c>
      <c r="D15" s="62" t="n"/>
      <c r="E15" s="39" t="n"/>
    </row>
    <row r="16" ht="22" customHeight="1">
      <c r="A16" s="35" t="inlineStr">
        <is>
          <t>The Modulus Function</t>
        </is>
      </c>
      <c r="B16" s="36" t="inlineStr">
        <is>
          <t>Questions</t>
        </is>
      </c>
      <c r="C16" s="36" t="inlineStr">
        <is>
          <t>Marks</t>
        </is>
      </c>
      <c r="D16" s="62" t="n"/>
      <c r="E16" s="39" t="n"/>
    </row>
    <row r="17" ht="22" customHeight="1">
      <c r="A17" s="35" t="inlineStr">
        <is>
          <t>Curves</t>
        </is>
      </c>
      <c r="B17" s="36" t="inlineStr">
        <is>
          <t>Questions</t>
        </is>
      </c>
      <c r="C17" s="36" t="inlineStr">
        <is>
          <t>Marks</t>
        </is>
      </c>
      <c r="D17" s="62" t="n"/>
      <c r="E17" s="39" t="n"/>
    </row>
    <row r="18" ht="22" customHeight="1">
      <c r="A18" s="35" t="inlineStr">
        <is>
          <t>Straight Lines</t>
        </is>
      </c>
      <c r="B18" s="36" t="inlineStr">
        <is>
          <t>Questions</t>
        </is>
      </c>
      <c r="C18" s="36" t="inlineStr">
        <is>
          <t>Marks</t>
        </is>
      </c>
      <c r="D18" s="62" t="n"/>
      <c r="E18" s="39" t="n"/>
    </row>
    <row r="19" ht="22" customHeight="1">
      <c r="A19" s="35" t="inlineStr">
        <is>
          <t>Parametric Equations</t>
        </is>
      </c>
      <c r="B19" s="36" t="inlineStr">
        <is>
          <t>Questions</t>
        </is>
      </c>
      <c r="C19" s="36" t="inlineStr">
        <is>
          <t>Marks</t>
        </is>
      </c>
      <c r="D19" s="62" t="n"/>
      <c r="E19" s="39" t="n"/>
    </row>
    <row r="20" ht="22" customHeight="1">
      <c r="A20" s="35" t="inlineStr">
        <is>
          <t>Applications of Differentiation to Functions and Graphs (Yr. 1)</t>
        </is>
      </c>
      <c r="B20" s="36" t="inlineStr">
        <is>
          <t>Questions</t>
        </is>
      </c>
      <c r="C20" s="36" t="inlineStr">
        <is>
          <t>Marks</t>
        </is>
      </c>
      <c r="D20" s="62" t="n"/>
      <c r="E20" s="39" t="n"/>
    </row>
    <row r="21" ht="22" customHeight="1">
      <c r="A21" s="35" t="inlineStr">
        <is>
          <t>Basic Differentiation</t>
        </is>
      </c>
      <c r="B21" s="36" t="inlineStr">
        <is>
          <t>Questions</t>
        </is>
      </c>
      <c r="C21" s="36" t="inlineStr">
        <is>
          <t>Marks</t>
        </is>
      </c>
      <c r="D21" s="62" t="n"/>
      <c r="E21" s="39" t="n"/>
    </row>
    <row r="22" ht="22" customHeight="1">
      <c r="A22" s="35" t="inlineStr">
        <is>
          <t>Applications of Differentiation to Functions and Graphs (Yr. 2)</t>
        </is>
      </c>
      <c r="B22" s="36" t="inlineStr">
        <is>
          <t>Questions</t>
        </is>
      </c>
      <c r="C22" s="36" t="inlineStr">
        <is>
          <t>Marks</t>
        </is>
      </c>
      <c r="D22" s="62" t="n"/>
      <c r="E22" s="39" t="n"/>
    </row>
    <row r="23" ht="22" customHeight="1">
      <c r="A23" s="35" t="inlineStr">
        <is>
          <t>Implicit Differentiation</t>
        </is>
      </c>
      <c r="B23" s="36" t="inlineStr">
        <is>
          <t>Questions</t>
        </is>
      </c>
      <c r="C23" s="36" t="inlineStr">
        <is>
          <t>Marks</t>
        </is>
      </c>
      <c r="D23" s="62" t="n"/>
      <c r="E23" s="39" t="n"/>
    </row>
    <row r="24" ht="22" customHeight="1">
      <c r="A24" s="35" t="inlineStr">
        <is>
          <t>Product, Quotient and Chain Rules</t>
        </is>
      </c>
      <c r="B24" s="36" t="inlineStr">
        <is>
          <t>Questions</t>
        </is>
      </c>
      <c r="C24" s="36" t="inlineStr">
        <is>
          <t>Marks</t>
        </is>
      </c>
      <c r="D24" s="62" t="n"/>
      <c r="E24" s="39" t="n"/>
    </row>
    <row r="25" ht="22" customHeight="1">
      <c r="A25" s="35" t="inlineStr">
        <is>
          <t>Exponentials and Logarithms, Exponential Growth and Decay</t>
        </is>
      </c>
      <c r="B25" s="36" t="inlineStr">
        <is>
          <t>Questions</t>
        </is>
      </c>
      <c r="C25" s="36" t="inlineStr">
        <is>
          <t>Marks</t>
        </is>
      </c>
      <c r="D25" s="62" t="n"/>
      <c r="E25" s="39" t="n"/>
    </row>
    <row r="26" ht="22" customHeight="1">
      <c r="A26" s="35" t="inlineStr">
        <is>
          <t>Exponentials and Natural Logarithms</t>
        </is>
      </c>
      <c r="B26" s="36" t="inlineStr">
        <is>
          <t>Questions</t>
        </is>
      </c>
      <c r="C26" s="36" t="inlineStr">
        <is>
          <t>Marks</t>
        </is>
      </c>
      <c r="D26" s="62" t="n"/>
      <c r="E26" s="39" t="n"/>
    </row>
    <row r="27" ht="22" customHeight="1">
      <c r="A27" s="35" t="inlineStr">
        <is>
          <t>Integration as the Reverse of Differentiation and Area Under a Curve (Yr. 1)</t>
        </is>
      </c>
      <c r="B27" s="36" t="inlineStr">
        <is>
          <t>Questions</t>
        </is>
      </c>
      <c r="C27" s="36" t="inlineStr">
        <is>
          <t>Marks</t>
        </is>
      </c>
      <c r="D27" s="62" t="n"/>
      <c r="E27" s="39" t="n"/>
    </row>
    <row r="28" ht="22" customHeight="1">
      <c r="A28" s="35" t="inlineStr">
        <is>
          <t>Differential Equations</t>
        </is>
      </c>
      <c r="B28" s="36" t="inlineStr">
        <is>
          <t>Questions</t>
        </is>
      </c>
      <c r="C28" s="36" t="inlineStr">
        <is>
          <t>Marks</t>
        </is>
      </c>
      <c r="D28" s="62" t="n"/>
      <c r="E28" s="39" t="n"/>
    </row>
    <row r="29" ht="22" customHeight="1">
      <c r="A29" s="35" t="inlineStr">
        <is>
          <t>Integration as Inverse of Differentiation and to Find Area Under a Curve (Yr. 2)</t>
        </is>
      </c>
      <c r="B29" s="36" t="inlineStr">
        <is>
          <t>Questions</t>
        </is>
      </c>
      <c r="C29" s="36" t="inlineStr">
        <is>
          <t>Marks</t>
        </is>
      </c>
      <c r="D29" s="62" t="n"/>
      <c r="E29" s="39" t="n"/>
    </row>
    <row r="30" ht="22" customHeight="1">
      <c r="A30" s="35" t="inlineStr">
        <is>
          <t>Integration by Parts</t>
        </is>
      </c>
      <c r="B30" s="36" t="inlineStr">
        <is>
          <t>Questions</t>
        </is>
      </c>
      <c r="C30" s="36" t="inlineStr">
        <is>
          <t>Marks</t>
        </is>
      </c>
      <c r="D30" s="62" t="n"/>
      <c r="E30" s="39" t="n"/>
    </row>
    <row r="31" ht="22" customHeight="1">
      <c r="A31" s="35" t="inlineStr">
        <is>
          <t>Integration by Substitution</t>
        </is>
      </c>
      <c r="B31" s="36" t="inlineStr">
        <is>
          <t>Questions</t>
        </is>
      </c>
      <c r="C31" s="36" t="inlineStr">
        <is>
          <t>Marks</t>
        </is>
      </c>
      <c r="D31" s="62" t="n"/>
      <c r="E31" s="39" t="n"/>
    </row>
    <row r="32" ht="22" customHeight="1">
      <c r="A32" s="35" t="inlineStr">
        <is>
          <t>Numerical Integration</t>
        </is>
      </c>
      <c r="B32" s="36" t="inlineStr">
        <is>
          <t>Questions</t>
        </is>
      </c>
      <c r="C32" s="36" t="inlineStr">
        <is>
          <t>Marks</t>
        </is>
      </c>
      <c r="D32" s="62" t="n"/>
      <c r="E32" s="39" t="n"/>
    </row>
    <row r="33" ht="22" customHeight="1">
      <c r="A33" s="35" t="inlineStr">
        <is>
          <t>Solution of Equations</t>
        </is>
      </c>
      <c r="B33" s="36" t="inlineStr">
        <is>
          <t>Questions</t>
        </is>
      </c>
      <c r="C33" s="36" t="inlineStr">
        <is>
          <t>Marks</t>
        </is>
      </c>
      <c r="D33" s="62" t="n"/>
      <c r="E33" s="39" t="n"/>
    </row>
    <row r="34" ht="22" customHeight="1">
      <c r="A34" s="35" t="inlineStr">
        <is>
          <t>Proof (Yr. 1)</t>
        </is>
      </c>
      <c r="B34" s="36" t="inlineStr">
        <is>
          <t>Questions</t>
        </is>
      </c>
      <c r="C34" s="36" t="inlineStr">
        <is>
          <t>Marks</t>
        </is>
      </c>
      <c r="D34" s="62" t="n"/>
      <c r="E34" s="39" t="n"/>
    </row>
    <row r="35" ht="22" customHeight="1">
      <c r="A35" s="35" t="inlineStr">
        <is>
          <t>Proof (Yr. 2)</t>
        </is>
      </c>
      <c r="B35" s="36" t="inlineStr">
        <is>
          <t>Questions</t>
        </is>
      </c>
      <c r="C35" s="36" t="inlineStr">
        <is>
          <t>Marks</t>
        </is>
      </c>
      <c r="D35" s="62" t="n"/>
      <c r="E35" s="39" t="n"/>
    </row>
    <row r="36" ht="22" customHeight="1">
      <c r="A36" s="35" t="inlineStr">
        <is>
          <t>Binomial Expansions (Yr. 1)</t>
        </is>
      </c>
      <c r="B36" s="36" t="inlineStr">
        <is>
          <t>Questions</t>
        </is>
      </c>
      <c r="C36" s="36" t="inlineStr">
        <is>
          <t>Marks</t>
        </is>
      </c>
      <c r="D36" s="62" t="n"/>
      <c r="E36" s="39" t="n"/>
    </row>
    <row r="37" ht="22" customHeight="1">
      <c r="A37" s="35" t="inlineStr">
        <is>
          <t>Arithmetic Series</t>
        </is>
      </c>
      <c r="B37" s="36" t="inlineStr">
        <is>
          <t>Questions</t>
        </is>
      </c>
      <c r="C37" s="36" t="inlineStr">
        <is>
          <t>Marks</t>
        </is>
      </c>
      <c r="D37" s="62" t="n"/>
      <c r="E37" s="39" t="n"/>
    </row>
    <row r="38" ht="22" customHeight="1">
      <c r="A38" s="35" t="inlineStr">
        <is>
          <t>Binomial Expansions (Yr. 2)</t>
        </is>
      </c>
      <c r="B38" s="36" t="inlineStr">
        <is>
          <t>Questions</t>
        </is>
      </c>
      <c r="C38" s="36" t="inlineStr">
        <is>
          <t>Marks</t>
        </is>
      </c>
      <c r="D38" s="62" t="n"/>
      <c r="E38" s="39" t="n"/>
    </row>
    <row r="39" ht="22" customHeight="1">
      <c r="A39" s="35" t="inlineStr">
        <is>
          <t>Geometric Series</t>
        </is>
      </c>
      <c r="B39" s="36" t="inlineStr">
        <is>
          <t>Questions</t>
        </is>
      </c>
      <c r="C39" s="36" t="inlineStr">
        <is>
          <t>Marks</t>
        </is>
      </c>
      <c r="D39" s="62" t="n"/>
      <c r="E39" s="39" t="n"/>
    </row>
    <row r="40" ht="22" customHeight="1">
      <c r="A40" s="35" t="inlineStr">
        <is>
          <t>Sequences</t>
        </is>
      </c>
      <c r="B40" s="36" t="inlineStr">
        <is>
          <t>Questions</t>
        </is>
      </c>
      <c r="C40" s="36" t="inlineStr">
        <is>
          <t>Marks</t>
        </is>
      </c>
      <c r="D40" s="62" t="n"/>
      <c r="E40" s="39" t="n"/>
    </row>
    <row r="41" ht="22" customHeight="1">
      <c r="A41" s="35" t="inlineStr">
        <is>
          <t>Area of Triangles - Sine and Cosine Rules</t>
        </is>
      </c>
      <c r="B41" s="36" t="inlineStr">
        <is>
          <t>Questions</t>
        </is>
      </c>
      <c r="C41" s="36" t="inlineStr">
        <is>
          <t>Marks</t>
        </is>
      </c>
      <c r="D41" s="62" t="n"/>
      <c r="E41" s="39" t="n"/>
    </row>
    <row r="42" ht="22" customHeight="1">
      <c r="A42" s="35" t="inlineStr">
        <is>
          <t>Equations</t>
        </is>
      </c>
      <c r="B42" s="36" t="inlineStr">
        <is>
          <t>Questions</t>
        </is>
      </c>
      <c r="C42" s="36" t="inlineStr">
        <is>
          <t>Marks</t>
        </is>
      </c>
      <c r="D42" s="62" t="n"/>
      <c r="E42" s="39" t="n"/>
    </row>
    <row r="43" ht="22" customHeight="1">
      <c r="A43" s="35" t="inlineStr">
        <is>
          <t>Identities</t>
        </is>
      </c>
      <c r="B43" s="36" t="inlineStr">
        <is>
          <t>Questions</t>
        </is>
      </c>
      <c r="C43" s="36" t="inlineStr">
        <is>
          <t>Marks</t>
        </is>
      </c>
      <c r="D43" s="62" t="n"/>
      <c r="E43" s="39" t="n"/>
    </row>
    <row r="44" ht="22" customHeight="1">
      <c r="A44" s="35" t="inlineStr">
        <is>
          <t>Compound Angle Formulae</t>
        </is>
      </c>
      <c r="B44" s="36" t="inlineStr">
        <is>
          <t>Questions</t>
        </is>
      </c>
      <c r="C44" s="36" t="inlineStr">
        <is>
          <t>Marks</t>
        </is>
      </c>
      <c r="D44" s="62" t="n"/>
      <c r="E44" s="39" t="n"/>
    </row>
    <row r="45" ht="22" customHeight="1">
      <c r="A45" s="35" t="inlineStr">
        <is>
          <t>Proofs and Problems</t>
        </is>
      </c>
      <c r="B45" s="36" t="inlineStr">
        <is>
          <t>Questions</t>
        </is>
      </c>
      <c r="C45" s="36" t="inlineStr">
        <is>
          <t>Marks</t>
        </is>
      </c>
      <c r="D45" s="62" t="n"/>
      <c r="E45" s="39" t="n"/>
    </row>
    <row r="46" ht="22" customHeight="1">
      <c r="A46" s="35" t="inlineStr">
        <is>
          <t>Radians</t>
        </is>
      </c>
      <c r="B46" s="36" t="inlineStr">
        <is>
          <t>Questions</t>
        </is>
      </c>
      <c r="C46" s="36" t="inlineStr">
        <is>
          <t>Marks</t>
        </is>
      </c>
      <c r="D46" s="62" t="n"/>
      <c r="E46" s="39" t="n"/>
    </row>
    <row r="47" ht="22" customHeight="1">
      <c r="A47" s="35" t="inlineStr">
        <is>
          <t>Secant, Cosecant, Cotangent</t>
        </is>
      </c>
      <c r="B47" s="36" t="inlineStr">
        <is>
          <t>Questions</t>
        </is>
      </c>
      <c r="C47" s="36" t="inlineStr">
        <is>
          <t>Marks</t>
        </is>
      </c>
      <c r="D47" s="62" t="n"/>
      <c r="E47" s="39" t="n"/>
    </row>
    <row r="48" ht="22" customHeight="1">
      <c r="A48" s="35" t="inlineStr">
        <is>
          <t>Vectors (Yr. 1)</t>
        </is>
      </c>
      <c r="B48" s="36" t="inlineStr">
        <is>
          <t>Questions</t>
        </is>
      </c>
      <c r="C48" s="36" t="inlineStr">
        <is>
          <t>Marks</t>
        </is>
      </c>
      <c r="D48" s="62" t="n"/>
      <c r="E48" s="39" t="n"/>
    </row>
    <row r="49" ht="22" customHeight="1">
      <c r="A49" s="35" t="inlineStr">
        <is>
          <t>Vectors (Yr. 2)</t>
        </is>
      </c>
      <c r="B49" s="36" t="inlineStr">
        <is>
          <t>Questions</t>
        </is>
      </c>
      <c r="C49" s="36" t="inlineStr">
        <is>
          <t>Marks</t>
        </is>
      </c>
      <c r="D49" s="62" t="n"/>
      <c r="E49" s="39" t="n"/>
    </row>
    <row r="50" ht="10" customHeight="1"/>
    <row r="51" ht="26" customHeight="1">
      <c r="A51" s="63" t="inlineStr">
        <is>
          <t>Statistics  ·  Paper 2</t>
        </is>
      </c>
      <c r="B51" s="64" t="n"/>
      <c r="C51" s="64" t="n"/>
      <c r="D51" s="64" t="n"/>
      <c r="E51" s="64" t="n"/>
    </row>
    <row r="52" ht="22" customHeight="1">
      <c r="A52" s="35" t="inlineStr">
        <is>
          <t>Data Presentation and Interpretation</t>
        </is>
      </c>
      <c r="B52" s="36" t="inlineStr">
        <is>
          <t>Questions</t>
        </is>
      </c>
      <c r="C52" s="36" t="inlineStr">
        <is>
          <t>Marks</t>
        </is>
      </c>
      <c r="D52" s="62" t="n"/>
      <c r="E52" s="39" t="n"/>
    </row>
    <row r="53" ht="22" customHeight="1">
      <c r="A53" s="35" t="inlineStr">
        <is>
          <t>Hypothesis Testing for Binomial Probabilities</t>
        </is>
      </c>
      <c r="B53" s="36" t="inlineStr">
        <is>
          <t>Questions</t>
        </is>
      </c>
      <c r="C53" s="36" t="inlineStr">
        <is>
          <t>Marks</t>
        </is>
      </c>
      <c r="D53" s="62" t="n"/>
      <c r="E53" s="39" t="n"/>
    </row>
    <row r="54" ht="22" customHeight="1">
      <c r="A54" s="35" t="inlineStr">
        <is>
          <t>Hypothesis Testing for Correlation and Association</t>
        </is>
      </c>
      <c r="B54" s="36" t="inlineStr">
        <is>
          <t>Questions</t>
        </is>
      </c>
      <c r="C54" s="36" t="inlineStr">
        <is>
          <t>Marks</t>
        </is>
      </c>
      <c r="D54" s="62" t="n"/>
      <c r="E54" s="39" t="n"/>
    </row>
    <row r="55" ht="22" customHeight="1">
      <c r="A55" s="35" t="inlineStr">
        <is>
          <t>Hypothesis Testing for Normal Mean</t>
        </is>
      </c>
      <c r="B55" s="36" t="inlineStr">
        <is>
          <t>Questions</t>
        </is>
      </c>
      <c r="C55" s="36" t="inlineStr">
        <is>
          <t>Marks</t>
        </is>
      </c>
      <c r="D55" s="62" t="n"/>
      <c r="E55" s="39" t="n"/>
    </row>
    <row r="56" ht="22" customHeight="1">
      <c r="A56" s="35" t="inlineStr">
        <is>
          <t>Probability (Yr. 1)</t>
        </is>
      </c>
      <c r="B56" s="36" t="inlineStr">
        <is>
          <t>Questions</t>
        </is>
      </c>
      <c r="C56" s="36" t="inlineStr">
        <is>
          <t>Marks</t>
        </is>
      </c>
      <c r="D56" s="62" t="n"/>
      <c r="E56" s="39" t="n"/>
    </row>
    <row r="57" ht="22" customHeight="1">
      <c r="A57" s="35" t="inlineStr">
        <is>
          <t>Probability (Yr. 2)</t>
        </is>
      </c>
      <c r="B57" s="36" t="inlineStr">
        <is>
          <t>Questions</t>
        </is>
      </c>
      <c r="C57" s="36" t="inlineStr">
        <is>
          <t>Marks</t>
        </is>
      </c>
      <c r="D57" s="62" t="n"/>
      <c r="E57" s="39" t="n"/>
    </row>
    <row r="58" ht="22" customHeight="1">
      <c r="A58" s="35" t="inlineStr">
        <is>
          <t>Binomial Distribution</t>
        </is>
      </c>
      <c r="B58" s="36" t="inlineStr">
        <is>
          <t>Questions</t>
        </is>
      </c>
      <c r="C58" s="36" t="inlineStr">
        <is>
          <t>Marks</t>
        </is>
      </c>
      <c r="D58" s="62" t="n"/>
      <c r="E58" s="39" t="n"/>
    </row>
    <row r="59" ht="22" customHeight="1">
      <c r="A59" s="35" t="inlineStr">
        <is>
          <t>Discrete Probability Distributions</t>
        </is>
      </c>
      <c r="B59" s="36" t="inlineStr">
        <is>
          <t>Questions</t>
        </is>
      </c>
      <c r="C59" s="36" t="inlineStr">
        <is>
          <t>Marks</t>
        </is>
      </c>
      <c r="D59" s="62" t="n"/>
      <c r="E59" s="39" t="n"/>
    </row>
    <row r="60" ht="22" customHeight="1">
      <c r="A60" s="35" t="inlineStr">
        <is>
          <t>Normal Distribution</t>
        </is>
      </c>
      <c r="B60" s="36" t="inlineStr">
        <is>
          <t>Questions</t>
        </is>
      </c>
      <c r="C60" s="36" t="inlineStr">
        <is>
          <t>Marks</t>
        </is>
      </c>
      <c r="D60" s="62" t="n"/>
      <c r="E60" s="39" t="n"/>
    </row>
    <row r="61" ht="22" customHeight="1">
      <c r="A61" s="35" t="inlineStr">
        <is>
          <t>Sampling</t>
        </is>
      </c>
      <c r="B61" s="36" t="inlineStr">
        <is>
          <t>Questions</t>
        </is>
      </c>
      <c r="C61" s="36" t="inlineStr">
        <is>
          <t>Marks</t>
        </is>
      </c>
      <c r="D61" s="62" t="n"/>
      <c r="E61" s="39" t="n"/>
    </row>
    <row r="62" ht="10" customHeight="1"/>
    <row r="63" ht="26" customHeight="1">
      <c r="A63" s="65" t="inlineStr">
        <is>
          <t>Mechanics  ·  Paper 1</t>
        </is>
      </c>
      <c r="B63" s="66" t="n"/>
      <c r="C63" s="66" t="n"/>
      <c r="D63" s="66" t="n"/>
      <c r="E63" s="66" t="n"/>
    </row>
    <row r="64" ht="22" customHeight="1">
      <c r="A64" s="35" t="inlineStr">
        <is>
          <t>Forces</t>
        </is>
      </c>
      <c r="B64" s="36" t="inlineStr">
        <is>
          <t>Questions</t>
        </is>
      </c>
      <c r="C64" s="36" t="inlineStr">
        <is>
          <t>Marks</t>
        </is>
      </c>
      <c r="D64" s="62" t="n"/>
      <c r="E64" s="39" t="n"/>
    </row>
    <row r="65" ht="22" customHeight="1">
      <c r="A65" s="35" t="inlineStr">
        <is>
          <t>Newton's Laws of Motion (Yr. 1)</t>
        </is>
      </c>
      <c r="B65" s="36" t="inlineStr">
        <is>
          <t>Questions</t>
        </is>
      </c>
      <c r="C65" s="36" t="inlineStr">
        <is>
          <t>Marks</t>
        </is>
      </c>
      <c r="D65" s="62" t="n"/>
      <c r="E65" s="39" t="n"/>
    </row>
    <row r="66" ht="22" customHeight="1">
      <c r="A66" s="35" t="inlineStr">
        <is>
          <t>Frictional Force and Normal Contact Force</t>
        </is>
      </c>
      <c r="B66" s="36" t="inlineStr">
        <is>
          <t>Questions</t>
        </is>
      </c>
      <c r="C66" s="36" t="inlineStr">
        <is>
          <t>Marks</t>
        </is>
      </c>
      <c r="D66" s="62" t="n"/>
      <c r="E66" s="39" t="n"/>
    </row>
    <row r="67" ht="22" customHeight="1">
      <c r="A67" s="35" t="inlineStr">
        <is>
          <t>Newton's Laws of Motion (Yr. 2)</t>
        </is>
      </c>
      <c r="B67" s="36" t="inlineStr">
        <is>
          <t>Questions</t>
        </is>
      </c>
      <c r="C67" s="36" t="inlineStr">
        <is>
          <t>Marks</t>
        </is>
      </c>
      <c r="D67" s="62" t="n"/>
      <c r="E67" s="39" t="n"/>
    </row>
    <row r="68" ht="22" customHeight="1">
      <c r="A68" s="35" t="inlineStr">
        <is>
          <t>Rigid Bodies in Equilibrium</t>
        </is>
      </c>
      <c r="B68" s="36" t="inlineStr">
        <is>
          <t>Questions</t>
        </is>
      </c>
      <c r="C68" s="36" t="inlineStr">
        <is>
          <t>Marks</t>
        </is>
      </c>
      <c r="D68" s="62" t="n"/>
      <c r="E68" s="39" t="n"/>
    </row>
    <row r="69" ht="22" customHeight="1">
      <c r="A69" s="35" t="inlineStr">
        <is>
          <t>Vector Treatment of Forces</t>
        </is>
      </c>
      <c r="B69" s="36" t="inlineStr">
        <is>
          <t>Questions</t>
        </is>
      </c>
      <c r="C69" s="36" t="inlineStr">
        <is>
          <t>Marks</t>
        </is>
      </c>
      <c r="D69" s="62" t="n"/>
      <c r="E69" s="39" t="n"/>
    </row>
    <row r="70" ht="22" customHeight="1">
      <c r="A70" s="35" t="inlineStr">
        <is>
          <t>Calculus in Kinematics</t>
        </is>
      </c>
      <c r="B70" s="36" t="inlineStr">
        <is>
          <t>Questions</t>
        </is>
      </c>
      <c r="C70" s="36" t="inlineStr">
        <is>
          <t>Marks</t>
        </is>
      </c>
      <c r="D70" s="62" t="n"/>
      <c r="E70" s="39" t="n"/>
    </row>
    <row r="71" ht="22" customHeight="1">
      <c r="A71" s="35" t="inlineStr">
        <is>
          <t>Motion in 1 Dimension, Kinematics Graphs and Constant Acceleration Formulae</t>
        </is>
      </c>
      <c r="B71" s="36" t="inlineStr">
        <is>
          <t>Questions</t>
        </is>
      </c>
      <c r="C71" s="36" t="inlineStr">
        <is>
          <t>Marks</t>
        </is>
      </c>
      <c r="D71" s="62" t="n"/>
      <c r="E71" s="39" t="n"/>
    </row>
    <row r="72" ht="22" customHeight="1">
      <c r="A72" s="35" t="inlineStr">
        <is>
          <t>Motion Under Gravity in Two Dimensions</t>
        </is>
      </c>
      <c r="B72" s="36" t="inlineStr">
        <is>
          <t>Questions</t>
        </is>
      </c>
      <c r="C72" s="36" t="inlineStr">
        <is>
          <t>Marks</t>
        </is>
      </c>
      <c r="D72" s="62" t="n"/>
      <c r="E72" s="39" t="n"/>
    </row>
    <row r="73" ht="22" customHeight="1">
      <c r="A73" s="35" t="inlineStr">
        <is>
          <t>Motion in 2 Dimensions</t>
        </is>
      </c>
      <c r="B73" s="36" t="inlineStr">
        <is>
          <t>Questions</t>
        </is>
      </c>
      <c r="C73" s="36" t="inlineStr">
        <is>
          <t>Marks</t>
        </is>
      </c>
      <c r="D73" s="62" t="n"/>
      <c r="E73" s="39" t="n"/>
    </row>
  </sheetData>
  <conditionalFormatting sqref="D5:D73">
    <cfRule type="cellIs" priority="1" operator="equal" dxfId="2">
      <formula>"Done"</formula>
    </cfRule>
    <cfRule type="cellIs" priority="2" operator="equal" dxfId="1">
      <formula>"Started"</formula>
    </cfRule>
  </conditionalFormatting>
  <dataValidations count="1">
    <dataValidation sqref="D5:D73" showDropDown="0" showInputMessage="0" showErrorMessage="0" allowBlank="1" type="list">
      <formula1>"Done,Started"</formula1>
    </dataValidation>
  </dataValidations>
  <hyperlinks>
    <hyperlink xmlns:r="http://schemas.openxmlformats.org/officeDocument/2006/relationships" ref="B7" r:id="rId1"/>
    <hyperlink xmlns:r="http://schemas.openxmlformats.org/officeDocument/2006/relationships" ref="C7" r:id="rId2"/>
    <hyperlink xmlns:r="http://schemas.openxmlformats.org/officeDocument/2006/relationships" ref="B8" r:id="rId3"/>
    <hyperlink xmlns:r="http://schemas.openxmlformats.org/officeDocument/2006/relationships" ref="C8" r:id="rId4"/>
    <hyperlink xmlns:r="http://schemas.openxmlformats.org/officeDocument/2006/relationships" ref="B9" r:id="rId5"/>
    <hyperlink xmlns:r="http://schemas.openxmlformats.org/officeDocument/2006/relationships" ref="C9" r:id="rId6"/>
    <hyperlink xmlns:r="http://schemas.openxmlformats.org/officeDocument/2006/relationships" ref="B10" r:id="rId7"/>
    <hyperlink xmlns:r="http://schemas.openxmlformats.org/officeDocument/2006/relationships" ref="C10" r:id="rId8"/>
    <hyperlink xmlns:r="http://schemas.openxmlformats.org/officeDocument/2006/relationships" ref="B11" r:id="rId9"/>
    <hyperlink xmlns:r="http://schemas.openxmlformats.org/officeDocument/2006/relationships" ref="C11" r:id="rId10"/>
    <hyperlink xmlns:r="http://schemas.openxmlformats.org/officeDocument/2006/relationships" ref="B12" r:id="rId11"/>
    <hyperlink xmlns:r="http://schemas.openxmlformats.org/officeDocument/2006/relationships" ref="C12" r:id="rId12"/>
    <hyperlink xmlns:r="http://schemas.openxmlformats.org/officeDocument/2006/relationships" ref="B13" r:id="rId13"/>
    <hyperlink xmlns:r="http://schemas.openxmlformats.org/officeDocument/2006/relationships" ref="C13" r:id="rId14"/>
    <hyperlink xmlns:r="http://schemas.openxmlformats.org/officeDocument/2006/relationships" ref="B14" r:id="rId15"/>
    <hyperlink xmlns:r="http://schemas.openxmlformats.org/officeDocument/2006/relationships" ref="C14" r:id="rId16"/>
    <hyperlink xmlns:r="http://schemas.openxmlformats.org/officeDocument/2006/relationships" ref="B15" r:id="rId17"/>
    <hyperlink xmlns:r="http://schemas.openxmlformats.org/officeDocument/2006/relationships" ref="C15" r:id="rId18"/>
    <hyperlink xmlns:r="http://schemas.openxmlformats.org/officeDocument/2006/relationships" ref="B16" r:id="rId19"/>
    <hyperlink xmlns:r="http://schemas.openxmlformats.org/officeDocument/2006/relationships" ref="C16" r:id="rId20"/>
    <hyperlink xmlns:r="http://schemas.openxmlformats.org/officeDocument/2006/relationships" ref="B17" r:id="rId21"/>
    <hyperlink xmlns:r="http://schemas.openxmlformats.org/officeDocument/2006/relationships" ref="C17" r:id="rId22"/>
    <hyperlink xmlns:r="http://schemas.openxmlformats.org/officeDocument/2006/relationships" ref="B18" r:id="rId23"/>
    <hyperlink xmlns:r="http://schemas.openxmlformats.org/officeDocument/2006/relationships" ref="C18" r:id="rId24"/>
    <hyperlink xmlns:r="http://schemas.openxmlformats.org/officeDocument/2006/relationships" ref="B19" r:id="rId25"/>
    <hyperlink xmlns:r="http://schemas.openxmlformats.org/officeDocument/2006/relationships" ref="C19" r:id="rId26"/>
    <hyperlink xmlns:r="http://schemas.openxmlformats.org/officeDocument/2006/relationships" ref="B20" r:id="rId27"/>
    <hyperlink xmlns:r="http://schemas.openxmlformats.org/officeDocument/2006/relationships" ref="C20" r:id="rId28"/>
    <hyperlink xmlns:r="http://schemas.openxmlformats.org/officeDocument/2006/relationships" ref="B21" r:id="rId29"/>
    <hyperlink xmlns:r="http://schemas.openxmlformats.org/officeDocument/2006/relationships" ref="C21" r:id="rId30"/>
    <hyperlink xmlns:r="http://schemas.openxmlformats.org/officeDocument/2006/relationships" ref="B22" r:id="rId31"/>
    <hyperlink xmlns:r="http://schemas.openxmlformats.org/officeDocument/2006/relationships" ref="C22" r:id="rId32"/>
    <hyperlink xmlns:r="http://schemas.openxmlformats.org/officeDocument/2006/relationships" ref="B23" r:id="rId33"/>
    <hyperlink xmlns:r="http://schemas.openxmlformats.org/officeDocument/2006/relationships" ref="C23" r:id="rId34"/>
    <hyperlink xmlns:r="http://schemas.openxmlformats.org/officeDocument/2006/relationships" ref="B24" r:id="rId35"/>
    <hyperlink xmlns:r="http://schemas.openxmlformats.org/officeDocument/2006/relationships" ref="C24" r:id="rId36"/>
    <hyperlink xmlns:r="http://schemas.openxmlformats.org/officeDocument/2006/relationships" ref="B25" r:id="rId37"/>
    <hyperlink xmlns:r="http://schemas.openxmlformats.org/officeDocument/2006/relationships" ref="C25" r:id="rId38"/>
    <hyperlink xmlns:r="http://schemas.openxmlformats.org/officeDocument/2006/relationships" ref="B26" r:id="rId39"/>
    <hyperlink xmlns:r="http://schemas.openxmlformats.org/officeDocument/2006/relationships" ref="C26" r:id="rId40"/>
    <hyperlink xmlns:r="http://schemas.openxmlformats.org/officeDocument/2006/relationships" ref="B27" r:id="rId41"/>
    <hyperlink xmlns:r="http://schemas.openxmlformats.org/officeDocument/2006/relationships" ref="C27" r:id="rId42"/>
    <hyperlink xmlns:r="http://schemas.openxmlformats.org/officeDocument/2006/relationships" ref="B28" r:id="rId43"/>
    <hyperlink xmlns:r="http://schemas.openxmlformats.org/officeDocument/2006/relationships" ref="C28" r:id="rId44"/>
    <hyperlink xmlns:r="http://schemas.openxmlformats.org/officeDocument/2006/relationships" ref="B29" r:id="rId45"/>
    <hyperlink xmlns:r="http://schemas.openxmlformats.org/officeDocument/2006/relationships" ref="C29" r:id="rId46"/>
    <hyperlink xmlns:r="http://schemas.openxmlformats.org/officeDocument/2006/relationships" ref="B30" r:id="rId47"/>
    <hyperlink xmlns:r="http://schemas.openxmlformats.org/officeDocument/2006/relationships" ref="C30" r:id="rId48"/>
    <hyperlink xmlns:r="http://schemas.openxmlformats.org/officeDocument/2006/relationships" ref="B31" r:id="rId49"/>
    <hyperlink xmlns:r="http://schemas.openxmlformats.org/officeDocument/2006/relationships" ref="C31" r:id="rId50"/>
    <hyperlink xmlns:r="http://schemas.openxmlformats.org/officeDocument/2006/relationships" ref="B32" r:id="rId51"/>
    <hyperlink xmlns:r="http://schemas.openxmlformats.org/officeDocument/2006/relationships" ref="C32" r:id="rId52"/>
    <hyperlink xmlns:r="http://schemas.openxmlformats.org/officeDocument/2006/relationships" ref="B33" r:id="rId53"/>
    <hyperlink xmlns:r="http://schemas.openxmlformats.org/officeDocument/2006/relationships" ref="C33" r:id="rId54"/>
    <hyperlink xmlns:r="http://schemas.openxmlformats.org/officeDocument/2006/relationships" ref="B34" r:id="rId55"/>
    <hyperlink xmlns:r="http://schemas.openxmlformats.org/officeDocument/2006/relationships" ref="C34" r:id="rId56"/>
    <hyperlink xmlns:r="http://schemas.openxmlformats.org/officeDocument/2006/relationships" ref="B35" r:id="rId57"/>
    <hyperlink xmlns:r="http://schemas.openxmlformats.org/officeDocument/2006/relationships" ref="C35" r:id="rId58"/>
    <hyperlink xmlns:r="http://schemas.openxmlformats.org/officeDocument/2006/relationships" ref="B36" r:id="rId59"/>
    <hyperlink xmlns:r="http://schemas.openxmlformats.org/officeDocument/2006/relationships" ref="C36" r:id="rId60"/>
    <hyperlink xmlns:r="http://schemas.openxmlformats.org/officeDocument/2006/relationships" ref="B37" r:id="rId61"/>
    <hyperlink xmlns:r="http://schemas.openxmlformats.org/officeDocument/2006/relationships" ref="C37" r:id="rId62"/>
    <hyperlink xmlns:r="http://schemas.openxmlformats.org/officeDocument/2006/relationships" ref="B38" r:id="rId63"/>
    <hyperlink xmlns:r="http://schemas.openxmlformats.org/officeDocument/2006/relationships" ref="C38" r:id="rId64"/>
    <hyperlink xmlns:r="http://schemas.openxmlformats.org/officeDocument/2006/relationships" ref="B39" r:id="rId65"/>
    <hyperlink xmlns:r="http://schemas.openxmlformats.org/officeDocument/2006/relationships" ref="C39" r:id="rId66"/>
    <hyperlink xmlns:r="http://schemas.openxmlformats.org/officeDocument/2006/relationships" ref="B40" r:id="rId67"/>
    <hyperlink xmlns:r="http://schemas.openxmlformats.org/officeDocument/2006/relationships" ref="C40" r:id="rId68"/>
    <hyperlink xmlns:r="http://schemas.openxmlformats.org/officeDocument/2006/relationships" ref="B41" r:id="rId69"/>
    <hyperlink xmlns:r="http://schemas.openxmlformats.org/officeDocument/2006/relationships" ref="C41" r:id="rId70"/>
    <hyperlink xmlns:r="http://schemas.openxmlformats.org/officeDocument/2006/relationships" ref="B42" r:id="rId71"/>
    <hyperlink xmlns:r="http://schemas.openxmlformats.org/officeDocument/2006/relationships" ref="C42" r:id="rId72"/>
    <hyperlink xmlns:r="http://schemas.openxmlformats.org/officeDocument/2006/relationships" ref="B43" r:id="rId73"/>
    <hyperlink xmlns:r="http://schemas.openxmlformats.org/officeDocument/2006/relationships" ref="C43" r:id="rId74"/>
    <hyperlink xmlns:r="http://schemas.openxmlformats.org/officeDocument/2006/relationships" ref="B44" r:id="rId75"/>
    <hyperlink xmlns:r="http://schemas.openxmlformats.org/officeDocument/2006/relationships" ref="C44" r:id="rId76"/>
    <hyperlink xmlns:r="http://schemas.openxmlformats.org/officeDocument/2006/relationships" ref="B45" r:id="rId77"/>
    <hyperlink xmlns:r="http://schemas.openxmlformats.org/officeDocument/2006/relationships" ref="C45" r:id="rId78"/>
    <hyperlink xmlns:r="http://schemas.openxmlformats.org/officeDocument/2006/relationships" ref="B46" r:id="rId79"/>
    <hyperlink xmlns:r="http://schemas.openxmlformats.org/officeDocument/2006/relationships" ref="C46" r:id="rId80"/>
    <hyperlink xmlns:r="http://schemas.openxmlformats.org/officeDocument/2006/relationships" ref="B47" r:id="rId81"/>
    <hyperlink xmlns:r="http://schemas.openxmlformats.org/officeDocument/2006/relationships" ref="C47" r:id="rId82"/>
    <hyperlink xmlns:r="http://schemas.openxmlformats.org/officeDocument/2006/relationships" ref="B48" r:id="rId83"/>
    <hyperlink xmlns:r="http://schemas.openxmlformats.org/officeDocument/2006/relationships" ref="C48" r:id="rId84"/>
    <hyperlink xmlns:r="http://schemas.openxmlformats.org/officeDocument/2006/relationships" ref="B49" r:id="rId85"/>
    <hyperlink xmlns:r="http://schemas.openxmlformats.org/officeDocument/2006/relationships" ref="C49" r:id="rId86"/>
    <hyperlink xmlns:r="http://schemas.openxmlformats.org/officeDocument/2006/relationships" ref="B52" r:id="rId87"/>
    <hyperlink xmlns:r="http://schemas.openxmlformats.org/officeDocument/2006/relationships" ref="C52" r:id="rId88"/>
    <hyperlink xmlns:r="http://schemas.openxmlformats.org/officeDocument/2006/relationships" ref="B53" r:id="rId89"/>
    <hyperlink xmlns:r="http://schemas.openxmlformats.org/officeDocument/2006/relationships" ref="C53" r:id="rId90"/>
    <hyperlink xmlns:r="http://schemas.openxmlformats.org/officeDocument/2006/relationships" ref="B54" r:id="rId91"/>
    <hyperlink xmlns:r="http://schemas.openxmlformats.org/officeDocument/2006/relationships" ref="C54" r:id="rId92"/>
    <hyperlink xmlns:r="http://schemas.openxmlformats.org/officeDocument/2006/relationships" ref="B55" r:id="rId93"/>
    <hyperlink xmlns:r="http://schemas.openxmlformats.org/officeDocument/2006/relationships" ref="C55" r:id="rId94"/>
    <hyperlink xmlns:r="http://schemas.openxmlformats.org/officeDocument/2006/relationships" ref="B56" r:id="rId95"/>
    <hyperlink xmlns:r="http://schemas.openxmlformats.org/officeDocument/2006/relationships" ref="C56" r:id="rId96"/>
    <hyperlink xmlns:r="http://schemas.openxmlformats.org/officeDocument/2006/relationships" ref="B57" r:id="rId97"/>
    <hyperlink xmlns:r="http://schemas.openxmlformats.org/officeDocument/2006/relationships" ref="C57" r:id="rId98"/>
    <hyperlink xmlns:r="http://schemas.openxmlformats.org/officeDocument/2006/relationships" ref="B58" r:id="rId99"/>
    <hyperlink xmlns:r="http://schemas.openxmlformats.org/officeDocument/2006/relationships" ref="C58" r:id="rId100"/>
    <hyperlink xmlns:r="http://schemas.openxmlformats.org/officeDocument/2006/relationships" ref="B59" r:id="rId101"/>
    <hyperlink xmlns:r="http://schemas.openxmlformats.org/officeDocument/2006/relationships" ref="C59" r:id="rId102"/>
    <hyperlink xmlns:r="http://schemas.openxmlformats.org/officeDocument/2006/relationships" ref="B60" r:id="rId103"/>
    <hyperlink xmlns:r="http://schemas.openxmlformats.org/officeDocument/2006/relationships" ref="C60" r:id="rId104"/>
    <hyperlink xmlns:r="http://schemas.openxmlformats.org/officeDocument/2006/relationships" ref="B61" r:id="rId105"/>
    <hyperlink xmlns:r="http://schemas.openxmlformats.org/officeDocument/2006/relationships" ref="C61" r:id="rId106"/>
    <hyperlink xmlns:r="http://schemas.openxmlformats.org/officeDocument/2006/relationships" ref="B64" r:id="rId107"/>
    <hyperlink xmlns:r="http://schemas.openxmlformats.org/officeDocument/2006/relationships" ref="C64" r:id="rId108"/>
    <hyperlink xmlns:r="http://schemas.openxmlformats.org/officeDocument/2006/relationships" ref="B65" r:id="rId109"/>
    <hyperlink xmlns:r="http://schemas.openxmlformats.org/officeDocument/2006/relationships" ref="C65" r:id="rId110"/>
    <hyperlink xmlns:r="http://schemas.openxmlformats.org/officeDocument/2006/relationships" ref="B66" r:id="rId111"/>
    <hyperlink xmlns:r="http://schemas.openxmlformats.org/officeDocument/2006/relationships" ref="C66" r:id="rId112"/>
    <hyperlink xmlns:r="http://schemas.openxmlformats.org/officeDocument/2006/relationships" ref="B67" r:id="rId113"/>
    <hyperlink xmlns:r="http://schemas.openxmlformats.org/officeDocument/2006/relationships" ref="C67" r:id="rId114"/>
    <hyperlink xmlns:r="http://schemas.openxmlformats.org/officeDocument/2006/relationships" ref="B68" r:id="rId115"/>
    <hyperlink xmlns:r="http://schemas.openxmlformats.org/officeDocument/2006/relationships" ref="C68" r:id="rId116"/>
    <hyperlink xmlns:r="http://schemas.openxmlformats.org/officeDocument/2006/relationships" ref="B69" r:id="rId117"/>
    <hyperlink xmlns:r="http://schemas.openxmlformats.org/officeDocument/2006/relationships" ref="C69" r:id="rId118"/>
    <hyperlink xmlns:r="http://schemas.openxmlformats.org/officeDocument/2006/relationships" ref="B70" r:id="rId119"/>
    <hyperlink xmlns:r="http://schemas.openxmlformats.org/officeDocument/2006/relationships" ref="C70" r:id="rId120"/>
    <hyperlink xmlns:r="http://schemas.openxmlformats.org/officeDocument/2006/relationships" ref="B71" r:id="rId121"/>
    <hyperlink xmlns:r="http://schemas.openxmlformats.org/officeDocument/2006/relationships" ref="C71" r:id="rId122"/>
    <hyperlink xmlns:r="http://schemas.openxmlformats.org/officeDocument/2006/relationships" ref="B72" r:id="rId123"/>
    <hyperlink xmlns:r="http://schemas.openxmlformats.org/officeDocument/2006/relationships" ref="C72" r:id="rId124"/>
    <hyperlink xmlns:r="http://schemas.openxmlformats.org/officeDocument/2006/relationships" ref="B73" r:id="rId125"/>
    <hyperlink xmlns:r="http://schemas.openxmlformats.org/officeDocument/2006/relationships" ref="C73" r:id="rId126"/>
  </hyperlinks>
  <pageMargins left="0.75" right="0.75" top="1" bottom="1" header="0.5" footer="0.5"/>
  <pageSetup fitToHeight="0" fitToWidth="1"/>
</worksheet>
</file>

<file path=xl/worksheets/sheet6.xml><?xml version="1.0" encoding="utf-8"?>
<worksheet xmlns="http://schemas.openxmlformats.org/spreadsheetml/2006/main">
  <sheetPr>
    <tabColor rgb="001E6B3A"/>
    <outlinePr summaryBelow="1" summaryRight="1"/>
    <pageSetUpPr fitToPage="1"/>
  </sheetPr>
  <dimension ref="A1:H55"/>
  <sheetViews>
    <sheetView showGridLines="0" zoomScale="110" workbookViewId="0">
      <selection activeCell="A1" sqref="A1"/>
    </sheetView>
  </sheetViews>
  <sheetFormatPr baseColWidth="8" defaultRowHeight="15"/>
  <cols>
    <col width="44" customWidth="1" min="1" max="1"/>
    <col width="12" customWidth="1" min="2" max="2"/>
    <col width="11" customWidth="1" min="3" max="3"/>
    <col width="11" customWidth="1" min="4" max="4"/>
    <col width="11" customWidth="1" min="5" max="5"/>
    <col width="11" customWidth="1" min="6" max="6"/>
    <col width="11" customWidth="1" min="7" max="7"/>
    <col width="11" customWidth="1" min="8" max="8"/>
    <col width="4" customWidth="1" min="9" max="9"/>
  </cols>
  <sheetData>
    <row r="1" ht="34" customHeight="1">
      <c r="A1" s="57" t="inlineStr">
        <is>
          <t>Progress</t>
        </is>
      </c>
    </row>
    <row r="2">
      <c r="A2" s="20" t="inlineStr">
        <is>
          <t>This page fills itself in from your ratings. Nothing to type here except the yellow cells, if you want to change them.</t>
        </is>
      </c>
    </row>
    <row r="4" ht="44" customHeight="1">
      <c r="A4" s="67">
        <f>TEXT((COUNTIFS('Pure'!$D$7:$D$181,"R",'Pure'!$C$7:$C$181,"&gt;0")+COUNTIFS('Statistics'!$D$7:$D$67,"R",'Statistics'!$C$7:$C$67,"&gt;0")+COUNTIFS('Mechanics'!$D$7:$D$65,"R",'Mechanics'!$C$7:$C$65,"&gt;0")+COUNTIFS('Pure'!$D$7:$D$181,"A",'Pure'!$C$7:$C$181,"&gt;0")+COUNTIFS('Statistics'!$D$7:$D$67,"A",'Statistics'!$C$7:$C$67,"&gt;0")+COUNTIFS('Mechanics'!$D$7:$D$65,"A",'Mechanics'!$C$7:$C$65,"&gt;0")+COUNTIFS('Pure'!$D$7:$D$181,"G",'Pure'!$C$7:$C$181,"&gt;0")+COUNTIFS('Statistics'!$D$7:$D$67,"G",'Statistics'!$C$7:$C$67,"&gt;0")+COUNTIFS('Mechanics'!$D$7:$D$65,"G",'Mechanics'!$C$7:$C$65,"&gt;0"))/245,"0%")</f>
        <v/>
      </c>
      <c r="C4" s="68">
        <f>COUNTIFS('Pure'!$D$7:$D$181,"R",'Pure'!$C$7:$C$181,"&gt;0")+COUNTIFS('Statistics'!$D$7:$D$67,"R",'Statistics'!$C$7:$C$67,"&gt;0")+COUNTIFS('Mechanics'!$D$7:$D$65,"R",'Mechanics'!$C$7:$C$65,"&gt;0")</f>
        <v/>
      </c>
      <c r="D4" s="69" t="n"/>
      <c r="E4" s="70">
        <f>COUNTIFS('Pure'!$D$7:$D$181,"A",'Pure'!$C$7:$C$181,"&gt;0")+COUNTIFS('Statistics'!$D$7:$D$67,"A",'Statistics'!$C$7:$C$67,"&gt;0")+COUNTIFS('Mechanics'!$D$7:$D$65,"A",'Mechanics'!$C$7:$C$65,"&gt;0")</f>
        <v/>
      </c>
      <c r="F4" s="71" t="n"/>
      <c r="G4" s="72">
        <f>COUNTIFS('Pure'!$D$7:$D$181,"G",'Pure'!$C$7:$C$181,"&gt;0")+COUNTIFS('Statistics'!$D$7:$D$67,"G",'Statistics'!$C$7:$C$67,"&gt;0")+COUNTIFS('Mechanics'!$D$7:$D$65,"G",'Mechanics'!$C$7:$C$65,"&gt;0")</f>
        <v/>
      </c>
      <c r="H4" s="73" t="n"/>
    </row>
    <row r="5" ht="20" customHeight="1">
      <c r="A5" s="74" t="inlineStr">
        <is>
          <t>Topics rated (of 245)</t>
        </is>
      </c>
      <c r="C5" s="75" t="inlineStr">
        <is>
          <t>Red</t>
        </is>
      </c>
      <c r="D5" s="69" t="n"/>
      <c r="E5" s="76" t="inlineStr">
        <is>
          <t>Amber</t>
        </is>
      </c>
      <c r="F5" s="71" t="n"/>
      <c r="G5" s="77" t="inlineStr">
        <is>
          <t>Green</t>
        </is>
      </c>
      <c r="H5" s="73" t="n"/>
    </row>
    <row r="7">
      <c r="A7" s="3" t="inlineStr">
        <is>
          <t>Your practice plan</t>
        </is>
      </c>
    </row>
    <row r="8" ht="20" customHeight="1">
      <c r="A8" s="58" t="inlineStr">
        <is>
          <t>Rating</t>
        </is>
      </c>
      <c r="B8" s="59" t="inlineStr">
        <is>
          <t>Topics</t>
        </is>
      </c>
      <c r="C8" s="59" t="inlineStr">
        <is>
          <t>Qs each</t>
        </is>
      </c>
      <c r="D8" s="59" t="inlineStr">
        <is>
          <t>Qs total</t>
        </is>
      </c>
      <c r="E8" s="59" t="inlineStr">
        <is>
          <t>What to do</t>
        </is>
      </c>
    </row>
    <row r="9">
      <c r="A9" s="78" t="inlineStr">
        <is>
          <t>Red</t>
        </is>
      </c>
      <c r="B9" s="79">
        <f>COUNTIFS('Pure'!$D$7:$D$181,"R",'Pure'!$C$7:$C$181,"&gt;0")+COUNTIFS('Statistics'!$D$7:$D$67,"R",'Statistics'!$C$7:$C$67,"&gt;0")+COUNTIFS('Mechanics'!$D$7:$D$65,"R",'Mechanics'!$C$7:$C$65,"&gt;0")</f>
        <v/>
      </c>
      <c r="C9" s="80" t="n">
        <v>10</v>
      </c>
      <c r="D9" s="79">
        <f>B9*C9</f>
        <v/>
      </c>
      <c r="E9" s="81" t="inlineStr">
        <is>
          <t>Full worksheet, taught first</t>
        </is>
      </c>
    </row>
    <row r="10">
      <c r="A10" s="82" t="inlineStr">
        <is>
          <t>Amber</t>
        </is>
      </c>
      <c r="B10" s="79">
        <f>COUNTIFS('Pure'!$D$7:$D$181,"A",'Pure'!$C$7:$C$181,"&gt;0")+COUNTIFS('Statistics'!$D$7:$D$67,"A",'Statistics'!$C$7:$C$67,"&gt;0")+COUNTIFS('Mechanics'!$D$7:$D$65,"A",'Mechanics'!$C$7:$C$65,"&gt;0")</f>
        <v/>
      </c>
      <c r="C10" s="80" t="n">
        <v>5</v>
      </c>
      <c r="D10" s="79">
        <f>B10*C10</f>
        <v/>
      </c>
      <c r="E10" s="81" t="inlineStr">
        <is>
          <t>Practise until 3 right in a row</t>
        </is>
      </c>
    </row>
    <row r="11">
      <c r="A11" s="83" t="inlineStr">
        <is>
          <t>Green</t>
        </is>
      </c>
      <c r="B11" s="79">
        <f>COUNTIFS('Pure'!$D$7:$D$181,"G",'Pure'!$C$7:$C$181,"&gt;0")+COUNTIFS('Statistics'!$D$7:$D$67,"G",'Statistics'!$C$7:$C$67,"&gt;0")+COUNTIFS('Mechanics'!$D$7:$D$65,"G",'Mechanics'!$C$7:$C$65,"&gt;0")</f>
        <v/>
      </c>
      <c r="C11" s="80" t="n">
        <v>2</v>
      </c>
      <c r="D11" s="79">
        <f>B11*C11</f>
        <v/>
      </c>
      <c r="E11" s="81" t="inlineStr">
        <is>
          <t>2-question spot check</t>
        </is>
      </c>
    </row>
    <row r="12">
      <c r="A12" t="inlineStr">
        <is>
          <t>Not rated yet</t>
        </is>
      </c>
      <c r="B12" s="84">
        <f>COUNTIFS('Pure'!$C$7:$C$181,"&gt;0")+COUNTIFS('Statistics'!$C$7:$C$67,"&gt;0")+COUNTIFS('Mechanics'!$C$7:$C$65,"&gt;0")-B9-B10-B11</f>
        <v/>
      </c>
    </row>
    <row r="13">
      <c r="A13" s="21" t="inlineStr">
        <is>
          <t>Total questions</t>
        </is>
      </c>
      <c r="D13" s="85">
        <f>SUM(D9:D11)</f>
        <v/>
      </c>
    </row>
    <row r="14">
      <c r="A14" t="inlineStr">
        <is>
          <t>Minutes per question</t>
        </is>
      </c>
      <c r="D14" s="86" t="n">
        <v>6</v>
      </c>
    </row>
    <row r="15">
      <c r="A15" s="21" t="inlineStr">
        <is>
          <t>Hours of practice</t>
        </is>
      </c>
      <c r="D15" s="85">
        <f>ROUND(D13*D14/60,1)</f>
        <v/>
      </c>
    </row>
    <row r="16">
      <c r="A16" t="inlineStr">
        <is>
          <t>OCR MEI topic sheets done</t>
        </is>
      </c>
      <c r="D16" s="84">
        <f>COUNTIF('OCR MEI sheets'!$D$5:$D$73,"Done")&amp;" of 63"</f>
        <v/>
      </c>
    </row>
    <row r="18">
      <c r="A18" s="3" t="inlineStr">
        <is>
          <t>By year</t>
        </is>
      </c>
    </row>
    <row r="19" ht="20" customHeight="1">
      <c r="A19" s="58" t="inlineStr"/>
      <c r="B19" s="59" t="inlineStr">
        <is>
          <t>Topics</t>
        </is>
      </c>
      <c r="C19" s="59" t="inlineStr">
        <is>
          <t>Red</t>
        </is>
      </c>
      <c r="D19" s="59" t="inlineStr">
        <is>
          <t>Amber</t>
        </is>
      </c>
      <c r="E19" s="59" t="inlineStr">
        <is>
          <t>Green</t>
        </is>
      </c>
      <c r="F19" s="59" t="inlineStr">
        <is>
          <t>Not rated</t>
        </is>
      </c>
      <c r="G19" s="59" t="inlineStr">
        <is>
          <t>% Green</t>
        </is>
      </c>
    </row>
    <row r="20">
      <c r="A20" s="87" t="inlineStr">
        <is>
          <t>Year 1 (AS content)</t>
        </is>
      </c>
      <c r="B20" s="79">
        <f>COUNTIFS('Pure'!$C$7:$C$181,1)+COUNTIFS('Statistics'!$C$7:$C$67,1)+COUNTIFS('Mechanics'!$C$7:$C$65,1)</f>
        <v/>
      </c>
      <c r="C20" s="79">
        <f>COUNTIFS('Pure'!$C$7:$C$181,1,'Pure'!$D$7:$D$181,"R")+COUNTIFS('Statistics'!$C$7:$C$67,1,'Statistics'!$D$7:$D$67,"R")+COUNTIFS('Mechanics'!$C$7:$C$65,1,'Mechanics'!$D$7:$D$65,"R")</f>
        <v/>
      </c>
      <c r="D20" s="79">
        <f>COUNTIFS('Pure'!$C$7:$C$181,1,'Pure'!$D$7:$D$181,"A")+COUNTIFS('Statistics'!$C$7:$C$67,1,'Statistics'!$D$7:$D$67,"A")+COUNTIFS('Mechanics'!$C$7:$C$65,1,'Mechanics'!$D$7:$D$65,"A")</f>
        <v/>
      </c>
      <c r="E20" s="79">
        <f>COUNTIFS('Pure'!$C$7:$C$181,1,'Pure'!$D$7:$D$181,"G")+COUNTIFS('Statistics'!$C$7:$C$67,1,'Statistics'!$D$7:$D$67,"G")+COUNTIFS('Mechanics'!$C$7:$C$65,1,'Mechanics'!$D$7:$D$65,"G")</f>
        <v/>
      </c>
      <c r="F20" s="79">
        <f>COUNTIFS('Pure'!$C$7:$C$181,1,'Pure'!$D$7:$D$181,"")+COUNTIFS('Statistics'!$C$7:$C$67,1,'Statistics'!$D$7:$D$67,"")+COUNTIFS('Mechanics'!$C$7:$C$65,1,'Mechanics'!$D$7:$D$65,"")</f>
        <v/>
      </c>
      <c r="G20" s="88">
        <f>IFERROR(E20/B20,0)</f>
        <v/>
      </c>
    </row>
    <row r="21">
      <c r="A21" s="87" t="inlineStr">
        <is>
          <t>Year 2</t>
        </is>
      </c>
      <c r="B21" s="79">
        <f>COUNTIFS('Pure'!$C$7:$C$181,2)+COUNTIFS('Statistics'!$C$7:$C$67,2)+COUNTIFS('Mechanics'!$C$7:$C$65,2)</f>
        <v/>
      </c>
      <c r="C21" s="79">
        <f>COUNTIFS('Pure'!$C$7:$C$181,2,'Pure'!$D$7:$D$181,"R")+COUNTIFS('Statistics'!$C$7:$C$67,2,'Statistics'!$D$7:$D$67,"R")+COUNTIFS('Mechanics'!$C$7:$C$65,2,'Mechanics'!$D$7:$D$65,"R")</f>
        <v/>
      </c>
      <c r="D21" s="79">
        <f>COUNTIFS('Pure'!$C$7:$C$181,2,'Pure'!$D$7:$D$181,"A")+COUNTIFS('Statistics'!$C$7:$C$67,2,'Statistics'!$D$7:$D$67,"A")+COUNTIFS('Mechanics'!$C$7:$C$65,2,'Mechanics'!$D$7:$D$65,"A")</f>
        <v/>
      </c>
      <c r="E21" s="79">
        <f>COUNTIFS('Pure'!$C$7:$C$181,2,'Pure'!$D$7:$D$181,"G")+COUNTIFS('Statistics'!$C$7:$C$67,2,'Statistics'!$D$7:$D$67,"G")+COUNTIFS('Mechanics'!$C$7:$C$65,2,'Mechanics'!$D$7:$D$65,"G")</f>
        <v/>
      </c>
      <c r="F21" s="79">
        <f>COUNTIFS('Pure'!$C$7:$C$181,2,'Pure'!$D$7:$D$181,"")+COUNTIFS('Statistics'!$C$7:$C$67,2,'Statistics'!$D$7:$D$67,"")+COUNTIFS('Mechanics'!$C$7:$C$65,2,'Mechanics'!$D$7:$D$65,"")</f>
        <v/>
      </c>
      <c r="G21" s="88">
        <f>IFERROR(E21/B21,0)</f>
        <v/>
      </c>
    </row>
    <row r="23">
      <c r="A23" s="3" t="inlineStr">
        <is>
          <t>By area</t>
        </is>
      </c>
    </row>
    <row r="24" ht="20" customHeight="1">
      <c r="A24" s="58" t="inlineStr"/>
      <c r="B24" s="59" t="inlineStr">
        <is>
          <t>Topics</t>
        </is>
      </c>
      <c r="C24" s="59" t="inlineStr">
        <is>
          <t>Red</t>
        </is>
      </c>
      <c r="D24" s="59" t="inlineStr">
        <is>
          <t>Amber</t>
        </is>
      </c>
      <c r="E24" s="59" t="inlineStr">
        <is>
          <t>Green</t>
        </is>
      </c>
      <c r="F24" s="59" t="inlineStr">
        <is>
          <t>Not rated</t>
        </is>
      </c>
      <c r="G24" s="59" t="inlineStr">
        <is>
          <t>% Green</t>
        </is>
      </c>
    </row>
    <row r="25">
      <c r="A25" s="87" t="inlineStr">
        <is>
          <t>Pure maths  (Papers 1, 2 and 3)</t>
        </is>
      </c>
      <c r="B25" s="79">
        <f>COUNTIFS('Pure'!$C$7:$C$181,"&gt;0")</f>
        <v/>
      </c>
      <c r="C25" s="79">
        <f>COUNTIFS('Pure'!$C$7:$C$181,"&gt;0",'Pure'!$D$7:$D$181,"R")</f>
        <v/>
      </c>
      <c r="D25" s="79">
        <f>COUNTIFS('Pure'!$C$7:$C$181,"&gt;0",'Pure'!$D$7:$D$181,"A")</f>
        <v/>
      </c>
      <c r="E25" s="79">
        <f>COUNTIFS('Pure'!$C$7:$C$181,"&gt;0",'Pure'!$D$7:$D$181,"G")</f>
        <v/>
      </c>
      <c r="F25" s="79">
        <f>COUNTIFS('Pure'!$C$7:$C$181,"&gt;0",'Pure'!$D$7:$D$181,"")</f>
        <v/>
      </c>
      <c r="G25" s="88">
        <f>IFERROR(E25/B25,0)</f>
        <v/>
      </c>
    </row>
    <row r="26">
      <c r="A26" s="87" t="inlineStr">
        <is>
          <t>Statistics  (Paper 2)</t>
        </is>
      </c>
      <c r="B26" s="79">
        <f>COUNTIFS('Statistics'!$C$7:$C$67,"&gt;0")</f>
        <v/>
      </c>
      <c r="C26" s="79">
        <f>COUNTIFS('Statistics'!$C$7:$C$67,"&gt;0",'Statistics'!$D$7:$D$67,"R")</f>
        <v/>
      </c>
      <c r="D26" s="79">
        <f>COUNTIFS('Statistics'!$C$7:$C$67,"&gt;0",'Statistics'!$D$7:$D$67,"A")</f>
        <v/>
      </c>
      <c r="E26" s="79">
        <f>COUNTIFS('Statistics'!$C$7:$C$67,"&gt;0",'Statistics'!$D$7:$D$67,"G")</f>
        <v/>
      </c>
      <c r="F26" s="79">
        <f>COUNTIFS('Statistics'!$C$7:$C$67,"&gt;0",'Statistics'!$D$7:$D$67,"")</f>
        <v/>
      </c>
      <c r="G26" s="88">
        <f>IFERROR(E26/B26,0)</f>
        <v/>
      </c>
    </row>
    <row r="27">
      <c r="A27" s="87" t="inlineStr">
        <is>
          <t>Mechanics  (Paper 1)</t>
        </is>
      </c>
      <c r="B27" s="79">
        <f>COUNTIFS('Mechanics'!$C$7:$C$65,"&gt;0")</f>
        <v/>
      </c>
      <c r="C27" s="79">
        <f>COUNTIFS('Mechanics'!$C$7:$C$65,"&gt;0",'Mechanics'!$D$7:$D$65,"R")</f>
        <v/>
      </c>
      <c r="D27" s="79">
        <f>COUNTIFS('Mechanics'!$C$7:$C$65,"&gt;0",'Mechanics'!$D$7:$D$65,"A")</f>
        <v/>
      </c>
      <c r="E27" s="79">
        <f>COUNTIFS('Mechanics'!$C$7:$C$65,"&gt;0",'Mechanics'!$D$7:$D$65,"G")</f>
        <v/>
      </c>
      <c r="F27" s="79">
        <f>COUNTIFS('Mechanics'!$C$7:$C$65,"&gt;0",'Mechanics'!$D$7:$D$65,"")</f>
        <v/>
      </c>
      <c r="G27" s="88">
        <f>IFERROR(E27/B27,0)</f>
        <v/>
      </c>
    </row>
    <row r="29">
      <c r="A29" s="3" t="inlineStr">
        <is>
          <t>By topic area</t>
        </is>
      </c>
    </row>
    <row r="30" ht="20" customHeight="1">
      <c r="A30" s="58" t="inlineStr"/>
      <c r="B30" s="59" t="inlineStr">
        <is>
          <t>Topics</t>
        </is>
      </c>
      <c r="C30" s="59" t="inlineStr">
        <is>
          <t>Red</t>
        </is>
      </c>
      <c r="D30" s="59" t="inlineStr">
        <is>
          <t>Amber</t>
        </is>
      </c>
      <c r="E30" s="59" t="inlineStr">
        <is>
          <t>Green</t>
        </is>
      </c>
      <c r="F30" s="59" t="inlineStr">
        <is>
          <t>Not rated</t>
        </is>
      </c>
      <c r="G30" s="59" t="inlineStr">
        <is>
          <t>% Green</t>
        </is>
      </c>
    </row>
    <row r="31">
      <c r="A31" s="87" t="inlineStr">
        <is>
          <t>Pure 1: Proof</t>
        </is>
      </c>
      <c r="B31" s="79">
        <f>COUNTIFS('Pure'!$P$7:$P$181,"P1")</f>
        <v/>
      </c>
      <c r="C31" s="79">
        <f>COUNTIFS('Pure'!$P$7:$P$181,"P1",'Pure'!$D$7:$D$181,"R")</f>
        <v/>
      </c>
      <c r="D31" s="79">
        <f>COUNTIFS('Pure'!$P$7:$P$181,"P1",'Pure'!$D$7:$D$181,"A")</f>
        <v/>
      </c>
      <c r="E31" s="79">
        <f>COUNTIFS('Pure'!$P$7:$P$181,"P1",'Pure'!$D$7:$D$181,"G")</f>
        <v/>
      </c>
      <c r="F31" s="79">
        <f>COUNTIFS('Pure'!$P$7:$P$181,"P1",'Pure'!$D$7:$D$181,"")</f>
        <v/>
      </c>
      <c r="G31" s="88">
        <f>IFERROR(E31/B31,0)</f>
        <v/>
      </c>
    </row>
    <row r="32">
      <c r="A32" s="87" t="inlineStr">
        <is>
          <t>Pure 2: Algebra</t>
        </is>
      </c>
      <c r="B32" s="79">
        <f>COUNTIFS('Pure'!$P$7:$P$181,"P2")</f>
        <v/>
      </c>
      <c r="C32" s="79">
        <f>COUNTIFS('Pure'!$P$7:$P$181,"P2",'Pure'!$D$7:$D$181,"R")</f>
        <v/>
      </c>
      <c r="D32" s="79">
        <f>COUNTIFS('Pure'!$P$7:$P$181,"P2",'Pure'!$D$7:$D$181,"A")</f>
        <v/>
      </c>
      <c r="E32" s="79">
        <f>COUNTIFS('Pure'!$P$7:$P$181,"P2",'Pure'!$D$7:$D$181,"G")</f>
        <v/>
      </c>
      <c r="F32" s="79">
        <f>COUNTIFS('Pure'!$P$7:$P$181,"P2",'Pure'!$D$7:$D$181,"")</f>
        <v/>
      </c>
      <c r="G32" s="88">
        <f>IFERROR(E32/B32,0)</f>
        <v/>
      </c>
    </row>
    <row r="33">
      <c r="A33" s="87" t="inlineStr">
        <is>
          <t>Pure 3: Functions</t>
        </is>
      </c>
      <c r="B33" s="79">
        <f>COUNTIFS('Pure'!$P$7:$P$181,"P3")</f>
        <v/>
      </c>
      <c r="C33" s="79">
        <f>COUNTIFS('Pure'!$P$7:$P$181,"P3",'Pure'!$D$7:$D$181,"R")</f>
        <v/>
      </c>
      <c r="D33" s="79">
        <f>COUNTIFS('Pure'!$P$7:$P$181,"P3",'Pure'!$D$7:$D$181,"A")</f>
        <v/>
      </c>
      <c r="E33" s="79">
        <f>COUNTIFS('Pure'!$P$7:$P$181,"P3",'Pure'!$D$7:$D$181,"G")</f>
        <v/>
      </c>
      <c r="F33" s="79">
        <f>COUNTIFS('Pure'!$P$7:$P$181,"P3",'Pure'!$D$7:$D$181,"")</f>
        <v/>
      </c>
      <c r="G33" s="88">
        <f>IFERROR(E33/B33,0)</f>
        <v/>
      </c>
    </row>
    <row r="34">
      <c r="A34" s="87" t="inlineStr">
        <is>
          <t>Pure 4: Graphs</t>
        </is>
      </c>
      <c r="B34" s="79">
        <f>COUNTIFS('Pure'!$P$7:$P$181,"P4")</f>
        <v/>
      </c>
      <c r="C34" s="79">
        <f>COUNTIFS('Pure'!$P$7:$P$181,"P4",'Pure'!$D$7:$D$181,"R")</f>
        <v/>
      </c>
      <c r="D34" s="79">
        <f>COUNTIFS('Pure'!$P$7:$P$181,"P4",'Pure'!$D$7:$D$181,"A")</f>
        <v/>
      </c>
      <c r="E34" s="79">
        <f>COUNTIFS('Pure'!$P$7:$P$181,"P4",'Pure'!$D$7:$D$181,"G")</f>
        <v/>
      </c>
      <c r="F34" s="79">
        <f>COUNTIFS('Pure'!$P$7:$P$181,"P4",'Pure'!$D$7:$D$181,"")</f>
        <v/>
      </c>
      <c r="G34" s="88">
        <f>IFERROR(E34/B34,0)</f>
        <v/>
      </c>
    </row>
    <row r="35">
      <c r="A35" s="87" t="inlineStr">
        <is>
          <t>Pure 5: Coordinate geometry</t>
        </is>
      </c>
      <c r="B35" s="79">
        <f>COUNTIFS('Pure'!$P$7:$P$181,"P5")</f>
        <v/>
      </c>
      <c r="C35" s="79">
        <f>COUNTIFS('Pure'!$P$7:$P$181,"P5",'Pure'!$D$7:$D$181,"R")</f>
        <v/>
      </c>
      <c r="D35" s="79">
        <f>COUNTIFS('Pure'!$P$7:$P$181,"P5",'Pure'!$D$7:$D$181,"A")</f>
        <v/>
      </c>
      <c r="E35" s="79">
        <f>COUNTIFS('Pure'!$P$7:$P$181,"P5",'Pure'!$D$7:$D$181,"G")</f>
        <v/>
      </c>
      <c r="F35" s="79">
        <f>COUNTIFS('Pure'!$P$7:$P$181,"P5",'Pure'!$D$7:$D$181,"")</f>
        <v/>
      </c>
      <c r="G35" s="88">
        <f>IFERROR(E35/B35,0)</f>
        <v/>
      </c>
    </row>
    <row r="36">
      <c r="A36" s="87" t="inlineStr">
        <is>
          <t>Pure 6: Sequences and series</t>
        </is>
      </c>
      <c r="B36" s="79">
        <f>COUNTIFS('Pure'!$P$7:$P$181,"P6")</f>
        <v/>
      </c>
      <c r="C36" s="79">
        <f>COUNTIFS('Pure'!$P$7:$P$181,"P6",'Pure'!$D$7:$D$181,"R")</f>
        <v/>
      </c>
      <c r="D36" s="79">
        <f>COUNTIFS('Pure'!$P$7:$P$181,"P6",'Pure'!$D$7:$D$181,"A")</f>
        <v/>
      </c>
      <c r="E36" s="79">
        <f>COUNTIFS('Pure'!$P$7:$P$181,"P6",'Pure'!$D$7:$D$181,"G")</f>
        <v/>
      </c>
      <c r="F36" s="79">
        <f>COUNTIFS('Pure'!$P$7:$P$181,"P6",'Pure'!$D$7:$D$181,"")</f>
        <v/>
      </c>
      <c r="G36" s="88">
        <f>IFERROR(E36/B36,0)</f>
        <v/>
      </c>
    </row>
    <row r="37">
      <c r="A37" s="87" t="inlineStr">
        <is>
          <t>Pure 7: Trigonometry</t>
        </is>
      </c>
      <c r="B37" s="79">
        <f>COUNTIFS('Pure'!$P$7:$P$181,"P7")</f>
        <v/>
      </c>
      <c r="C37" s="79">
        <f>COUNTIFS('Pure'!$P$7:$P$181,"P7",'Pure'!$D$7:$D$181,"R")</f>
        <v/>
      </c>
      <c r="D37" s="79">
        <f>COUNTIFS('Pure'!$P$7:$P$181,"P7",'Pure'!$D$7:$D$181,"A")</f>
        <v/>
      </c>
      <c r="E37" s="79">
        <f>COUNTIFS('Pure'!$P$7:$P$181,"P7",'Pure'!$D$7:$D$181,"G")</f>
        <v/>
      </c>
      <c r="F37" s="79">
        <f>COUNTIFS('Pure'!$P$7:$P$181,"P7",'Pure'!$D$7:$D$181,"")</f>
        <v/>
      </c>
      <c r="G37" s="88">
        <f>IFERROR(E37/B37,0)</f>
        <v/>
      </c>
    </row>
    <row r="38">
      <c r="A38" s="87" t="inlineStr">
        <is>
          <t>Pure 8: Exponentials and logarithms</t>
        </is>
      </c>
      <c r="B38" s="79">
        <f>COUNTIFS('Pure'!$P$7:$P$181,"P8")</f>
        <v/>
      </c>
      <c r="C38" s="79">
        <f>COUNTIFS('Pure'!$P$7:$P$181,"P8",'Pure'!$D$7:$D$181,"R")</f>
        <v/>
      </c>
      <c r="D38" s="79">
        <f>COUNTIFS('Pure'!$P$7:$P$181,"P8",'Pure'!$D$7:$D$181,"A")</f>
        <v/>
      </c>
      <c r="E38" s="79">
        <f>COUNTIFS('Pure'!$P$7:$P$181,"P8",'Pure'!$D$7:$D$181,"G")</f>
        <v/>
      </c>
      <c r="F38" s="79">
        <f>COUNTIFS('Pure'!$P$7:$P$181,"P8",'Pure'!$D$7:$D$181,"")</f>
        <v/>
      </c>
      <c r="G38" s="88">
        <f>IFERROR(E38/B38,0)</f>
        <v/>
      </c>
    </row>
    <row r="39">
      <c r="A39" s="87" t="inlineStr">
        <is>
          <t>Pure 9: Differentiation</t>
        </is>
      </c>
      <c r="B39" s="79">
        <f>COUNTIFS('Pure'!$P$7:$P$181,"P9")</f>
        <v/>
      </c>
      <c r="C39" s="79">
        <f>COUNTIFS('Pure'!$P$7:$P$181,"P9",'Pure'!$D$7:$D$181,"R")</f>
        <v/>
      </c>
      <c r="D39" s="79">
        <f>COUNTIFS('Pure'!$P$7:$P$181,"P9",'Pure'!$D$7:$D$181,"A")</f>
        <v/>
      </c>
      <c r="E39" s="79">
        <f>COUNTIFS('Pure'!$P$7:$P$181,"P9",'Pure'!$D$7:$D$181,"G")</f>
        <v/>
      </c>
      <c r="F39" s="79">
        <f>COUNTIFS('Pure'!$P$7:$P$181,"P9",'Pure'!$D$7:$D$181,"")</f>
        <v/>
      </c>
      <c r="G39" s="88">
        <f>IFERROR(E39/B39,0)</f>
        <v/>
      </c>
    </row>
    <row r="40">
      <c r="A40" s="87" t="inlineStr">
        <is>
          <t>Pure 10: Integration</t>
        </is>
      </c>
      <c r="B40" s="79">
        <f>COUNTIFS('Pure'!$P$7:$P$181,"P10")</f>
        <v/>
      </c>
      <c r="C40" s="79">
        <f>COUNTIFS('Pure'!$P$7:$P$181,"P10",'Pure'!$D$7:$D$181,"R")</f>
        <v/>
      </c>
      <c r="D40" s="79">
        <f>COUNTIFS('Pure'!$P$7:$P$181,"P10",'Pure'!$D$7:$D$181,"A")</f>
        <v/>
      </c>
      <c r="E40" s="79">
        <f>COUNTIFS('Pure'!$P$7:$P$181,"P10",'Pure'!$D$7:$D$181,"G")</f>
        <v/>
      </c>
      <c r="F40" s="79">
        <f>COUNTIFS('Pure'!$P$7:$P$181,"P10",'Pure'!$D$7:$D$181,"")</f>
        <v/>
      </c>
      <c r="G40" s="88">
        <f>IFERROR(E40/B40,0)</f>
        <v/>
      </c>
    </row>
    <row r="41">
      <c r="A41" s="87" t="inlineStr">
        <is>
          <t>Pure 11: Differential equations</t>
        </is>
      </c>
      <c r="B41" s="79">
        <f>COUNTIFS('Pure'!$P$7:$P$181,"P11")</f>
        <v/>
      </c>
      <c r="C41" s="79">
        <f>COUNTIFS('Pure'!$P$7:$P$181,"P11",'Pure'!$D$7:$D$181,"R")</f>
        <v/>
      </c>
      <c r="D41" s="79">
        <f>COUNTIFS('Pure'!$P$7:$P$181,"P11",'Pure'!$D$7:$D$181,"A")</f>
        <v/>
      </c>
      <c r="E41" s="79">
        <f>COUNTIFS('Pure'!$P$7:$P$181,"P11",'Pure'!$D$7:$D$181,"G")</f>
        <v/>
      </c>
      <c r="F41" s="79">
        <f>COUNTIFS('Pure'!$P$7:$P$181,"P11",'Pure'!$D$7:$D$181,"")</f>
        <v/>
      </c>
      <c r="G41" s="88">
        <f>IFERROR(E41/B41,0)</f>
        <v/>
      </c>
    </row>
    <row r="42">
      <c r="A42" s="87" t="inlineStr">
        <is>
          <t>Pure 12: Numerical methods</t>
        </is>
      </c>
      <c r="B42" s="79">
        <f>COUNTIFS('Pure'!$P$7:$P$181,"P12")</f>
        <v/>
      </c>
      <c r="C42" s="79">
        <f>COUNTIFS('Pure'!$P$7:$P$181,"P12",'Pure'!$D$7:$D$181,"R")</f>
        <v/>
      </c>
      <c r="D42" s="79">
        <f>COUNTIFS('Pure'!$P$7:$P$181,"P12",'Pure'!$D$7:$D$181,"A")</f>
        <v/>
      </c>
      <c r="E42" s="79">
        <f>COUNTIFS('Pure'!$P$7:$P$181,"P12",'Pure'!$D$7:$D$181,"G")</f>
        <v/>
      </c>
      <c r="F42" s="79">
        <f>COUNTIFS('Pure'!$P$7:$P$181,"P12",'Pure'!$D$7:$D$181,"")</f>
        <v/>
      </c>
      <c r="G42" s="88">
        <f>IFERROR(E42/B42,0)</f>
        <v/>
      </c>
    </row>
    <row r="43">
      <c r="A43" s="87" t="inlineStr">
        <is>
          <t>Pure 13: Vectors</t>
        </is>
      </c>
      <c r="B43" s="79">
        <f>COUNTIFS('Pure'!$P$7:$P$181,"P13")</f>
        <v/>
      </c>
      <c r="C43" s="79">
        <f>COUNTIFS('Pure'!$P$7:$P$181,"P13",'Pure'!$D$7:$D$181,"R")</f>
        <v/>
      </c>
      <c r="D43" s="79">
        <f>COUNTIFS('Pure'!$P$7:$P$181,"P13",'Pure'!$D$7:$D$181,"A")</f>
        <v/>
      </c>
      <c r="E43" s="79">
        <f>COUNTIFS('Pure'!$P$7:$P$181,"P13",'Pure'!$D$7:$D$181,"G")</f>
        <v/>
      </c>
      <c r="F43" s="79">
        <f>COUNTIFS('Pure'!$P$7:$P$181,"P13",'Pure'!$D$7:$D$181,"")</f>
        <v/>
      </c>
      <c r="G43" s="88">
        <f>IFERROR(E43/B43,0)</f>
        <v/>
      </c>
    </row>
    <row r="44">
      <c r="A44" s="87" t="inlineStr">
        <is>
          <t>Statistics 1: Sampling</t>
        </is>
      </c>
      <c r="B44" s="79">
        <f>COUNTIFS('Statistics'!$P$7:$P$67,"S1")</f>
        <v/>
      </c>
      <c r="C44" s="79">
        <f>COUNTIFS('Statistics'!$P$7:$P$67,"S1",'Statistics'!$D$7:$D$67,"R")</f>
        <v/>
      </c>
      <c r="D44" s="79">
        <f>COUNTIFS('Statistics'!$P$7:$P$67,"S1",'Statistics'!$D$7:$D$67,"A")</f>
        <v/>
      </c>
      <c r="E44" s="79">
        <f>COUNTIFS('Statistics'!$P$7:$P$67,"S1",'Statistics'!$D$7:$D$67,"G")</f>
        <v/>
      </c>
      <c r="F44" s="79">
        <f>COUNTIFS('Statistics'!$P$7:$P$67,"S1",'Statistics'!$D$7:$D$67,"")</f>
        <v/>
      </c>
      <c r="G44" s="88">
        <f>IFERROR(E44/B44,0)</f>
        <v/>
      </c>
    </row>
    <row r="45">
      <c r="A45" s="87" t="inlineStr">
        <is>
          <t>Statistics 2: Data presentation and interpretation</t>
        </is>
      </c>
      <c r="B45" s="79">
        <f>COUNTIFS('Statistics'!$P$7:$P$67,"S2")</f>
        <v/>
      </c>
      <c r="C45" s="79">
        <f>COUNTIFS('Statistics'!$P$7:$P$67,"S2",'Statistics'!$D$7:$D$67,"R")</f>
        <v/>
      </c>
      <c r="D45" s="79">
        <f>COUNTIFS('Statistics'!$P$7:$P$67,"S2",'Statistics'!$D$7:$D$67,"A")</f>
        <v/>
      </c>
      <c r="E45" s="79">
        <f>COUNTIFS('Statistics'!$P$7:$P$67,"S2",'Statistics'!$D$7:$D$67,"G")</f>
        <v/>
      </c>
      <c r="F45" s="79">
        <f>COUNTIFS('Statistics'!$P$7:$P$67,"S2",'Statistics'!$D$7:$D$67,"")</f>
        <v/>
      </c>
      <c r="G45" s="88">
        <f>IFERROR(E45/B45,0)</f>
        <v/>
      </c>
    </row>
    <row r="46">
      <c r="A46" s="87" t="inlineStr">
        <is>
          <t>Statistics 3: Probability</t>
        </is>
      </c>
      <c r="B46" s="79">
        <f>COUNTIFS('Statistics'!$P$7:$P$67,"S3")</f>
        <v/>
      </c>
      <c r="C46" s="79">
        <f>COUNTIFS('Statistics'!$P$7:$P$67,"S3",'Statistics'!$D$7:$D$67,"R")</f>
        <v/>
      </c>
      <c r="D46" s="79">
        <f>COUNTIFS('Statistics'!$P$7:$P$67,"S3",'Statistics'!$D$7:$D$67,"A")</f>
        <v/>
      </c>
      <c r="E46" s="79">
        <f>COUNTIFS('Statistics'!$P$7:$P$67,"S3",'Statistics'!$D$7:$D$67,"G")</f>
        <v/>
      </c>
      <c r="F46" s="79">
        <f>COUNTIFS('Statistics'!$P$7:$P$67,"S3",'Statistics'!$D$7:$D$67,"")</f>
        <v/>
      </c>
      <c r="G46" s="88">
        <f>IFERROR(E46/B46,0)</f>
        <v/>
      </c>
    </row>
    <row r="47">
      <c r="A47" s="87" t="inlineStr">
        <is>
          <t>Statistics 4: Probability distributions</t>
        </is>
      </c>
      <c r="B47" s="79">
        <f>COUNTIFS('Statistics'!$P$7:$P$67,"S4")</f>
        <v/>
      </c>
      <c r="C47" s="79">
        <f>COUNTIFS('Statistics'!$P$7:$P$67,"S4",'Statistics'!$D$7:$D$67,"R")</f>
        <v/>
      </c>
      <c r="D47" s="79">
        <f>COUNTIFS('Statistics'!$P$7:$P$67,"S4",'Statistics'!$D$7:$D$67,"A")</f>
        <v/>
      </c>
      <c r="E47" s="79">
        <f>COUNTIFS('Statistics'!$P$7:$P$67,"S4",'Statistics'!$D$7:$D$67,"G")</f>
        <v/>
      </c>
      <c r="F47" s="79">
        <f>COUNTIFS('Statistics'!$P$7:$P$67,"S4",'Statistics'!$D$7:$D$67,"")</f>
        <v/>
      </c>
      <c r="G47" s="88">
        <f>IFERROR(E47/B47,0)</f>
        <v/>
      </c>
    </row>
    <row r="48">
      <c r="A48" s="87" t="inlineStr">
        <is>
          <t>Statistics 5: Statistical hypothesis testing</t>
        </is>
      </c>
      <c r="B48" s="79">
        <f>COUNTIFS('Statistics'!$P$7:$P$67,"S5")</f>
        <v/>
      </c>
      <c r="C48" s="79">
        <f>COUNTIFS('Statistics'!$P$7:$P$67,"S5",'Statistics'!$D$7:$D$67,"R")</f>
        <v/>
      </c>
      <c r="D48" s="79">
        <f>COUNTIFS('Statistics'!$P$7:$P$67,"S5",'Statistics'!$D$7:$D$67,"A")</f>
        <v/>
      </c>
      <c r="E48" s="79">
        <f>COUNTIFS('Statistics'!$P$7:$P$67,"S5",'Statistics'!$D$7:$D$67,"G")</f>
        <v/>
      </c>
      <c r="F48" s="79">
        <f>COUNTIFS('Statistics'!$P$7:$P$67,"S5",'Statistics'!$D$7:$D$67,"")</f>
        <v/>
      </c>
      <c r="G48" s="88">
        <f>IFERROR(E48/B48,0)</f>
        <v/>
      </c>
    </row>
    <row r="49">
      <c r="A49" s="87" t="inlineStr">
        <is>
          <t>Mechanics 1: Models and quantities</t>
        </is>
      </c>
      <c r="B49" s="79">
        <f>COUNTIFS('Mechanics'!$P$7:$P$65,"M1")</f>
        <v/>
      </c>
      <c r="C49" s="79">
        <f>COUNTIFS('Mechanics'!$P$7:$P$65,"M1",'Mechanics'!$D$7:$D$65,"R")</f>
        <v/>
      </c>
      <c r="D49" s="79">
        <f>COUNTIFS('Mechanics'!$P$7:$P$65,"M1",'Mechanics'!$D$7:$D$65,"A")</f>
        <v/>
      </c>
      <c r="E49" s="79">
        <f>COUNTIFS('Mechanics'!$P$7:$P$65,"M1",'Mechanics'!$D$7:$D$65,"G")</f>
        <v/>
      </c>
      <c r="F49" s="79">
        <f>COUNTIFS('Mechanics'!$P$7:$P$65,"M1",'Mechanics'!$D$7:$D$65,"")</f>
        <v/>
      </c>
      <c r="G49" s="88">
        <f>IFERROR(E49/B49,0)</f>
        <v/>
      </c>
    </row>
    <row r="50">
      <c r="A50" s="87" t="inlineStr">
        <is>
          <t>Mechanics 2: Kinematics in 1 dimension</t>
        </is>
      </c>
      <c r="B50" s="79">
        <f>COUNTIFS('Mechanics'!$P$7:$P$65,"M2")</f>
        <v/>
      </c>
      <c r="C50" s="79">
        <f>COUNTIFS('Mechanics'!$P$7:$P$65,"M2",'Mechanics'!$D$7:$D$65,"R")</f>
        <v/>
      </c>
      <c r="D50" s="79">
        <f>COUNTIFS('Mechanics'!$P$7:$P$65,"M2",'Mechanics'!$D$7:$D$65,"A")</f>
        <v/>
      </c>
      <c r="E50" s="79">
        <f>COUNTIFS('Mechanics'!$P$7:$P$65,"M2",'Mechanics'!$D$7:$D$65,"G")</f>
        <v/>
      </c>
      <c r="F50" s="79">
        <f>COUNTIFS('Mechanics'!$P$7:$P$65,"M2",'Mechanics'!$D$7:$D$65,"")</f>
        <v/>
      </c>
      <c r="G50" s="88">
        <f>IFERROR(E50/B50,0)</f>
        <v/>
      </c>
    </row>
    <row r="51">
      <c r="A51" s="87" t="inlineStr">
        <is>
          <t>Mechanics 3: Kinematics in 2 dimensions</t>
        </is>
      </c>
      <c r="B51" s="79">
        <f>COUNTIFS('Mechanics'!$P$7:$P$65,"M3")</f>
        <v/>
      </c>
      <c r="C51" s="79">
        <f>COUNTIFS('Mechanics'!$P$7:$P$65,"M3",'Mechanics'!$D$7:$D$65,"R")</f>
        <v/>
      </c>
      <c r="D51" s="79">
        <f>COUNTIFS('Mechanics'!$P$7:$P$65,"M3",'Mechanics'!$D$7:$D$65,"A")</f>
        <v/>
      </c>
      <c r="E51" s="79">
        <f>COUNTIFS('Mechanics'!$P$7:$P$65,"M3",'Mechanics'!$D$7:$D$65,"G")</f>
        <v/>
      </c>
      <c r="F51" s="79">
        <f>COUNTIFS('Mechanics'!$P$7:$P$65,"M3",'Mechanics'!$D$7:$D$65,"")</f>
        <v/>
      </c>
      <c r="G51" s="88">
        <f>IFERROR(E51/B51,0)</f>
        <v/>
      </c>
    </row>
    <row r="52">
      <c r="A52" s="87" t="inlineStr">
        <is>
          <t>Mechanics 4: Projectiles</t>
        </is>
      </c>
      <c r="B52" s="79">
        <f>COUNTIFS('Mechanics'!$P$7:$P$65,"M4")</f>
        <v/>
      </c>
      <c r="C52" s="79">
        <f>COUNTIFS('Mechanics'!$P$7:$P$65,"M4",'Mechanics'!$D$7:$D$65,"R")</f>
        <v/>
      </c>
      <c r="D52" s="79">
        <f>COUNTIFS('Mechanics'!$P$7:$P$65,"M4",'Mechanics'!$D$7:$D$65,"A")</f>
        <v/>
      </c>
      <c r="E52" s="79">
        <f>COUNTIFS('Mechanics'!$P$7:$P$65,"M4",'Mechanics'!$D$7:$D$65,"G")</f>
        <v/>
      </c>
      <c r="F52" s="79">
        <f>COUNTIFS('Mechanics'!$P$7:$P$65,"M4",'Mechanics'!$D$7:$D$65,"")</f>
        <v/>
      </c>
      <c r="G52" s="88">
        <f>IFERROR(E52/B52,0)</f>
        <v/>
      </c>
    </row>
    <row r="53">
      <c r="A53" s="87" t="inlineStr">
        <is>
          <t>Mechanics 5: Forces</t>
        </is>
      </c>
      <c r="B53" s="79">
        <f>COUNTIFS('Mechanics'!$P$7:$P$65,"M5")</f>
        <v/>
      </c>
      <c r="C53" s="79">
        <f>COUNTIFS('Mechanics'!$P$7:$P$65,"M5",'Mechanics'!$D$7:$D$65,"R")</f>
        <v/>
      </c>
      <c r="D53" s="79">
        <f>COUNTIFS('Mechanics'!$P$7:$P$65,"M5",'Mechanics'!$D$7:$D$65,"A")</f>
        <v/>
      </c>
      <c r="E53" s="79">
        <f>COUNTIFS('Mechanics'!$P$7:$P$65,"M5",'Mechanics'!$D$7:$D$65,"G")</f>
        <v/>
      </c>
      <c r="F53" s="79">
        <f>COUNTIFS('Mechanics'!$P$7:$P$65,"M5",'Mechanics'!$D$7:$D$65,"")</f>
        <v/>
      </c>
      <c r="G53" s="88">
        <f>IFERROR(E53/B53,0)</f>
        <v/>
      </c>
    </row>
    <row r="54">
      <c r="A54" s="87" t="inlineStr">
        <is>
          <t>Mechanics 6: Newton's laws of motion</t>
        </is>
      </c>
      <c r="B54" s="79">
        <f>COUNTIFS('Mechanics'!$P$7:$P$65,"M6")</f>
        <v/>
      </c>
      <c r="C54" s="79">
        <f>COUNTIFS('Mechanics'!$P$7:$P$65,"M6",'Mechanics'!$D$7:$D$65,"R")</f>
        <v/>
      </c>
      <c r="D54" s="79">
        <f>COUNTIFS('Mechanics'!$P$7:$P$65,"M6",'Mechanics'!$D$7:$D$65,"A")</f>
        <v/>
      </c>
      <c r="E54" s="79">
        <f>COUNTIFS('Mechanics'!$P$7:$P$65,"M6",'Mechanics'!$D$7:$D$65,"G")</f>
        <v/>
      </c>
      <c r="F54" s="79">
        <f>COUNTIFS('Mechanics'!$P$7:$P$65,"M6",'Mechanics'!$D$7:$D$65,"")</f>
        <v/>
      </c>
      <c r="G54" s="88">
        <f>IFERROR(E54/B54,0)</f>
        <v/>
      </c>
    </row>
    <row r="55">
      <c r="A55" s="87" t="inlineStr">
        <is>
          <t>Mechanics 7: Rigid bodies</t>
        </is>
      </c>
      <c r="B55" s="79">
        <f>COUNTIFS('Mechanics'!$P$7:$P$65,"M7")</f>
        <v/>
      </c>
      <c r="C55" s="79">
        <f>COUNTIFS('Mechanics'!$P$7:$P$65,"M7",'Mechanics'!$D$7:$D$65,"R")</f>
        <v/>
      </c>
      <c r="D55" s="79">
        <f>COUNTIFS('Mechanics'!$P$7:$P$65,"M7",'Mechanics'!$D$7:$D$65,"A")</f>
        <v/>
      </c>
      <c r="E55" s="79">
        <f>COUNTIFS('Mechanics'!$P$7:$P$65,"M7",'Mechanics'!$D$7:$D$65,"G")</f>
        <v/>
      </c>
      <c r="F55" s="79">
        <f>COUNTIFS('Mechanics'!$P$7:$P$65,"M7",'Mechanics'!$D$7:$D$65,"")</f>
        <v/>
      </c>
      <c r="G55" s="88">
        <f>IFERROR(E55/B55,0)</f>
        <v/>
      </c>
    </row>
  </sheetData>
  <mergeCells count="8">
    <mergeCell ref="G4:H4"/>
    <mergeCell ref="E4:F4"/>
    <mergeCell ref="A4"/>
    <mergeCell ref="C5:D5"/>
    <mergeCell ref="G5:H5"/>
    <mergeCell ref="E5:F5"/>
    <mergeCell ref="A5"/>
    <mergeCell ref="C4:D4"/>
  </mergeCells>
  <conditionalFormatting sqref="C20:C21">
    <cfRule type="cellIs" priority="1" operator="greaterThan" dxfId="6">
      <formula>0</formula>
    </cfRule>
  </conditionalFormatting>
  <conditionalFormatting sqref="D20:D21">
    <cfRule type="cellIs" priority="2" operator="greaterThan" dxfId="7">
      <formula>0</formula>
    </cfRule>
  </conditionalFormatting>
  <conditionalFormatting sqref="E20:E21">
    <cfRule type="cellIs" priority="3" operator="greaterThan" dxfId="8">
      <formula>0</formula>
    </cfRule>
  </conditionalFormatting>
  <conditionalFormatting sqref="G20:G21">
    <cfRule type="dataBar" priority="4">
      <dataBar>
        <cfvo type="num" val="0"/>
        <cfvo type="num" val="1"/>
        <color rgb="0063BE7B"/>
      </dataBar>
    </cfRule>
  </conditionalFormatting>
  <conditionalFormatting sqref="C25:C27">
    <cfRule type="cellIs" priority="5" operator="greaterThan" dxfId="6">
      <formula>0</formula>
    </cfRule>
  </conditionalFormatting>
  <conditionalFormatting sqref="D25:D27">
    <cfRule type="cellIs" priority="6" operator="greaterThan" dxfId="7">
      <formula>0</formula>
    </cfRule>
  </conditionalFormatting>
  <conditionalFormatting sqref="E25:E27">
    <cfRule type="cellIs" priority="7" operator="greaterThan" dxfId="8">
      <formula>0</formula>
    </cfRule>
  </conditionalFormatting>
  <conditionalFormatting sqref="G25:G27">
    <cfRule type="dataBar" priority="8">
      <dataBar>
        <cfvo type="num" val="0"/>
        <cfvo type="num" val="1"/>
        <color rgb="0063BE7B"/>
      </dataBar>
    </cfRule>
  </conditionalFormatting>
  <conditionalFormatting sqref="C31:C55">
    <cfRule type="cellIs" priority="9" operator="greaterThan" dxfId="6">
      <formula>0</formula>
    </cfRule>
  </conditionalFormatting>
  <conditionalFormatting sqref="D31:D55">
    <cfRule type="cellIs" priority="10" operator="greaterThan" dxfId="7">
      <formula>0</formula>
    </cfRule>
  </conditionalFormatting>
  <conditionalFormatting sqref="E31:E55">
    <cfRule type="cellIs" priority="11" operator="greaterThan" dxfId="8">
      <formula>0</formula>
    </cfRule>
  </conditionalFormatting>
  <conditionalFormatting sqref="G31:G55">
    <cfRule type="dataBar" priority="12">
      <dataBar>
        <cfvo type="num" val="0"/>
        <cfvo type="num" val="1"/>
        <color rgb="0063BE7B"/>
      </dataBar>
    </cfRule>
  </conditionalFormatting>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2026-10-05T11:20:14Z</dcterms:created>
  <dcterms:modified xsi:type="dcterms:W3CDTF">2026-10-05T11:20:15Z</dcterms:modified>
</cp:coreProperties>
</file>