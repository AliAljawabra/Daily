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ools" sheetId="1" state="visible" r:id="rId1"/>
    <sheet name="How to use" sheetId="2" state="visible" r:id="rId2"/>
    <sheet name="Weights" sheetId="3" state="visible" r:id="rId3"/>
  </sheets>
  <definedNames>
    <definedName name="_xlnm._FilterDatabase" localSheetId="0" hidden="1">'Schools'!$A$1:$AB$28</definedName>
  </definedNames>
  <calcPr calcId="124519" fullCalcOnLoad="1"/>
</workbook>
</file>

<file path=xl/styles.xml><?xml version="1.0" encoding="utf-8"?>
<styleSheet xmlns="http://schemas.openxmlformats.org/spreadsheetml/2006/main">
  <numFmts count="1">
    <numFmt numFmtId="164" formatCode="dd-mmm-yy"/>
  </numFmts>
  <fonts count="11">
    <font>
      <name val="Calibri"/>
      <family val="2"/>
      <color theme="1"/>
      <sz val="11"/>
      <scheme val="minor"/>
    </font>
    <font>
      <name val="Arial"/>
      <b val="1"/>
      <sz val="12"/>
    </font>
    <font>
      <name val="Arial"/>
      <b val="1"/>
      <color rgb="00FFFFFF"/>
    </font>
    <font>
      <name val="Arial"/>
      <color rgb="000000FF"/>
    </font>
    <font>
      <name val="Arial"/>
    </font>
    <font>
      <name val="Arial"/>
      <i val="1"/>
    </font>
    <font>
      <name val="Arial"/>
      <sz val="10"/>
    </font>
    <font>
      <name val="Arial"/>
      <b val="1"/>
      <color rgb="000000FF"/>
      <sz val="10"/>
    </font>
    <font>
      <name val="Arial"/>
      <b val="1"/>
      <sz val="14"/>
    </font>
    <font>
      <name val="Arial"/>
      <sz val="11"/>
    </font>
    <font>
      <name val="Arial"/>
      <b val="1"/>
      <sz val="11"/>
    </font>
  </fonts>
  <fills count="5">
    <fill>
      <patternFill/>
    </fill>
    <fill>
      <patternFill patternType="gray125"/>
    </fill>
    <fill>
      <patternFill patternType="solid">
        <fgColor rgb="001F3864"/>
      </patternFill>
    </fill>
    <fill>
      <patternFill patternType="solid">
        <fgColor rgb="00FFFF00"/>
      </patternFill>
    </fill>
    <fill>
      <patternFill patternType="solid">
        <fgColor rgb="00FFF9C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2" fillId="2" borderId="0" applyAlignment="1" pivotButton="0" quotePrefix="0" xfId="0">
      <alignment vertical="center"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4" borderId="1" applyAlignment="1" pivotButton="0" quotePrefix="0" xfId="0">
      <alignment vertical="top" wrapText="1"/>
    </xf>
    <xf numFmtId="164" fontId="6" fillId="4" borderId="1" applyAlignment="1" pivotButton="0" quotePrefix="0" xfId="0">
      <alignment vertical="top" wrapText="1"/>
    </xf>
    <xf numFmtId="164" fontId="6" fillId="0" borderId="1" applyAlignment="1" pivotButton="0" quotePrefix="0" xfId="0">
      <alignment vertical="top" wrapText="1"/>
    </xf>
    <xf numFmtId="0" fontId="8" fillId="0" borderId="0" applyAlignment="1" pivotButton="0" quotePrefix="0" xfId="0">
      <alignment wrapText="1"/>
    </xf>
    <xf numFmtId="0" fontId="9" fillId="0" borderId="0" applyAlignment="1" pivotButton="0" quotePrefix="0" xfId="0">
      <alignment wrapText="1"/>
    </xf>
    <xf numFmtId="0" fontId="10" fillId="0" borderId="0" applyAlignment="1" pivotButton="0" quotePrefix="0" xfId="0">
      <alignment wrapText="1"/>
    </xf>
    <xf numFmtId="0" fontId="1" fillId="0" borderId="0" pivotButton="0" quotePrefix="0" xfId="0"/>
    <xf numFmtId="0" fontId="2" fillId="2" borderId="0" pivotButton="0" quotePrefix="0" xfId="0"/>
    <xf numFmtId="0" fontId="4" fillId="0" borderId="0" pivotButton="0" quotePrefix="0" xfId="0"/>
    <xf numFmtId="0" fontId="3" fillId="3" borderId="0" pivotButton="0" quotePrefix="0" xfId="0"/>
    <xf numFmtId="0" fontId="5" fillId="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Claude</author>
  </authors>
  <commentList>
    <comment ref="B1" authorId="0" shapeId="0">
      <text>
        <t>Score = Rugby x w + Scenery x w + Gap programme x w + Email confidence x w. Weights on the 'Weights' sheet.</t>
      </text>
    </comment>
    <comment ref="M1" authorId="0" shapeId="0">
      <text>
        <t>verified = seen on school website; inferred = built from the school's email pattern (double-check); generic = office/boarding inbox, no named person found.</t>
      </text>
    </comment>
    <comment ref="AA1" authorId="0" shapeId="0">
      <text>
        <t>Auto: 10 days after Date emailed.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tream.school.nz/" TargetMode="External" Id="rId1" /><Relationship Type="http://schemas.openxmlformats.org/officeDocument/2006/relationships/hyperlink" Target="https://www.stream.school.nz/our-college/our-people" TargetMode="External" Id="rId2" /><Relationship Type="http://schemas.openxmlformats.org/officeDocument/2006/relationships/hyperlink" Target="https://www.scotscollege.school.nz/" TargetMode="External" Id="rId3" /><Relationship Type="http://schemas.openxmlformats.org/officeDocument/2006/relationships/hyperlink" Target="https://www.scotscollege.school.nz/contacts-directory/" TargetMode="External" Id="rId4" /><Relationship Type="http://schemas.openxmlformats.org/officeDocument/2006/relationships/hyperlink" Target="https://www.stac.school.nz/boarding" TargetMode="External" Id="rId5" /><Relationship Type="http://schemas.openxmlformats.org/officeDocument/2006/relationships/hyperlink" Target="https://www.stac.school.nz/why-stac/our-people ; https://www.stac.school.nz/boarding/our-boarding-staff" TargetMode="External" Id="rId6" /><Relationship Type="http://schemas.openxmlformats.org/officeDocument/2006/relationships/hyperlink" Target="https://www.lindisfarne.school.nz/" TargetMode="External" Id="rId7" /><Relationship Type="http://schemas.openxmlformats.org/officeDocument/2006/relationships/hyperlink" Target="https://a.storyblok.com/f/292273512629791/x/5d59f27f18/staff-contact-list.pdf (2026 Teaching Staff Contact List; house contacts at https://www.lindisfarne.school.nz/boarding)" TargetMode="External" Id="rId8" /><Relationship Type="http://schemas.openxmlformats.org/officeDocument/2006/relationships/hyperlink" Target="https://rathkeale.school.nz/" TargetMode="External" Id="rId9" /><Relationship Type="http://schemas.openxmlformats.org/officeDocument/2006/relationships/hyperlink" Target="https://rathkeale.school.nz/boarding-houses/" TargetMode="External" Id="rId10" /><Relationship Type="http://schemas.openxmlformats.org/officeDocument/2006/relationships/hyperlink" Target="https://timaruboys.school.nz/boarding/staff/" TargetMode="External" Id="rId11" /><Relationship Type="http://schemas.openxmlformats.org/officeDocument/2006/relationships/hyperlink" Target="https://timaruboys.school.nz/boarding/staff/ (emails) ; https://timaruboys.school.nz/assets/Uploads/Thomas-House-Handbook-2019.pdf (gap tutors)" TargetMode="External" Id="rId12" /><Relationship Type="http://schemas.openxmlformats.org/officeDocument/2006/relationships/hyperlink" Target="https://nelson.school.nz/boarding/" TargetMode="External" Id="rId13" /><Relationship Type="http://schemas.openxmlformats.org/officeDocument/2006/relationships/hyperlink" Target="https://nelson.school.nz/latest-news/boarding-newsletter-may-2026/ (also https://nelson.school.nz/boarding/our-boarding-houses/)" TargetMode="External" Id="rId14" /><Relationship Type="http://schemas.openxmlformats.org/officeDocument/2006/relationships/hyperlink" Target="https://www.npbhs.school.nz/boarding-life" TargetMode="External" Id="rId15" /><Relationship Type="http://schemas.openxmlformats.org/officeDocument/2006/relationships/hyperlink" Target="https://www.npbhs.school.nz/director-boarding (email is Cloudflare-obfuscated in the page and decoded from the page source)" TargetMode="External" Id="rId16" /><Relationship Type="http://schemas.openxmlformats.org/officeDocument/2006/relationships/hyperlink" Target="https://christscollege.com/enrolments/boarding" TargetMode="External" Id="rId17" /><Relationship Type="http://schemas.openxmlformats.org/officeDocument/2006/relationships/hyperlink" Target="https://online.flippingbook.com/view/1002621 (2026 International guide: bvink@) ; https://online.flippingbook.com/view/769621/ , /629468/ , /373206/ (2026 house booklets)" TargetMode="External" Id="rId18" /><Relationship Type="http://schemas.openxmlformats.org/officeDocument/2006/relationships/hyperlink" Target="https://www.cbhs.school.nz/discover-cbhs/adams-house/" TargetMode="External" Id="rId19" /><Relationship Type="http://schemas.openxmlformats.org/officeDocument/2006/relationships/hyperlink" Target="https://www.cbhs.school.nz/discover-cbhs/adams-house/" TargetMode="External" Id="rId20" /><Relationship Type="http://schemas.openxmlformats.org/officeDocument/2006/relationships/hyperlink" Target="https://www.nbhs.school.nz/" TargetMode="External" Id="rId21" /><Relationship Type="http://schemas.openxmlformats.org/officeDocument/2006/relationships/hyperlink" Target="https://www.nbhs.school.nz/contact/ (also https://www.nbhs.school.nz/boarding/boarding-at-scinde-house/)" TargetMode="External" Id="rId22" /><Relationship Type="http://schemas.openxmlformats.org/officeDocument/2006/relationships/hyperlink" Target="https://www.stbedes.school.nz/living-at-st-bedes/" TargetMode="External" Id="rId23" /><Relationship Type="http://schemas.openxmlformats.org/officeDocument/2006/relationships/hyperlink" Target="https://www.stbedes.school.nz/wp-content/uploads/2026/01/2026-Boarding-Handbook.pdf" TargetMode="External" Id="rId24" /><Relationship Type="http://schemas.openxmlformats.org/officeDocument/2006/relationships/hyperlink" Target="https://www.fdmc.school.nz/" TargetMode="External" Id="rId25" /><Relationship Type="http://schemas.openxmlformats.org/officeDocument/2006/relationships/hyperlink" Target="https://www.fdmc.school.nz/Boarding-1/our-staff" TargetMode="External" Id="rId26" /><Relationship Type="http://schemas.openxmlformats.org/officeDocument/2006/relationships/hyperlink" Target="https://www.mcglashan.school.nz" TargetMode="External" Id="rId27" /><Relationship Type="http://schemas.openxmlformats.org/officeDocument/2006/relationships/hyperlink" Target="https://www.mcglashan.school.nz/enrolments/boarding" TargetMode="External" Id="rId28" /><Relationship Type="http://schemas.openxmlformats.org/officeDocument/2006/relationships/hyperlink" Target="https://www.pnbhs.school.nz/" TargetMode="External" Id="rId29" /><Relationship Type="http://schemas.openxmlformats.org/officeDocument/2006/relationships/hyperlink" Target="https://www.pnbhs.school.nz/college-house/staff-contact" TargetMode="External" Id="rId30" /><Relationship Type="http://schemas.openxmlformats.org/officeDocument/2006/relationships/hyperlink" Target="https://www.feildinghigh.school.nz/" TargetMode="External" Id="rId31" /><Relationship Type="http://schemas.openxmlformats.org/officeDocument/2006/relationships/hyperlink" Target="https://www.feildinghigh.school.nz/hostel/staff-contacts" TargetMode="External" Id="rId32" /><Relationship Type="http://schemas.openxmlformats.org/officeDocument/2006/relationships/hyperlink" Target="https://collegiate.school.nz/" TargetMode="External" Id="rId33" /><Relationship Type="http://schemas.openxmlformats.org/officeDocument/2006/relationships/hyperlink" Target="https://collegiate.school.nz/our-people/" TargetMode="External" Id="rId34" /><Relationship Type="http://schemas.openxmlformats.org/officeDocument/2006/relationships/hyperlink" Target="https://www.obhs.school.nz" TargetMode="External" Id="rId35" /><Relationship Type="http://schemas.openxmlformats.org/officeDocument/2006/relationships/hyperlink" Target="https://www.obhs.school.nz/our-approach/boarding/staff" TargetMode="External" Id="rId36" /><Relationship Type="http://schemas.openxmlformats.org/officeDocument/2006/relationships/hyperlink" Target="https://www.sbhs.school.nz" TargetMode="External" Id="rId37" /><Relationship Type="http://schemas.openxmlformats.org/officeDocument/2006/relationships/hyperlink" Target="https://www.sbhs.school.nz/coldstream-hostel-staff" TargetMode="External" Id="rId38" /><Relationship Type="http://schemas.openxmlformats.org/officeDocument/2006/relationships/hyperlink" Target="https://hatopaora.school.nz/" TargetMode="External" Id="rId39" /><Relationship Type="http://schemas.openxmlformats.org/officeDocument/2006/relationships/hyperlink" Target="https://hatopaora.school.nz/our-people/" TargetMode="External" Id="rId40" /><Relationship Type="http://schemas.openxmlformats.org/officeDocument/2006/relationships/hyperlink" Target="https://www.garincollegehostel.nz/" TargetMode="External" Id="rId41" /><Relationship Type="http://schemas.openxmlformats.org/officeDocument/2006/relationships/hyperlink" Target="https://www.garincollegehostel.nz/life-at-garin-boarding (hostel@ email); https://www.garincollege.ac.nz/join-our-hostel-team/ (Robert Booth, Hostel Manager, May 2025)" TargetMode="External" Id="rId42" /><Relationship Type="http://schemas.openxmlformats.org/officeDocument/2006/relationships/hyperlink" Target="https://www.waitakibhs.school.nz" TargetMode="External" Id="rId43" /><Relationship Type="http://schemas.openxmlformats.org/officeDocument/2006/relationships/hyperlink" Target="https://www.waitakibhs.school.nz/contact/our-team/hostel-management" TargetMode="External" Id="rId44" /><Relationship Type="http://schemas.openxmlformats.org/officeDocument/2006/relationships/hyperlink" Target="https://www.stkevins.school.nz" TargetMode="External" Id="rId45" /><Relationship Type="http://schemas.openxmlformats.org/officeDocument/2006/relationships/hyperlink" Target="https://www.stkevins.school.nz/our-staff/" TargetMode="External" Id="rId46" /><Relationship Type="http://schemas.openxmlformats.org/officeDocument/2006/relationships/hyperlink" Target="https://teaute.maori.nz/" TargetMode="External" Id="rId47" /><Relationship Type="http://schemas.openxmlformats.org/officeDocument/2006/relationships/hyperlink" Target="https://teaute.maori.nz/contact" TargetMode="External" Id="rId48" /><Relationship Type="http://schemas.openxmlformats.org/officeDocument/2006/relationships/hyperlink" Target="https://www.dunstan.school.nz" TargetMode="External" Id="rId49" /><Relationship Type="http://schemas.openxmlformats.org/officeDocument/2006/relationships/hyperlink" Target="https://dunstan.ibcdn.nz/media/2026_03_11_hostel-application-information-pack-2027-1-1.pdf" TargetMode="External" Id="rId50" /><Relationship Type="http://schemas.openxmlformats.org/officeDocument/2006/relationships/hyperlink" Target="https://mtaspiring.school.nz" TargetMode="External" Id="rId51" /><Relationship Type="http://schemas.openxmlformats.org/officeDocument/2006/relationships/hyperlink" Target="https://mtaspiring.school.nz/wp-content/uploads/2025/04/2026-MAC-Hostel-Application-Pack.pdf" TargetMode="External" Id="rId52" /><Relationship Type="http://schemas.openxmlformats.org/officeDocument/2006/relationships/hyperlink" Target="https://www.lac.school.nz/" TargetMode="External" Id="rId53" /><Relationship Type="http://schemas.openxmlformats.org/officeDocument/2006/relationships/hyperlink" Target="https://www.lac.school.nz/lac-house/lac-house-team" TargetMode="External" Id="rId5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B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34" customWidth="1" min="3" max="3"/>
    <col width="18" customWidth="1" min="4" max="4"/>
    <col width="16" customWidth="1" min="5" max="5"/>
    <col width="9" customWidth="1" min="6" max="6"/>
    <col width="16" customWidth="1" min="7" max="7"/>
    <col width="28" customWidth="1" min="8" max="8"/>
    <col width="11" customWidth="1" min="9" max="9"/>
    <col width="24" customWidth="1" min="10" max="10"/>
    <col width="24" customWidth="1" min="11" max="11"/>
    <col width="36" customWidth="1" min="12" max="12"/>
    <col width="12" customWidth="1" min="13" max="13"/>
    <col width="30" customWidth="1" min="14" max="14"/>
    <col width="16" customWidth="1" min="15" max="15"/>
    <col width="12" customWidth="1" min="16" max="16"/>
    <col width="45" customWidth="1" min="17" max="17"/>
    <col width="9" customWidth="1" min="18" max="18"/>
    <col width="45" customWidth="1" min="19" max="19"/>
    <col width="9" customWidth="1" min="20" max="20"/>
    <col width="40" customWidth="1" min="21" max="21"/>
    <col width="30" customWidth="1" min="22" max="22"/>
    <col width="40" customWidth="1" min="23" max="23"/>
    <col width="45" customWidth="1" min="24" max="24"/>
    <col width="16" customWidth="1" min="25" max="25"/>
    <col width="13" customWidth="1" min="26" max="26"/>
    <col width="13" customWidth="1" min="27" max="27"/>
    <col width="35" customWidth="1" min="28" max="28"/>
  </cols>
  <sheetData>
    <row r="1" ht="32" customHeight="1">
      <c r="A1" s="1" t="inlineStr">
        <is>
          <t>Rank</t>
        </is>
      </c>
      <c r="B1" s="1" t="inlineStr">
        <is>
          <t>Score</t>
        </is>
      </c>
      <c r="C1" s="1" t="inlineStr">
        <is>
          <t>School</t>
        </is>
      </c>
      <c r="D1" s="1" t="inlineStr">
        <is>
          <t>Region</t>
        </is>
      </c>
      <c r="E1" s="1" t="inlineStr">
        <is>
          <t>Town</t>
        </is>
      </c>
      <c r="F1" s="1" t="inlineStr">
        <is>
          <t>Gender</t>
        </is>
      </c>
      <c r="G1" s="1" t="inlineStr">
        <is>
          <t>Type</t>
        </is>
      </c>
      <c r="H1" s="1" t="inlineStr">
        <is>
          <t>Boarding houses</t>
        </is>
      </c>
      <c r="I1" s="1" t="inlineStr">
        <is>
          <t>Boarders (approx)</t>
        </is>
      </c>
      <c r="J1" s="1" t="inlineStr">
        <is>
          <t>Head of Boarding / contact</t>
        </is>
      </c>
      <c r="K1" s="1" t="inlineStr">
        <is>
          <t>Title</t>
        </is>
      </c>
      <c r="L1" s="1" t="inlineStr">
        <is>
          <t>EMAIL TO USE</t>
        </is>
      </c>
      <c r="M1" s="1" t="inlineStr">
        <is>
          <t>Email confidence</t>
        </is>
      </c>
      <c r="N1" s="1" t="inlineStr">
        <is>
          <t>Alternative email</t>
        </is>
      </c>
      <c r="O1" s="1" t="inlineStr">
        <is>
          <t>Phone</t>
        </is>
      </c>
      <c r="P1" s="1" t="inlineStr">
        <is>
          <t>Gap tutor programme</t>
        </is>
      </c>
      <c r="Q1" s="1" t="inlineStr">
        <is>
          <t>Gap notes</t>
        </is>
      </c>
      <c r="R1" s="1" t="inlineStr">
        <is>
          <t>Rugby (1-5)</t>
        </is>
      </c>
      <c r="S1" s="1" t="inlineStr">
        <is>
          <t>Rugby notes</t>
        </is>
      </c>
      <c r="T1" s="1" t="inlineStr">
        <is>
          <t>Scenery (1-5)</t>
        </is>
      </c>
      <c r="U1" s="1" t="inlineStr">
        <is>
          <t>Scenery notes</t>
        </is>
      </c>
      <c r="V1" s="1" t="inlineStr">
        <is>
          <t>Website</t>
        </is>
      </c>
      <c r="W1" s="1" t="inlineStr">
        <is>
          <t>Source of contact</t>
        </is>
      </c>
      <c r="X1" s="1" t="inlineStr">
        <is>
          <t>Other notes</t>
        </is>
      </c>
      <c r="Y1" s="1" t="inlineStr">
        <is>
          <t>Status</t>
        </is>
      </c>
      <c r="Z1" s="1" t="inlineStr">
        <is>
          <t>Date emailed</t>
        </is>
      </c>
      <c r="AA1" s="1" t="inlineStr">
        <is>
          <t>Follow up by</t>
        </is>
      </c>
      <c r="AB1" s="1" t="inlineStr">
        <is>
          <t>Reply / notes</t>
        </is>
      </c>
    </row>
    <row r="2">
      <c r="A2" s="2">
        <f>RANK(B2,$B$2:$B$28)</f>
        <v/>
      </c>
      <c r="B2" s="2">
        <f>R2*Weights!$B$4+T2*Weights!$B$5+IF(P2="yes",5,IF(P2="likely",3,IF(P2="unknown",1,0)))*Weights!$B$6+IF(M2="verified",5,IF(M2="inferred",3,IF(M2="generic",1,0)))*Weights!$B$7</f>
        <v/>
      </c>
      <c r="C2" s="2" t="inlineStr">
        <is>
          <t>St Patrick's College, Silverstream</t>
        </is>
      </c>
      <c r="D2" s="2" t="inlineStr">
        <is>
          <t>Wellington</t>
        </is>
      </c>
      <c r="E2" s="2" t="inlineStr">
        <is>
          <t>Upper Hutt (Silverstream)</t>
        </is>
      </c>
      <c r="F2" s="2" t="inlineStr">
        <is>
          <t>boys</t>
        </is>
      </c>
      <c r="G2" s="2" t="inlineStr">
        <is>
          <t>state-integrated (Catholic, Marist)</t>
        </is>
      </c>
      <c r="H2" s="2" t="inlineStr">
        <is>
          <t>Redwood House</t>
        </is>
      </c>
      <c r="I2" s="2" t="inlineStr">
        <is>
          <t>c.102 (capacity up to 110)</t>
        </is>
      </c>
      <c r="J2" s="2" t="inlineStr">
        <is>
          <t>Te Tahinga Whaanga-Davies</t>
        </is>
      </c>
      <c r="K2" s="2" t="inlineStr">
        <is>
          <t>Director of Boarding</t>
        </is>
      </c>
      <c r="L2" s="3" t="inlineStr">
        <is>
          <t>whaanga-daviest@stream.school.nz</t>
        </is>
      </c>
      <c r="M2" s="2" t="inlineStr">
        <is>
          <t>verified</t>
        </is>
      </c>
      <c r="N2" s="2" t="inlineStr">
        <is>
          <t>boarding@stream.school.nz (boarding enquiries)</t>
        </is>
      </c>
      <c r="O2" s="2" t="inlineStr">
        <is>
          <t>+64 4 939 4224 (college); 021 024 38665 (boarding)</t>
        </is>
      </c>
      <c r="P2" s="2" t="inlineStr">
        <is>
          <t>yes</t>
        </is>
      </c>
      <c r="Q2" s="2" t="inlineStr">
        <is>
          <t>Boarding 'Our Team' page lists two current Gap Assistants from England (Luke Flexman, Hamish Turner). Recruits UK gappies every year.</t>
        </is>
      </c>
      <c r="R2" s="2" t="n">
        <v>5</v>
      </c>
      <c r="S2" s="2" t="inlineStr">
        <is>
          <t>Wellington 1st XV Premiership champions 2024 and 2025 (unbeaten in 2025, 9th title). Reached the national Top 4 in 2026 (reported 3rd/4th). Probably the strongest rugby school in the Wellington region.</t>
        </is>
      </c>
      <c r="T2" s="2" t="n">
        <v>4</v>
      </c>
      <c r="U2" s="2" t="inlineStr">
        <is>
          <t>Hutt Valley below the Remutaka and Tararua ranges; mountain biking and tramping; 30 min to Wellington harbour and the Interislander ferry.</t>
        </is>
      </c>
      <c r="V2" s="2" t="inlineStr">
        <is>
          <t>https://www.stream.school.nz/</t>
        </is>
      </c>
      <c r="W2" s="2" t="inlineStr">
        <is>
          <t>https://www.stream.school.nz/our-college/our-people</t>
        </is>
      </c>
      <c r="X2" s="2" t="inlineStr">
        <is>
          <t>Top target: elite rugby plus proven UK gap assistant intake. Director of Boarding email is also given on the Our People page; the boarding welcome page gives boarding@.</t>
        </is>
      </c>
      <c r="Y2" s="4" t="inlineStr">
        <is>
          <t>Not contacted</t>
        </is>
      </c>
      <c r="Z2" s="5" t="n"/>
      <c r="AA2" s="6">
        <f>IF(Z2="","",Z2+10)</f>
        <v/>
      </c>
      <c r="AB2" s="4" t="n"/>
    </row>
    <row r="3">
      <c r="A3" s="2">
        <f>RANK(B3,$B$2:$B$28)</f>
        <v/>
      </c>
      <c r="B3" s="2">
        <f>R3*Weights!$B$4+T3*Weights!$B$5+IF(P3="yes",5,IF(P3="likely",3,IF(P3="unknown",1,0)))*Weights!$B$6+IF(M3="verified",5,IF(M3="inferred",3,IF(M3="generic",1,0)))*Weights!$B$7</f>
        <v/>
      </c>
      <c r="C3" s="2" t="inlineStr">
        <is>
          <t>Scots College</t>
        </is>
      </c>
      <c r="D3" s="2" t="inlineStr">
        <is>
          <t>Wellington</t>
        </is>
      </c>
      <c r="E3" s="2" t="inlineStr">
        <is>
          <t>Strathmore Park, Wellington</t>
        </is>
      </c>
      <c r="F3" s="2" t="inlineStr">
        <is>
          <t>co-ed (fully co-educational since 2022; historically boys)</t>
        </is>
      </c>
      <c r="G3" s="2" t="inlineStr">
        <is>
          <t>independent</t>
        </is>
      </c>
      <c r="H3" s="2" t="inlineStr">
        <is>
          <t>Gibb House (co-ed, 7-day)</t>
        </is>
      </c>
      <c r="I3" s="2" t="inlineStr">
        <is>
          <t>c.110-120 (capacity c.110-120; c.60% domestic / 40% international)</t>
        </is>
      </c>
      <c r="J3" s="2" t="inlineStr">
        <is>
          <t>Matt Bertram</t>
        </is>
      </c>
      <c r="K3" s="2" t="inlineStr">
        <is>
          <t>Director of Boarding and International Services</t>
        </is>
      </c>
      <c r="L3" s="3" t="inlineStr">
        <is>
          <t>matt.bertram@scotscollege.school.nz</t>
        </is>
      </c>
      <c r="M3" s="2" t="inlineStr">
        <is>
          <t>verified</t>
        </is>
      </c>
      <c r="N3" s="2" t="inlineStr">
        <is>
          <t>Kierrin.Gaffney@scotscollege.school.nz (Assistant Director of Boarding); dominic.bird@scotscollege.school.nz (Director of Rugby); hr@scotscollege.school.nz (HR); enquiries@scotscollege.school.nz</t>
        </is>
      </c>
      <c r="O3" s="2" t="inlineStr">
        <is>
          <t>+64 4 388 0850 (main)</t>
        </is>
      </c>
      <c r="P3" s="2" t="inlineStr">
        <is>
          <t>yes</t>
        </is>
      </c>
      <c r="Q3" s="2" t="inlineStr">
        <is>
          <t>Staff directory lists five current 'Gap Tutors' (e.g. Sebastian Turner, Emma Walsingham, Julian Stroh), so there is an established gap tutor programme. HR contact is hr@scotscollege.school.nz. Copy Director of Rugby Dominic Bird to push the rugby coaching angle.</t>
        </is>
      </c>
      <c r="R3" s="2" t="n">
        <v>4</v>
      </c>
      <c r="S3" s="2" t="inlineStr">
        <is>
          <t>Wellington 1st XV Premiership regular (strong home record at Strathmore); national Top 4 runner-up 2015 (lost to Rotorua BHS). Weak 2025 season (lost 97-7 to Napier BHS). Has a Director of Rugby.</t>
        </is>
      </c>
      <c r="T3" s="2" t="n">
        <v>4</v>
      </c>
      <c r="U3" s="2" t="inlineStr">
        <is>
          <t>Eastern Wellington (Miramar peninsula) near the south coast and harbour; city life, Interislander ferry to South Island (Picton/Marlborough Sounds), coastal walks.</t>
        </is>
      </c>
      <c r="V3" s="2" t="inlineStr">
        <is>
          <t>https://www.scotscollege.school.nz/</t>
        </is>
      </c>
      <c r="W3" s="2" t="inlineStr">
        <is>
          <t>https://www.scotscollege.school.nz/contacts-directory/</t>
        </is>
      </c>
      <c r="X3" s="2" t="inlineStr">
        <is>
          <t>Strongest gap-tutor fit in region: active gap tutor cohort plus a Director of Rugby. Contacts directory also lists Boarding Managers Gerald Yang and Rachel More.</t>
        </is>
      </c>
      <c r="Y3" s="4" t="inlineStr">
        <is>
          <t>Not contacted</t>
        </is>
      </c>
      <c r="Z3" s="5" t="n"/>
      <c r="AA3" s="6">
        <f>IF(Z3="","",Z3+10)</f>
        <v/>
      </c>
      <c r="AB3" s="4" t="n"/>
    </row>
    <row r="4">
      <c r="A4" s="2">
        <f>RANK(B4,$B$2:$B$28)</f>
        <v/>
      </c>
      <c r="B4" s="2">
        <f>R4*Weights!$B$4+T4*Weights!$B$5+IF(P4="yes",5,IF(P4="likely",3,IF(P4="unknown",1,0)))*Weights!$B$6+IF(M4="verified",5,IF(M4="inferred",3,IF(M4="generic",1,0)))*Weights!$B$7</f>
        <v/>
      </c>
      <c r="C4" s="2" t="inlineStr">
        <is>
          <t>St Andrew's College (StAC)</t>
        </is>
      </c>
      <c r="D4" s="2" t="inlineStr">
        <is>
          <t>Canterbury</t>
        </is>
      </c>
      <c r="E4" s="2" t="inlineStr">
        <is>
          <t>Christchurch (Merivale/Strowan)</t>
        </is>
      </c>
      <c r="F4" s="2" t="inlineStr">
        <is>
          <t>co-ed</t>
        </is>
      </c>
      <c r="G4" s="2" t="inlineStr">
        <is>
          <t>independent</t>
        </is>
      </c>
      <c r="H4" s="2" t="inlineStr">
        <is>
          <t>MacGibbon House (boys Y9-11), Rutherford House (boys Y11-13), Thompson House (girls Y9-13)</t>
        </is>
      </c>
      <c r="I4" s="2" t="inlineStr">
        <is>
          <t>c.170 (three on-campus houses; Wikipedia cites 167)</t>
        </is>
      </c>
      <c r="J4" s="2" t="inlineStr">
        <is>
          <t>Matt Parr</t>
        </is>
      </c>
      <c r="K4" s="2" t="inlineStr">
        <is>
          <t>Director of Boarding and Head of Hauora (Director of Boarding since 2019)</t>
        </is>
      </c>
      <c r="L4" s="3" t="inlineStr">
        <is>
          <t>MPA@stac.school.nz</t>
        </is>
      </c>
      <c r="M4" s="2" t="inlineStr">
        <is>
          <t>verified</t>
        </is>
      </c>
      <c r="N4" s="2" t="inlineStr">
        <is>
          <t>SGE@stac.school.nz (Struan George, Assistant Director of Boarding &amp; MacGibbon House Manager); IWH@stac.school.nz (Ian White, Rutherford House Manager); LGO@stac.school.nz (Liz Gormack, Thompson House Manager); reception@stac.school.nz</t>
        </is>
      </c>
      <c r="O4" s="2" t="inlineStr">
        <is>
          <t>+64 3 940 2045 (Matt Parr direct); +64 3 940 2020 (Struan George)</t>
        </is>
      </c>
      <c r="P4" s="2" t="inlineStr">
        <is>
          <t>likely</t>
        </is>
      </c>
      <c r="Q4" s="2" t="inlineStr">
        <is>
          <t>Each house has a house manager plus tutors who supervise prep (6.30-8.30pm), sign-outs and weekend activities. No explicit 'gap tutor' page found, but the tutor-based model and Matt Parr's own UK teaching background make it a strong fit. Pitch rugby coaching and academic tutoring directly to him.</t>
        </is>
      </c>
      <c r="R4" s="2" t="n">
        <v>5</v>
      </c>
      <c r="S4" s="2" t="inlineStr">
        <is>
          <t>Won the 2026 Miles Toyota 1st XV Premiership final 33-17 over Christchurch Boys' High, then the South Island title, which put them in the 2026 National Top Four. Alumni include Richie Mo'unga and Ben Blair. Currently the top 1st XV in the region.</t>
        </is>
      </c>
      <c r="T4" s="2" t="n">
        <v>4</v>
      </c>
      <c r="U4" s="2" t="inlineStr">
        <is>
          <t>Leafy north-west Christchurch next to Hagley Park and the Avon. Port Hills and Sumner/New Brighton beaches close by. About 1-1.5 hr to Mt Hutt, Porters and Castle Hill for skiing and tramping. Strong outdoor education programme.</t>
        </is>
      </c>
      <c r="V4" s="2" t="inlineStr">
        <is>
          <t>https://www.stac.school.nz/boarding</t>
        </is>
      </c>
      <c r="W4" s="2" t="inlineStr">
        <is>
          <t>https://www.stac.school.nz/why-stac/our-people ; https://www.stac.school.nz/boarding/our-boarding-staff</t>
        </is>
      </c>
      <c r="X4" s="2" t="inlineStr">
        <is>
          <t>Staff emails use 3-letter codes (first initial + first two letters of surname) @stac.school.nz. Only co-ed boarding school in Canterbury. Boarding fee 2026 about $20,600 on top of tuition.</t>
        </is>
      </c>
      <c r="Y4" s="4" t="inlineStr">
        <is>
          <t>Not contacted</t>
        </is>
      </c>
      <c r="Z4" s="5" t="n"/>
      <c r="AA4" s="6">
        <f>IF(Z4="","",Z4+10)</f>
        <v/>
      </c>
      <c r="AB4" s="4" t="n"/>
    </row>
    <row r="5">
      <c r="A5" s="2">
        <f>RANK(B5,$B$2:$B$28)</f>
        <v/>
      </c>
      <c r="B5" s="2">
        <f>R5*Weights!$B$4+T5*Weights!$B$5+IF(P5="yes",5,IF(P5="likely",3,IF(P5="unknown",1,0)))*Weights!$B$6+IF(M5="verified",5,IF(M5="inferred",3,IF(M5="generic",1,0)))*Weights!$B$7</f>
        <v/>
      </c>
      <c r="C5" s="2" t="inlineStr">
        <is>
          <t>Lindisfarne College</t>
        </is>
      </c>
      <c r="D5" s="2" t="inlineStr">
        <is>
          <t>Hawke's Bay</t>
        </is>
      </c>
      <c r="E5" s="2" t="inlineStr">
        <is>
          <t>Hastings (Frimley)</t>
        </is>
      </c>
      <c r="F5" s="2" t="inlineStr">
        <is>
          <t>boys</t>
        </is>
      </c>
      <c r="G5" s="2" t="inlineStr">
        <is>
          <t>state-integrated</t>
        </is>
      </c>
      <c r="H5" s="2" t="inlineStr">
        <is>
          <t>Plantation House (Yrs 7-8), two Junior Houses (Yr 9 and Yr 10), Campbell House (Yr 11), Kirkpatrick House (Yr 12), Mitchell House (Yr 13): 6 houses, grouped by age</t>
        </is>
      </c>
      <c r="I5" s="2" t="inlineStr">
        <is>
          <t>c.230 (about 40% of a roll of about 560-580)</t>
        </is>
      </c>
      <c r="J5" s="2" t="inlineStr">
        <is>
          <t>Russel Lennox</t>
        </is>
      </c>
      <c r="K5" s="2" t="inlineStr">
        <is>
          <t>Director of Boarding</t>
        </is>
      </c>
      <c r="L5" s="3" t="inlineStr">
        <is>
          <t>lennox.russel@lindisfarne.school.nz</t>
        </is>
      </c>
      <c r="M5" s="2" t="inlineStr">
        <is>
          <t>verified</t>
        </is>
      </c>
      <c r="N5" s="2" t="inlineStr">
        <is>
          <t>reception@lindisfarne.school.nz</t>
        </is>
      </c>
      <c r="O5" s="2" t="inlineStr">
        <is>
          <t>021 883 380 (Director of Boarding); school +64 6 873 1136</t>
        </is>
      </c>
      <c r="P5" s="2" t="inlineStr">
        <is>
          <t>likely</t>
        </is>
      </c>
      <c r="Q5" s="2" t="inlineStr">
        <is>
          <t>No formal gap programme is published. Houses run with resident Housemasters and Assistant Housemasters, and the careers page says staff have opportunities in boarding and pastoral care. A traditional boys' boarding school of this type often takes gap/assistant tutors. Also worth copying in the Director of Rugby, Andre Bell (bell.andre@lindisfarne.school.nz, verified on the 2026 staff list), given the candidate's Bath Academy background.</t>
        </is>
      </c>
      <c r="R5" s="2" t="n">
        <v>4</v>
      </c>
      <c r="S5" s="2" t="inlineStr">
        <is>
          <t>Plays in the CNI (Central North Island) 1st XV competition; 2025 CNI 3rd-place playoff v Wesley College. Has a dedicated Director of Rugby (Andre Bell). Strong rugby tradition, with traditional fixtures against other Hawke's Bay schools.</t>
        </is>
      </c>
      <c r="T5" s="2" t="n">
        <v>5</v>
      </c>
      <c r="U5" s="2" t="inlineStr">
        <is>
          <t>22-hectare campus on the edge of Hastings in the Heretaunga Plains wine/orchard country; Te Mata Peak, Havelock North, Cape Kidnappers, Ocean Beach/Waimarama and the Ruahine/Kaweka ranges are all close.</t>
        </is>
      </c>
      <c r="V5" s="2" t="inlineStr">
        <is>
          <t>https://www.lindisfarne.school.nz/</t>
        </is>
      </c>
      <c r="W5" s="2" t="inlineStr">
        <is>
          <t>https://a.storyblok.com/f/292273512629791/x/5d59f27f18/staff-contact-list.pdf (2026 Teaching Staff Contact List; house contacts at https://www.lindisfarne.school.nz/boarding)</t>
        </is>
      </c>
      <c r="X5" s="2" t="inlineStr">
        <is>
          <t>Staff email pattern is surname.firstname@lindisfarne.school.nz. Housemasters (from the boarding page): Daniel Pooley (Plantation), Henry Harland (Yr 9), Cameron Stuart (Yr 10), Tony Parker (Campbell), Fraser Harrison (Kirkpatrick), Jared Fritchley (Mitchell). Conor Cashman is listed as English/Boarding. Takes Yrs 7-13 but is primarily a secondary school.</t>
        </is>
      </c>
      <c r="Y5" s="4" t="inlineStr">
        <is>
          <t>Not contacted</t>
        </is>
      </c>
      <c r="Z5" s="5" t="n"/>
      <c r="AA5" s="6">
        <f>IF(Z5="","",Z5+10)</f>
        <v/>
      </c>
      <c r="AB5" s="4" t="n"/>
    </row>
    <row r="6">
      <c r="A6" s="2">
        <f>RANK(B6,$B$2:$B$28)</f>
        <v/>
      </c>
      <c r="B6" s="2">
        <f>R6*Weights!$B$4+T6*Weights!$B$5+IF(P6="yes",5,IF(P6="likely",3,IF(P6="unknown",1,0)))*Weights!$B$6+IF(M6="verified",5,IF(M6="inferred",3,IF(M6="generic",1,0)))*Weights!$B$7</f>
        <v/>
      </c>
      <c r="C6" s="2" t="inlineStr">
        <is>
          <t>Rathkeale College</t>
        </is>
      </c>
      <c r="D6" s="2" t="inlineStr">
        <is>
          <t>Wairarapa</t>
        </is>
      </c>
      <c r="E6" s="2" t="inlineStr">
        <is>
          <t>Masterton</t>
        </is>
      </c>
      <c r="F6" s="2" t="inlineStr">
        <is>
          <t>boys (partners with St Matthew's Collegiate as Trinity Schools; senior classes shared)</t>
        </is>
      </c>
      <c r="G6" s="2" t="inlineStr">
        <is>
          <t>state-integrated (Anglican)</t>
        </is>
      </c>
      <c r="H6" s="2" t="inlineStr">
        <is>
          <t>Cranleigh, Repton, Rugby (Year 9s start in Rugby House)</t>
        </is>
      </c>
      <c r="I6" s="2" t="inlineStr">
        <is>
          <t>180+</t>
        </is>
      </c>
      <c r="J6" s="2" t="inlineStr">
        <is>
          <t>Glenn McIntosh</t>
        </is>
      </c>
      <c r="K6" s="2" t="inlineStr">
        <is>
          <t>Director of Boarding (also Housemaster, Cranleigh House)</t>
        </is>
      </c>
      <c r="L6" s="3" t="inlineStr">
        <is>
          <t>gam@rathkeale.school.nz</t>
        </is>
      </c>
      <c r="M6" s="2" t="inlineStr">
        <is>
          <t>verified</t>
        </is>
      </c>
      <c r="N6" s="2" t="inlineStr">
        <is>
          <t>jbb@rathkeale.school.nz (Jesse Bird, Housemaster Repton); pjr@rathkeale.school.nz (Phil Roach, Housemaster Rugby House); office@rathkeale.school.nz</t>
        </is>
      </c>
      <c r="O6" s="2" t="inlineStr">
        <is>
          <t>027 274 6686 (G. McIntosh); (06) 370 0175 (reception)</t>
        </is>
      </c>
      <c r="P6" s="2" t="inlineStr">
        <is>
          <t>likely</t>
        </is>
      </c>
      <c r="Q6" s="2" t="inlineStr">
        <is>
          <t>Boarding pages mention live-in housemasters, matrons and tutors. No page names gap tutors explicitly, but it is a classic rural Anglican boarding school of the type that takes UK gappies. Worth asking.</t>
        </is>
      </c>
      <c r="R6" s="2" t="n">
        <v>4</v>
      </c>
      <c r="S6" s="2" t="inlineStr">
        <is>
          <t>Plays in the Wellington 1st XV Premiership (2025 fixtures against Scots and St Pat's Silverstream) and has Central North Island links. Strong rural rugby culture; has its own old-boys rugby club (rcrc.org.nz). Not a recent national Top 4 side.</t>
        </is>
      </c>
      <c r="T6" s="2" t="n">
        <v>5</v>
      </c>
      <c r="U6" s="2" t="inlineStr">
        <is>
          <t>Rural Wairarapa campus (Willow Park) near the Tararua Forest Park; wine country (Martinborough), Castlepoint coast; about 1.5 h to Wellington.</t>
        </is>
      </c>
      <c r="V6" s="2" t="inlineStr">
        <is>
          <t>https://rathkeale.school.nz/</t>
        </is>
      </c>
      <c r="W6" s="2" t="inlineStr">
        <is>
          <t>https://rathkeale.school.nz/boarding-houses/</t>
        </is>
      </c>
      <c r="X6" s="2" t="inlineStr">
        <is>
          <t>All house contacts with emails are on the boarding-houses page. Strong fit for rugby and the outdoors.</t>
        </is>
      </c>
      <c r="Y6" s="4" t="inlineStr">
        <is>
          <t>Not contacted</t>
        </is>
      </c>
      <c r="Z6" s="5" t="n"/>
      <c r="AA6" s="6">
        <f>IF(Z6="","",Z6+10)</f>
        <v/>
      </c>
      <c r="AB6" s="4" t="n"/>
    </row>
    <row r="7">
      <c r="A7" s="2">
        <f>RANK(B7,$B$2:$B$28)</f>
        <v/>
      </c>
      <c r="B7" s="2">
        <f>R7*Weights!$B$4+T7*Weights!$B$5+IF(P7="yes",5,IF(P7="likely",3,IF(P7="unknown",1,0)))*Weights!$B$6+IF(M7="verified",5,IF(M7="inferred",3,IF(M7="generic",1,0)))*Weights!$B$7</f>
        <v/>
      </c>
      <c r="C7" s="2" t="inlineStr">
        <is>
          <t>Timaru Boys' High School</t>
        </is>
      </c>
      <c r="D7" s="2" t="inlineStr">
        <is>
          <t>Canterbury (South Canterbury)</t>
        </is>
      </c>
      <c r="E7" s="2" t="inlineStr">
        <is>
          <t>Timaru</t>
        </is>
      </c>
      <c r="F7" s="2" t="inlineStr">
        <is>
          <t>boys</t>
        </is>
      </c>
      <c r="G7" s="2" t="inlineStr">
        <is>
          <t>state</t>
        </is>
      </c>
      <c r="H7" s="2" t="inlineStr">
        <is>
          <t>Thomas House (est. 1907/08)</t>
        </is>
      </c>
      <c r="I7" s="2" t="inlineStr">
        <is>
          <t>up to 120 (reached capacity of 119 in 2017)</t>
        </is>
      </c>
      <c r="J7" s="2" t="inlineStr">
        <is>
          <t>Steve Blair</t>
        </is>
      </c>
      <c r="K7" s="2" t="inlineStr">
        <is>
          <t>Director of Boarding, Thomas House</t>
        </is>
      </c>
      <c r="L7" s="3" t="inlineStr">
        <is>
          <t>boardingdi@timaruboys.school.nz</t>
        </is>
      </c>
      <c r="M7" s="2" t="inlineStr">
        <is>
          <t>verified</t>
        </is>
      </c>
      <c r="N7" s="2" t="inlineStr">
        <is>
          <t>managerre@timaruboys.school.nz (Christine Murdoch, Residential Manager); tbhs@timaruboys.school.nz (main office)</t>
        </is>
      </c>
      <c r="O7" s="2" t="inlineStr">
        <is>
          <t>03 687 7560 (main)</t>
        </is>
      </c>
      <c r="P7" s="2" t="inlineStr">
        <is>
          <t>yes</t>
        </is>
      </c>
      <c r="Q7" s="2" t="inlineStr">
        <is>
          <t>The Thomas House handbook has a 'Gap Tutors' section ('assistance of Gap tutors who assist with prep'). School news has featured UK gappies joining Thomas House for a year, e.g. Luke Baker from Hertfordshire. Lattitude also places volunteers in Timaru. Very strong fit.</t>
        </is>
      </c>
      <c r="R7" s="2" t="n">
        <v>3</v>
      </c>
      <c r="S7" s="2" t="inlineStr">
        <is>
          <t>Plays the Canterbury Miles Toyota 1st XV Premiership (e.g. v St Andrew's in 2026) and South Island boys' school fixtures. Reached its first UC Cup final in 2017. Old boys include All Black Archie Strang and Scotland's Brendan Laney.</t>
        </is>
      </c>
      <c r="T7" s="2" t="n">
        <v>4</v>
      </c>
      <c r="U7" s="2" t="inlineStr">
        <is>
          <t>Coastal Timaru (Caroline Bay). About 1-1.5 hr to Mt Dobson, Fox Peak and Roundhill ski fields, Lake Tekapo and the Mackenzie Basin, and about 2.5 hr to Aoraki/Mt Cook. Good base for skiing, tramping and lakes.</t>
        </is>
      </c>
      <c r="V7" s="2" t="inlineStr">
        <is>
          <t>https://timaruboys.school.nz/boarding/staff/</t>
        </is>
      </c>
      <c r="W7" s="2" t="inlineStr">
        <is>
          <t>https://timaruboys.school.nz/boarding/staff/ (emails) ; https://timaruboys.school.nz/assets/Uploads/Thomas-House-Handbook-2019.pdf (gap tutors)</t>
        </is>
      </c>
      <c r="X7" s="2" t="inlineStr">
        <is>
          <t>The Director of Boarding email is a role address (named person Steve Blair per the staff page and ERO). Housemasters listed: Darren Robertson (also Hostel Assistant Manager), Miro MacDonald, Sam Sugar, Jordan Walker, Nathan Archibald. Boarding fee 2026 $16,900.</t>
        </is>
      </c>
      <c r="Y7" s="4" t="inlineStr">
        <is>
          <t>Not contacted</t>
        </is>
      </c>
      <c r="Z7" s="5" t="n"/>
      <c r="AA7" s="6">
        <f>IF(Z7="","",Z7+10)</f>
        <v/>
      </c>
      <c r="AB7" s="4" t="n"/>
    </row>
    <row r="8">
      <c r="A8" s="2">
        <f>RANK(B8,$B$2:$B$28)</f>
        <v/>
      </c>
      <c r="B8" s="2">
        <f>R8*Weights!$B$4+T8*Weights!$B$5+IF(P8="yes",5,IF(P8="likely",3,IF(P8="unknown",1,0)))*Weights!$B$6+IF(M8="verified",5,IF(M8="inferred",3,IF(M8="generic",1,0)))*Weights!$B$7</f>
        <v/>
      </c>
      <c r="C8" s="2" t="inlineStr">
        <is>
          <t>Nelson College</t>
        </is>
      </c>
      <c r="D8" s="2" t="inlineStr">
        <is>
          <t>Nelson</t>
        </is>
      </c>
      <c r="E8" s="2" t="inlineStr">
        <is>
          <t>Nelson</t>
        </is>
      </c>
      <c r="F8" s="2" t="inlineStr">
        <is>
          <t>boys</t>
        </is>
      </c>
      <c r="G8" s="2" t="inlineStr">
        <is>
          <t>state</t>
        </is>
      </c>
      <c r="H8" s="2" t="inlineStr">
        <is>
          <t>Rutherford House; Barnicoat House</t>
        </is>
      </c>
      <c r="I8" s="2" t="inlineStr">
        <is>
          <t>Not published on the site; two historic houses taking Years 7-13 (Barnicoat also houses Prep boys). About 80+ boarders play a winter sport code (May 2026 newsletter), so the total is likely 120-180 (estimate)</t>
        </is>
      </c>
      <c r="J8" s="2" t="inlineStr">
        <is>
          <t>Simon Mardon</t>
        </is>
      </c>
      <c r="K8" s="2" t="inlineStr">
        <is>
          <t>Director of Boarding (also Commerce teacher)</t>
        </is>
      </c>
      <c r="L8" s="3" t="inlineStr">
        <is>
          <t>mn@nelson.school.nz</t>
        </is>
      </c>
      <c r="M8" s="2" t="inlineStr">
        <is>
          <t>verified</t>
        </is>
      </c>
      <c r="N8" s="2" t="inlineStr">
        <is>
          <t>boarding@nelson.school.nz (boarding office, on the enrol page); ce@nelson.school.nz (Mark Cochrane, Rutherford House Housemaster, also Assistant Sports Co-ordinator and PE teacher, a good cc for rugby coaching); rc@nelson.school.nz (Ronni Cullen, Boarding Administrator)</t>
        </is>
      </c>
      <c r="O8" s="2" t="inlineStr">
        <is>
          <t>Simon Mardon mobile 027 477 1947 (May 2026 newsletter); school 03 548 3099</t>
        </is>
      </c>
      <c r="P8" s="2" t="inlineStr">
        <is>
          <t>unknown</t>
        </is>
      </c>
      <c r="Q8" s="2" t="inlineStr">
        <is>
          <t>No public mention of gap tutors or gappies on the Nelson College site or in search results. Live-in staff are mostly teachers. The large boys' boarding operation with Year 7-13 boarders is a plausible fit for a cold approach.</t>
        </is>
      </c>
      <c r="R8" s="2" t="n">
        <v>5</v>
      </c>
      <c r="S8" s="2" t="inlineStr">
        <is>
          <t>A leading South Island rugby school, one of NZ's oldest rugby schools (first NZ club game 1870). 2024 was its most successful 1st XV season: Miles Toyota Premiership, South Island champions and national Top 4 runners-up. In 2026 it plays the Tasman Miles Toyota 1st XV Boys' Premiership plus the new South Island boys' 1st XV competition against CBHS, St Andrew's and others. All Black old boys include Leicester Fainga'anuku.</t>
        </is>
      </c>
      <c r="T8" s="2" t="n">
        <v>5</v>
      </c>
      <c r="U8" s="2" t="inlineStr">
        <is>
          <t>Nelson is NZ's sunniest city. Abel Tasman National Park, Golden Bay, Kahurangi and Nelson Lakes are nearby, with beaches, mountain biking, and skiing at Rainbow/Mt Robert. The site mentions beach trips and ski days for boarders.</t>
        </is>
      </c>
      <c r="V8" s="2" t="inlineStr">
        <is>
          <t>https://nelson.school.nz/boarding/</t>
        </is>
      </c>
      <c r="W8" s="2" t="inlineStr">
        <is>
          <t>https://nelson.school.nz/latest-news/boarding-newsletter-may-2026/ (also https://nelson.school.nz/boarding/our-boarding-houses/)</t>
        </is>
      </c>
      <c r="X8" s="2" t="inlineStr">
        <is>
          <t>Both nelson.school.nz and the older nelsoncollege.school.nz domain appear on the site. Use @nelson.school.nz, the current domain in the May 2026 newsletter. The staff email pattern is two-letter initials (first letter of first name + last letter of surname, e.g. mn = Mardon, ce = Cochrane). Emphasise rugby coaching and Economics/Maths tutoring, since Mardon teaches Commerce.</t>
        </is>
      </c>
      <c r="Y8" s="4" t="inlineStr">
        <is>
          <t>Not contacted</t>
        </is>
      </c>
      <c r="Z8" s="5" t="n"/>
      <c r="AA8" s="6">
        <f>IF(Z8="","",Z8+10)</f>
        <v/>
      </c>
      <c r="AB8" s="4" t="n"/>
    </row>
    <row r="9">
      <c r="A9" s="2">
        <f>RANK(B9,$B$2:$B$28)</f>
        <v/>
      </c>
      <c r="B9" s="2">
        <f>R9*Weights!$B$4+T9*Weights!$B$5+IF(P9="yes",5,IF(P9="likely",3,IF(P9="unknown",1,0)))*Weights!$B$6+IF(M9="verified",5,IF(M9="inferred",3,IF(M9="generic",1,0)))*Weights!$B$7</f>
        <v/>
      </c>
      <c r="C9" s="2" t="inlineStr">
        <is>
          <t>New Plymouth Boys' High School</t>
        </is>
      </c>
      <c r="D9" s="2" t="inlineStr">
        <is>
          <t>Taranaki</t>
        </is>
      </c>
      <c r="E9" s="2" t="inlineStr">
        <is>
          <t>New Plymouth</t>
        </is>
      </c>
      <c r="F9" s="2" t="inlineStr">
        <is>
          <t>boys</t>
        </is>
      </c>
      <c r="G9" s="2" t="inlineStr">
        <is>
          <t>state</t>
        </is>
      </c>
      <c r="H9" s="2" t="inlineStr">
        <is>
          <t>Boarding hostel for up to 190 across five buildings in two house identities. The boarding staff page lists Heads of Moyes House, Carrington House and Niger House. Note: Barak, Hatherly, Syme and Donnelly are the school's day-school houses, not boarding houses; the brief's 'Barak House' is not a boarding house.</t>
        </is>
      </c>
      <c r="I9" s="2" t="inlineStr">
        <is>
          <t>~190 (capacity 190)</t>
        </is>
      </c>
      <c r="J9" s="2" t="inlineStr">
        <is>
          <t>Jamie Stones</t>
        </is>
      </c>
      <c r="K9" s="2" t="inlineStr">
        <is>
          <t>Director of Boarding (since Term 4 2023; also Director of Hockey)</t>
        </is>
      </c>
      <c r="L9" s="3" t="inlineStr">
        <is>
          <t>directorofboarding@npbhs.school.nz</t>
        </is>
      </c>
      <c r="M9" s="2" t="inlineStr">
        <is>
          <t>verified</t>
        </is>
      </c>
      <c r="N9" s="2" t="inlineStr">
        <is>
          <t>office@npbhs.school.nz (main office). Heads of house: Leighton Price (Moyes), Liam Younger (Carrington), Noho Robinson (Niger), no emails published</t>
        </is>
      </c>
      <c r="O9" s="2" t="inlineStr">
        <is>
          <t>(06) 758 5399</t>
        </is>
      </c>
      <c r="P9" s="2" t="inlineStr">
        <is>
          <t>unknown</t>
        </is>
      </c>
      <c r="Q9" s="2" t="inlineStr">
        <is>
          <t>No public mention of gap tutors. Housemasters are resident teaching staff. With ~190 boarders and 5 house masters plus 2 matrons it is a big operation where an extra resident assistant could be valued. A cold approach is worthwhile.</t>
        </is>
      </c>
      <c r="R9" s="2" t="n">
        <v>5</v>
      </c>
      <c r="S9" s="2" t="inlineStr">
        <is>
          <t>A founding Super 8 school (1997) and one of NZ's premier rugby schools. Super 8 1st XV champions in 2015 and 2020, runners-up in 2013, 2019 and 2021, and a regular contender for the national Top 4. It has produced many All Blacks and has its own ground, The Gully.</t>
        </is>
      </c>
      <c r="T9" s="2" t="n">
        <v>5</v>
      </c>
      <c r="U9" s="2" t="inlineStr">
        <is>
          <t>Mt Taranaki / Egmont National Park, Surf Highway 45 surfing, Coastal Walkway, and Pouakai Crossing. Outdoor Education is offered and the school has surfing, sailing, snowsports and mountain biking codes.</t>
        </is>
      </c>
      <c r="V9" s="2" t="inlineStr">
        <is>
          <t>https://www.npbhs.school.nz/boarding-life</t>
        </is>
      </c>
      <c r="W9" s="2" t="inlineStr">
        <is>
          <t>https://www.npbhs.school.nz/director-boarding (email is Cloudflare-obfuscated in the page and decoded from the page source)</t>
        </is>
      </c>
      <c r="X9" s="2" t="inlineStr">
        <is>
          <t>The email is a role address tied to the Director of Boarding, published on the page naming Jamie Stones. Staff list from https://www.npbhs.school.nz/boarding-staff. 2026 boarding prospectus: https://npbhs2023.ibcdn.nz/media/2026_05_29_boarding-prospectus.pdf. Seven-day boarding with Saturday sport.</t>
        </is>
      </c>
      <c r="Y9" s="4" t="inlineStr">
        <is>
          <t>Not contacted</t>
        </is>
      </c>
      <c r="Z9" s="5" t="n"/>
      <c r="AA9" s="6">
        <f>IF(Z9="","",Z9+10)</f>
        <v/>
      </c>
      <c r="AB9" s="4" t="n"/>
    </row>
    <row r="10">
      <c r="A10" s="2">
        <f>RANK(B10,$B$2:$B$28)</f>
        <v/>
      </c>
      <c r="B10" s="2">
        <f>R10*Weights!$B$4+T10*Weights!$B$5+IF(P10="yes",5,IF(P10="likely",3,IF(P10="unknown",1,0)))*Weights!$B$6+IF(M10="verified",5,IF(M10="inferred",3,IF(M10="generic",1,0)))*Weights!$B$7</f>
        <v/>
      </c>
      <c r="C10" s="2" t="inlineStr">
        <is>
          <t>Christ's College</t>
        </is>
      </c>
      <c r="D10" s="2" t="inlineStr">
        <is>
          <t>Canterbury</t>
        </is>
      </c>
      <c r="E10" s="2" t="inlineStr">
        <is>
          <t>Christchurch (city centre, Rolleston Avenue)</t>
        </is>
      </c>
      <c r="F10" s="2" t="inlineStr">
        <is>
          <t>boys</t>
        </is>
      </c>
      <c r="G10" s="2" t="inlineStr">
        <is>
          <t>independent</t>
        </is>
      </c>
      <c r="H10" s="2" t="inlineStr">
        <is>
          <t>School House, Richards House, Flower's House (3 boarding houses out of 10)</t>
        </is>
      </c>
      <c r="I10" s="2" t="inlineStr">
        <is>
          <t>c.165-180</t>
        </is>
      </c>
      <c r="J10" s="2" t="inlineStr">
        <is>
          <t>Ben Vink</t>
        </is>
      </c>
      <c r="K10" s="2" t="inlineStr">
        <is>
          <t>Deputy Headmaster - Student Care (boarding sits under this portfolio; no 'Director of Boarding' is currently listed)</t>
        </is>
      </c>
      <c r="L10" s="3" t="inlineStr">
        <is>
          <t>bvink@christscollege.com</t>
        </is>
      </c>
      <c r="M10" s="2" t="inlineStr">
        <is>
          <t>verified</t>
        </is>
      </c>
      <c r="N10" s="2" t="inlineStr">
        <is>
          <t>Housemasters (all verified in 2026 house booklets): hrsmith@christscollege.com (Henry Smith, School House; head rowing coach); kharris@christscollege.com (Kevin Harris, Richards House); mellismartin@christscollege.com (Monique Ellis-Martin, Flower's House). Deputies: cnicolson@, zknight@, keri.campbell@christscollege.com. General: receptionist@christscollege.com</t>
        </is>
      </c>
      <c r="O10" s="2" t="inlineStr">
        <is>
          <t>03 366 8705 (main); 027 268 9436 (Ben Vink, from the 2026 International guide)</t>
        </is>
      </c>
      <c r="P10" s="2" t="inlineStr">
        <is>
          <t>likely</t>
        </is>
      </c>
      <c r="Q10" s="2" t="inlineStr">
        <is>
          <t>The 2026 house booklets list 'Residential Tutors and Non-Residential Tutors' in each boarding house, and Wikipedia describes live-in tutors, often university students. Found no page naming UK gap tutors specifically. A housemaster role there was once advertised as starting as a Flower's House boarding tutor. Consider emailing Ben Vink and copying the relevant Housemaster.</t>
        </is>
      </c>
      <c r="R10" s="2" t="n">
        <v>4</v>
      </c>
      <c r="S10" s="2" t="inlineStr">
        <is>
          <t>Plays the Canterbury Miles Toyota 1st XV Premiership and was a 2025 finalist. Traditional rival of Christchurch Boys' High (the College Match, since 1892). Has an annual fixture with Whanganui Collegiate. Claims rugby was played at the school from 1853.</t>
        </is>
      </c>
      <c r="T10" s="2" t="n">
        <v>4</v>
      </c>
      <c r="U10" s="2" t="inlineStr">
        <is>
          <t>Heritage campus in central Christchurch next to Hagley Park and the Botanic Gardens. Quick access to the Port Hills, beaches, and Mt Hutt/Porters ski fields (about 1-1.5 hr). Year 10 boarders do the Duke of Edinburgh Bronze award.</t>
        </is>
      </c>
      <c r="V10" s="2" t="inlineStr">
        <is>
          <t>https://christscollege.com/enrolments/boarding</t>
        </is>
      </c>
      <c r="W10" s="2" t="inlineStr">
        <is>
          <t>https://online.flippingbook.com/view/1002621 (2026 International guide: bvink@) ; https://online.flippingbook.com/view/769621/ , /629468/ , /373206/ (2026 house booklets)</t>
        </is>
      </c>
      <c r="X10" s="2" t="inlineStr">
        <is>
          <t>The website hides emails behind JavaScript forms, but they are printed in the 2026 PDFs/flipbooks. An older, now-404 'Director of Boarding' page named Darrell Thatcher, who is now listed as Senior Deputy Headmaster. Boarding fee about $22,250 (2025).</t>
        </is>
      </c>
      <c r="Y10" s="4" t="inlineStr">
        <is>
          <t>Not contacted</t>
        </is>
      </c>
      <c r="Z10" s="5" t="n"/>
      <c r="AA10" s="6">
        <f>IF(Z10="","",Z10+10)</f>
        <v/>
      </c>
      <c r="AB10" s="4" t="n"/>
    </row>
    <row r="11">
      <c r="A11" s="2">
        <f>RANK(B11,$B$2:$B$28)</f>
        <v/>
      </c>
      <c r="B11" s="2">
        <f>R11*Weights!$B$4+T11*Weights!$B$5+IF(P11="yes",5,IF(P11="likely",3,IF(P11="unknown",1,0)))*Weights!$B$6+IF(M11="verified",5,IF(M11="inferred",3,IF(M11="generic",1,0)))*Weights!$B$7</f>
        <v/>
      </c>
      <c r="C11" s="2" t="inlineStr">
        <is>
          <t>Christchurch Boys' High School (CBHS)</t>
        </is>
      </c>
      <c r="D11" s="2" t="inlineStr">
        <is>
          <t>Canterbury</t>
        </is>
      </c>
      <c r="E11" s="2" t="inlineStr">
        <is>
          <t>Christchurch (Riccarton/Fendalton)</t>
        </is>
      </c>
      <c r="F11" s="2" t="inlineStr">
        <is>
          <t>boys</t>
        </is>
      </c>
      <c r="G11" s="2" t="inlineStr">
        <is>
          <t>state</t>
        </is>
      </c>
      <c r="H11" s="2" t="inlineStr">
        <is>
          <t>Adams House (blocks: Straven, Worcester, Harakeke), 5 min walk from school beside the Avon. NOTE: the house is Adams House, not 'Rolleston House' (Rolleston is a Christ's College day house).</t>
        </is>
      </c>
      <c r="I11" s="2" t="inlineStr">
        <is>
          <t>135</t>
        </is>
      </c>
      <c r="J11" s="2" t="inlineStr">
        <is>
          <t>Rhys Archibald</t>
        </is>
      </c>
      <c r="K11" s="2" t="inlineStr">
        <is>
          <t>Head of Boarding (Adams House)</t>
        </is>
      </c>
      <c r="L11" s="3" t="inlineStr">
        <is>
          <t>arr@cbhs.nz</t>
        </is>
      </c>
      <c r="M11" s="2" t="inlineStr">
        <is>
          <t>verified</t>
        </is>
      </c>
      <c r="N11" s="2" t="inlineStr">
        <is>
          <t>enquiries@cbhs.nz; enrolments@cbhs.nz</t>
        </is>
      </c>
      <c r="O11" s="2" t="inlineStr">
        <is>
          <t>03 348 5003 (main)</t>
        </is>
      </c>
      <c r="P11" s="2" t="inlineStr">
        <is>
          <t>unknown</t>
        </is>
      </c>
      <c r="Q11" s="2" t="inlineStr">
        <is>
          <t>Adams House advertises supervised prep, peer support and private tutors. No public mention of gap tutors found. Lattitude Global Volunteering has listed CBHS among Christchurch boarding-school options, so still worth a direct approach.</t>
        </is>
      </c>
      <c r="R11" s="2" t="n">
        <v>5</v>
      </c>
      <c r="S11" s="2" t="inlineStr">
        <is>
          <t>The traditional rugby powerhouse of the region. Won the 2025 Miles Toyota Premiership and 2025 South Island titles, and lost the 2026 final to StAC. National Top 4 in 2018. National 1st XV champions 2004 (shared), 2005 and 2006, and Sanix World Youth champions 2006. About 46 All Blacks among old boys.</t>
        </is>
      </c>
      <c r="T11" s="2" t="n">
        <v>4</v>
      </c>
      <c r="U11" s="2" t="inlineStr">
        <is>
          <t>Adams House has 3 acres on the Avon River near Hagley Park. Christchurch base gives easy access to the Port Hills, beaches, and ski fields about 1-1.5 hr away (Mt Hutt, Porters, Craigieburn).</t>
        </is>
      </c>
      <c r="V11" s="2" t="inlineStr">
        <is>
          <t>https://www.cbhs.school.nz/discover-cbhs/adams-house/</t>
        </is>
      </c>
      <c r="W11" s="2" t="inlineStr">
        <is>
          <t>https://www.cbhs.school.nz/discover-cbhs/adams-house/</t>
        </is>
      </c>
      <c r="X11" s="2" t="inlineStr">
        <is>
          <t>Staff emails use 3-letter codes @cbhs.nz. Boarders are mainly from the rural South Island. Boarding fee $19,100.</t>
        </is>
      </c>
      <c r="Y11" s="4" t="inlineStr">
        <is>
          <t>Not contacted</t>
        </is>
      </c>
      <c r="Z11" s="5" t="n"/>
      <c r="AA11" s="6">
        <f>IF(Z11="","",Z11+10)</f>
        <v/>
      </c>
      <c r="AB11" s="4" t="n"/>
    </row>
    <row r="12">
      <c r="A12" s="2">
        <f>RANK(B12,$B$2:$B$28)</f>
        <v/>
      </c>
      <c r="B12" s="2">
        <f>R12*Weights!$B$4+T12*Weights!$B$5+IF(P12="yes",5,IF(P12="likely",3,IF(P12="unknown",1,0)))*Weights!$B$6+IF(M12="verified",5,IF(M12="inferred",3,IF(M12="generic",1,0)))*Weights!$B$7</f>
        <v/>
      </c>
      <c r="C12" s="2" t="inlineStr">
        <is>
          <t>Napier Boys' High School</t>
        </is>
      </c>
      <c r="D12" s="2" t="inlineStr">
        <is>
          <t>Hawke's Bay</t>
        </is>
      </c>
      <c r="E12" s="2" t="inlineStr">
        <is>
          <t>Napier</t>
        </is>
      </c>
      <c r="F12" s="2" t="inlineStr">
        <is>
          <t>boys</t>
        </is>
      </c>
      <c r="G12" s="2" t="inlineStr">
        <is>
          <t>state</t>
        </is>
      </c>
      <c r="H12" s="2" t="inlineStr">
        <is>
          <t>Scinde House (school hostel, est. 1885)</t>
        </is>
      </c>
      <c r="I12" s="2" t="inlineStr">
        <is>
          <t>c.180-185 (ERO: 185 boarders, ~15% of roll)</t>
        </is>
      </c>
      <c r="J12" s="2" t="inlineStr">
        <is>
          <t>Ashton Johnson</t>
        </is>
      </c>
      <c r="K12" s="2" t="inlineStr">
        <is>
          <t>Hostel Manager, Scinde House</t>
        </is>
      </c>
      <c r="L12" s="3" t="inlineStr">
        <is>
          <t>ajohnson@nbhs.school.nz</t>
        </is>
      </c>
      <c r="M12" s="2" t="inlineStr">
        <is>
          <t>verified</t>
        </is>
      </c>
      <c r="N12" s="2" t="inlineStr">
        <is>
          <t>nbhs@nbhs.school.nz</t>
        </is>
      </c>
      <c r="O12" s="2" t="inlineStr">
        <is>
          <t>027 274 5453; (06) 833 5900 ext 250; after hours (06) 835 3342 ext 251</t>
        </is>
      </c>
      <c r="P12" s="2" t="inlineStr">
        <is>
          <t>unknown</t>
        </is>
      </c>
      <c r="Q12" s="2" t="inlineStr">
        <is>
          <t>No gap tutor / gappie programme mentioned on the boarding pages. Hostel staffing listed as Hostel Manager plus Matron (Brenda Hall). A large (180+) state boys' hostel, so a speculative approach is reasonable.</t>
        </is>
      </c>
      <c r="R12" s="2" t="n">
        <v>5</v>
      </c>
      <c r="S12" s="2" t="inlineStr">
        <is>
          <t>Super 8 member. Won Super 8 in 2000, 2002 and 2003; Super 8 finalist 2023. 12 National Top 4 appearances, national champions 2002, runners-up 2018 and 2022. Hurricanes Cup winners 2018, 2021 and 2022. One of the strongest rugby schools in the lower North Island.</t>
        </is>
      </c>
      <c r="T12" s="2" t="n">
        <v>4</v>
      </c>
      <c r="U12" s="2" t="inlineStr">
        <is>
          <t>Napier: Art Deco city on Hawke Bay, Marine Parade coastline, Cape Kidnappers gannets, Hawke's Bay wine country and cycle trails nearby; Te Mata Peak about 30 min away.</t>
        </is>
      </c>
      <c r="V12" s="2" t="inlineStr">
        <is>
          <t>https://www.nbhs.school.nz/</t>
        </is>
      </c>
      <c r="W12" s="2" t="inlineStr">
        <is>
          <t>https://www.nbhs.school.nz/contact/ (also https://www.nbhs.school.nz/boarding/boarding-at-scinde-house/)</t>
        </is>
      </c>
      <c r="X12" s="2" t="inlineStr">
        <is>
          <t>Headmaster: Simon Coe (since 2024, per Wikipedia/NZ Herald). Boarder count from ERO institution page https://www.ero.govt.nz/institution/216/napier-boys-high-school.</t>
        </is>
      </c>
      <c r="Y12" s="4" t="inlineStr">
        <is>
          <t>Not contacted</t>
        </is>
      </c>
      <c r="Z12" s="5" t="n"/>
      <c r="AA12" s="6">
        <f>IF(Z12="","",Z12+10)</f>
        <v/>
      </c>
      <c r="AB12" s="4" t="n"/>
    </row>
    <row r="13">
      <c r="A13" s="2">
        <f>RANK(B13,$B$2:$B$28)</f>
        <v/>
      </c>
      <c r="B13" s="2">
        <f>R13*Weights!$B$4+T13*Weights!$B$5+IF(P13="yes",5,IF(P13="likely",3,IF(P13="unknown",1,0)))*Weights!$B$6+IF(M13="verified",5,IF(M13="inferred",3,IF(M13="generic",1,0)))*Weights!$B$7</f>
        <v/>
      </c>
      <c r="C13" s="2" t="inlineStr">
        <is>
          <t>St Bede's College</t>
        </is>
      </c>
      <c r="D13" s="2" t="inlineStr">
        <is>
          <t>Canterbury</t>
        </is>
      </c>
      <c r="E13" s="2" t="inlineStr">
        <is>
          <t>Christchurch (Papanui, Main North Road)</t>
        </is>
      </c>
      <c r="F13" s="2" t="inlineStr">
        <is>
          <t>boys</t>
        </is>
      </c>
      <c r="G13" s="2" t="inlineStr">
        <is>
          <t>state-integrated (Catholic, Marist)</t>
        </is>
      </c>
      <c r="H13" s="2" t="inlineStr">
        <is>
          <t>On-campus boarding school: Durham (Y9-10), Jarrow (Y11-12), Wearmouth (Y13)</t>
        </is>
      </c>
      <c r="I13" s="2" t="inlineStr">
        <is>
          <t>c.100 (not published; estimate)</t>
        </is>
      </c>
      <c r="J13" s="2" t="inlineStr">
        <is>
          <t>Kurt Paterson</t>
        </is>
      </c>
      <c r="K13" s="2" t="inlineStr">
        <is>
          <t>Assistant Rector - Pastoral and Boarding</t>
        </is>
      </c>
      <c r="L13" s="3" t="inlineStr">
        <is>
          <t>kpaterson@stbedes.school.nz</t>
        </is>
      </c>
      <c r="M13" s="2" t="inlineStr">
        <is>
          <t>verified</t>
        </is>
      </c>
      <c r="N13" s="2" t="inlineStr">
        <is>
          <t>shand@stbedes.school.nz (Stephen Hand, Boarding Manager); wstruthers@stbedes.school.nz (Will Struthers, Boarding Dean); boarding@stbedes.school.nz (boarding office); jmcdowall@stbedes.school.nz (Rector Jon McDowall); office@stbedes.school.nz</t>
        </is>
      </c>
      <c r="O13" s="2" t="inlineStr">
        <is>
          <t>021 725 416 (boarding office, 24 hr); +64 3 375 0647 (main)</t>
        </is>
      </c>
      <c r="P13" s="2" t="inlineStr">
        <is>
          <t>likely</t>
        </is>
      </c>
      <c r="Q13" s="2" t="inlineStr">
        <is>
          <t>The 2026 Boarding Handbook lists 'Residential Assistants' (Reuben Spicer, Alex Brown), which is the typical gap/young-adult live-in role. The handbook also mentions peer tutoring and specialist-subject group tutoring. No explicit UK gap page found. A LinkedIn result names Mark Vincent as Director of Boarding, but he is not in the 2026 handbook, so treat that as outdated.</t>
        </is>
      </c>
      <c r="R13" s="2" t="n">
        <v>4</v>
      </c>
      <c r="S13" s="2" t="inlineStr">
        <is>
          <t>Plays the Canterbury Miles Toyota 1st XV Premiership. Strong rugby tradition: old boys include All Black Elliot Dixon, Japan captain Michael Leitch and Wales' Josh Navidi.</t>
        </is>
      </c>
      <c r="T13" s="2" t="n">
        <v>3</v>
      </c>
      <c r="U13" s="2" t="inlineStr">
        <is>
          <t>Large 22 ha green campus at Christchurch's northern entrance. Close to the Waimakariri River and northern beaches. About 1-1.5 hr to Mt Hutt/Porters ski fields and Arthur's Pass.</t>
        </is>
      </c>
      <c r="V13" s="2" t="inlineStr">
        <is>
          <t>https://www.stbedes.school.nz/living-at-st-bedes/</t>
        </is>
      </c>
      <c r="W13" s="2" t="inlineStr">
        <is>
          <t>https://www.stbedes.school.nz/wp-content/uploads/2026/01/2026-Boarding-Handbook.pdf</t>
        </is>
      </c>
      <c r="X13" s="2" t="inlineStr">
        <is>
          <t>Email pattern is first initial + surname @stbedes.school.nz. The only Catholic boys' boarding college in the South Island.</t>
        </is>
      </c>
      <c r="Y13" s="4" t="inlineStr">
        <is>
          <t>Not contacted</t>
        </is>
      </c>
      <c r="Z13" s="5" t="n"/>
      <c r="AA13" s="6">
        <f>IF(Z13="","",Z13+10)</f>
        <v/>
      </c>
      <c r="AB13" s="4" t="n"/>
    </row>
    <row r="14">
      <c r="A14" s="2">
        <f>RANK(B14,$B$2:$B$28)</f>
        <v/>
      </c>
      <c r="B14" s="2">
        <f>R14*Weights!$B$4+T14*Weights!$B$5+IF(P14="yes",5,IF(P14="likely",3,IF(P14="unknown",1,0)))*Weights!$B$6+IF(M14="verified",5,IF(M14="inferred",3,IF(M14="generic",1,0)))*Weights!$B$7</f>
        <v/>
      </c>
      <c r="C14" s="2" t="inlineStr">
        <is>
          <t>Francis Douglas Memorial College</t>
        </is>
      </c>
      <c r="D14" s="2" t="inlineStr">
        <is>
          <t>Taranaki</t>
        </is>
      </c>
      <c r="E14" s="2" t="inlineStr">
        <is>
          <t>New Plymouth</t>
        </is>
      </c>
      <c r="F14" s="2" t="inlineStr">
        <is>
          <t>boys</t>
        </is>
      </c>
      <c r="G14" s="2" t="inlineStr">
        <is>
          <t>state-integrated (Catholic, Lasallian)</t>
        </is>
      </c>
      <c r="H14" s="2" t="inlineStr">
        <is>
          <t>La Salle House</t>
        </is>
      </c>
      <c r="I14" s="2" t="inlineStr">
        <is>
          <t>~121 (ERO)</t>
        </is>
      </c>
      <c r="J14" s="2" t="inlineStr">
        <is>
          <t>Thomas Kalin</t>
        </is>
      </c>
      <c r="K14" s="2" t="inlineStr">
        <is>
          <t>Director of Boarding (also PE teacher)</t>
        </is>
      </c>
      <c r="L14" s="3" t="inlineStr">
        <is>
          <t>tka@fdmc.school.nz</t>
        </is>
      </c>
      <c r="M14" s="2" t="inlineStr">
        <is>
          <t>verified</t>
        </is>
      </c>
      <c r="N14" s="2" t="inlineStr">
        <is>
          <t>tst@fdmc.school.nz (Tim Stuck, Principal and CEO of La Salle House); bty@fdmc.school.nz (Brigette Tyler, Hostel Supervisor); office@fdmc.school.nz</t>
        </is>
      </c>
      <c r="O14" s="2" t="inlineStr">
        <is>
          <t>+64 (0)6 753 6149</t>
        </is>
      </c>
      <c r="P14" s="2" t="inlineStr">
        <is>
          <t>unknown</t>
        </is>
      </c>
      <c r="Q14" s="2" t="inlineStr">
        <is>
          <t>No public mention of gap tutors found. The Catholic boys' boarding house of ~121 has a small listed staff (CEO, Director of Boarding, Hostel Supervisor, Matron, Chef), so extra resident help may be welcome. cc the Principal/CEO Tim Stuck.</t>
        </is>
      </c>
      <c r="R14" s="2" t="n">
        <v>4</v>
      </c>
      <c r="S14" s="2" t="inlineStr">
        <is>
          <t>Its 1st XV competes in the Central North Island (CNI) 1st XV competition, a 10-team premier competition with games broadcast on Maori+/YouTube in 2026. It is a strong traditional rugby school, and All Black Du'Plessis Kirifi is an old boy.</t>
        </is>
      </c>
      <c r="T14" s="2" t="n">
        <v>5</v>
      </c>
      <c r="U14" s="2" t="inlineStr">
        <is>
          <t>Mt Taranaki / Egmont National Park, black-sand surf beaches, Coastal Walkway and Pouakai Crossing, all in New Plymouth.</t>
        </is>
      </c>
      <c r="V14" s="2" t="inlineStr">
        <is>
          <t>https://www.fdmc.school.nz/</t>
        </is>
      </c>
      <c r="W14" s="2" t="inlineStr">
        <is>
          <t>https://www.fdmc.school.nz/Boarding-1/our-staff</t>
        </is>
      </c>
      <c r="X14" s="2" t="inlineStr">
        <is>
          <t>Staff email pattern is first initial + first two letters of surname (tka, tst, bty, bsu). The school is Years 7-13.</t>
        </is>
      </c>
      <c r="Y14" s="4" t="inlineStr">
        <is>
          <t>Not contacted</t>
        </is>
      </c>
      <c r="Z14" s="5" t="n"/>
      <c r="AA14" s="6">
        <f>IF(Z14="","",Z14+10)</f>
        <v/>
      </c>
      <c r="AB14" s="4" t="n"/>
    </row>
    <row r="15">
      <c r="A15" s="2">
        <f>RANK(B15,$B$2:$B$28)</f>
        <v/>
      </c>
      <c r="B15" s="2">
        <f>R15*Weights!$B$4+T15*Weights!$B$5+IF(P15="yes",5,IF(P15="likely",3,IF(P15="unknown",1,0)))*Weights!$B$6+IF(M15="verified",5,IF(M15="inferred",3,IF(M15="generic",1,0)))*Weights!$B$7</f>
        <v/>
      </c>
      <c r="C15" s="2" t="inlineStr">
        <is>
          <t>John McGlashan College</t>
        </is>
      </c>
      <c r="D15" s="2" t="inlineStr">
        <is>
          <t>Otago</t>
        </is>
      </c>
      <c r="E15" s="2" t="inlineStr">
        <is>
          <t>Dunedin (Maori Hill)</t>
        </is>
      </c>
      <c r="F15" s="2" t="inlineStr">
        <is>
          <t>boys</t>
        </is>
      </c>
      <c r="G15" s="2" t="inlineStr">
        <is>
          <t>state-integrated (Presbyterian)</t>
        </is>
      </c>
      <c r="H15" s="2" t="inlineStr">
        <is>
          <t>Ross House (Years 9-10) and Balmacewan House (Years 11-13)</t>
        </is>
      </c>
      <c r="I15" s="2" t="inlineStr">
        <is>
          <t>~125-130</t>
        </is>
      </c>
      <c r="J15" s="2" t="inlineStr">
        <is>
          <t>Drew Campbell</t>
        </is>
      </c>
      <c r="K15" s="2" t="inlineStr">
        <is>
          <t>Director of Boarding</t>
        </is>
      </c>
      <c r="L15" s="3" t="inlineStr">
        <is>
          <t>drew.campbell@mcglashan.school.nz</t>
        </is>
      </c>
      <c r="M15" s="2" t="inlineStr">
        <is>
          <t>verified</t>
        </is>
      </c>
      <c r="N15" s="2" t="inlineStr">
        <is>
          <t>richie.buchanan@mcglashan.school.nz (Asst Manager - Senior Hall); george.konia@mcglashan.school.nz (Asst Manager - Junior Hall); rosemary.stevenson@mcglashan.school.nz (Asst Manager - Wellbeing); admin@mcglashan.school.nz</t>
        </is>
      </c>
      <c r="O15" s="2" t="inlineStr">
        <is>
          <t>Drew Campbell mobile 021 467 662; school +64 3 467 6620</t>
        </is>
      </c>
      <c r="P15" s="2" t="inlineStr">
        <is>
          <t>likely</t>
        </is>
      </c>
      <c r="Q15" s="2" t="inlineStr">
        <is>
          <t>The boarding page says the house is staffed by a Director, assistant managers, a matron and 'a number of housemasters'. That kind of house is typical for gap/resident tutors. No explicit gap programme is published.</t>
        </is>
      </c>
      <c r="R15" s="2" t="n">
        <v>3</v>
      </c>
      <c r="S15" s="2" t="inlineStr">
        <is>
          <t>Division One of the 2026 Southern Schools Rugby Championship: beat OBHS 8-7 and St Kevin's 45-22, lost 66-7 to Southland Boys' in the semifinal. A solid Division One side.</t>
        </is>
      </c>
      <c r="T15" s="2" t="n">
        <v>4</v>
      </c>
      <c r="U15" s="2" t="inlineStr">
        <is>
          <t>Leafy Dunedin hill suburb. Otago Peninsula and beaches nearby. The school also runs an outdoor base at Te Anau (Fiordland).</t>
        </is>
      </c>
      <c r="V15" s="2" t="inlineStr">
        <is>
          <t>https://www.mcglashan.school.nz</t>
        </is>
      </c>
      <c r="W15" s="2" t="inlineStr">
        <is>
          <t>https://www.mcglashan.school.nz/enrolments/boarding</t>
        </is>
      </c>
      <c r="X15" s="2" t="inlineStr">
        <is>
          <t>Also listed on the staff page https://www.mcglashan.school.nz/our-people/staff as 'Director of Boarding | Community, Engagement and Advancement'. International Baccalaureate school, which suits an Economics/Philosophy/Maths tutor.</t>
        </is>
      </c>
      <c r="Y15" s="4" t="inlineStr">
        <is>
          <t>Not contacted</t>
        </is>
      </c>
      <c r="Z15" s="5" t="n"/>
      <c r="AA15" s="6">
        <f>IF(Z15="","",Z15+10)</f>
        <v/>
      </c>
      <c r="AB15" s="4" t="n"/>
    </row>
    <row r="16">
      <c r="A16" s="2">
        <f>RANK(B16,$B$2:$B$28)</f>
        <v/>
      </c>
      <c r="B16" s="2">
        <f>R16*Weights!$B$4+T16*Weights!$B$5+IF(P16="yes",5,IF(P16="likely",3,IF(P16="unknown",1,0)))*Weights!$B$6+IF(M16="verified",5,IF(M16="inferred",3,IF(M16="generic",1,0)))*Weights!$B$7</f>
        <v/>
      </c>
      <c r="C16" s="2" t="inlineStr">
        <is>
          <t>Palmerston North Boys' High School</t>
        </is>
      </c>
      <c r="D16" s="2" t="inlineStr">
        <is>
          <t>Manawatū-Whanganui</t>
        </is>
      </c>
      <c r="E16" s="2" t="inlineStr">
        <is>
          <t>Palmerston North</t>
        </is>
      </c>
      <c r="F16" s="2" t="inlineStr">
        <is>
          <t>boys</t>
        </is>
      </c>
      <c r="G16" s="2" t="inlineStr">
        <is>
          <t>state</t>
        </is>
      </c>
      <c r="H16" s="2" t="inlineStr">
        <is>
          <t>College House</t>
        </is>
      </c>
      <c r="I16" s="2" t="inlineStr">
        <is>
          <t>up to 180 (9 dormitories)</t>
        </is>
      </c>
      <c r="J16" s="2" t="inlineStr">
        <is>
          <t>Matt Davidson</t>
        </is>
      </c>
      <c r="K16" s="2" t="inlineStr">
        <is>
          <t>College House Manager</t>
        </is>
      </c>
      <c r="L16" s="3" t="inlineStr">
        <is>
          <t>chmanager@pnbhs.school.nz</t>
        </is>
      </c>
      <c r="M16" s="2" t="inlineStr">
        <is>
          <t>verified</t>
        </is>
      </c>
      <c r="N16" s="2" t="inlineStr">
        <is>
          <t>mcdougalla@pnbhs.school.nz (Andrew McDougall, Assistant College House Manager); admin@pnbhs.school.nz</t>
        </is>
      </c>
      <c r="O16" s="2" t="inlineStr">
        <is>
          <t>06 358 6704 ext 4; 027 859 9721</t>
        </is>
      </c>
      <c r="P16" s="2" t="inlineStr">
        <is>
          <t>unknown</t>
        </is>
      </c>
      <c r="Q16" s="2" t="inlineStr">
        <is>
          <t>No gap tutor mention found on the College House pages. Staff include duty staff and an Academic Support role (Shayla Close). Worth a speculative approach.</t>
        </is>
      </c>
      <c r="R16" s="2" t="n">
        <v>5</v>
      </c>
      <c r="S16" s="2" t="inlineStr">
        <is>
          <t>Super 8 schools; a leading NZ rugby school. National Top 4 appearances (e.g. 2023); 2025 Hurricanes Top 4 qualifier (played Feilding in the semi) and Super 8 finals host.</t>
        </is>
      </c>
      <c r="T16" s="2" t="n">
        <v>3</v>
      </c>
      <c r="U16" s="2" t="inlineStr">
        <is>
          <t>University city on the Manawatū plains; Manawatū Gorge and Te Āpiti wind farm walks, Ruahine and Tararua ranges nearby; 2 h to Ruapehu.</t>
        </is>
      </c>
      <c r="V16" s="2" t="inlineStr">
        <is>
          <t>https://www.pnbhs.school.nz/</t>
        </is>
      </c>
      <c r="W16" s="2" t="inlineStr">
        <is>
          <t>https://www.pnbhs.school.nz/college-house/staff-contact</t>
        </is>
      </c>
      <c r="X16" s="2" t="inlineStr">
        <is>
          <t>The manager's published email is role-based (chmanager@), not personal. Elite rugby environment.</t>
        </is>
      </c>
      <c r="Y16" s="4" t="inlineStr">
        <is>
          <t>Not contacted</t>
        </is>
      </c>
      <c r="Z16" s="5" t="n"/>
      <c r="AA16" s="6">
        <f>IF(Z16="","",Z16+10)</f>
        <v/>
      </c>
      <c r="AB16" s="4" t="n"/>
    </row>
    <row r="17">
      <c r="A17" s="2">
        <f>RANK(B17,$B$2:$B$28)</f>
        <v/>
      </c>
      <c r="B17" s="2">
        <f>R17*Weights!$B$4+T17*Weights!$B$5+IF(P17="yes",5,IF(P17="likely",3,IF(P17="unknown",1,0)))*Weights!$B$6+IF(M17="verified",5,IF(M17="inferred",3,IF(M17="generic",1,0)))*Weights!$B$7</f>
        <v/>
      </c>
      <c r="C17" s="2" t="inlineStr">
        <is>
          <t>Feilding High School (FAHS)</t>
        </is>
      </c>
      <c r="D17" s="2" t="inlineStr">
        <is>
          <t>Manawatū-Whanganui</t>
        </is>
      </c>
      <c r="E17" s="2" t="inlineStr">
        <is>
          <t>Feilding</t>
        </is>
      </c>
      <c r="F17" s="2" t="inlineStr">
        <is>
          <t>co-ed</t>
        </is>
      </c>
      <c r="G17" s="2" t="inlineStr">
        <is>
          <t>state</t>
        </is>
      </c>
      <c r="H17" s="2" t="inlineStr">
        <is>
          <t>L.J. Wild House (separate boys' and girls' hostels)</t>
        </is>
      </c>
      <c r="I17" s="2" t="inlineStr">
        <is>
          <t>c.180</t>
        </is>
      </c>
      <c r="J17" s="2" t="inlineStr">
        <is>
          <t>Owen Viles</t>
        </is>
      </c>
      <c r="K17" s="2" t="inlineStr">
        <is>
          <t>Head of Boys Hostel</t>
        </is>
      </c>
      <c r="L17" s="3" t="inlineStr">
        <is>
          <t>oviles@feildinghigh.school.nz</t>
        </is>
      </c>
      <c r="M17" s="2" t="inlineStr">
        <is>
          <t>verified</t>
        </is>
      </c>
      <c r="N17" s="2" t="inlineStr">
        <is>
          <t>snorman@feildinghigh.school.nz (Sarah Norman, Head of Girls Hostel); vrolls@feildinghigh.school.nz (Vicki Rolls, Matron)</t>
        </is>
      </c>
      <c r="O17" s="2" t="inlineStr">
        <is>
          <t>06 323 4029 ext 771; 027 808 4113 (O. Viles)</t>
        </is>
      </c>
      <c r="P17" s="2" t="inlineStr">
        <is>
          <t>unknown</t>
        </is>
      </c>
      <c r="Q17" s="2" t="inlineStr">
        <is>
          <t>No gap tutor information found on the hostel pages.</t>
        </is>
      </c>
      <c r="R17" s="2" t="n">
        <v>5</v>
      </c>
      <c r="S17" s="2" t="inlineStr">
        <is>
          <t>2025 National Top 4 runner-up (lost the final 43-17 to Rotorua BHS) as Hurricanes/CNI champion; 3rd at the 2024 national Top 4; Hurricanes First XV final winners 2024. Produces All Blacks and Hurricanes players.</t>
        </is>
      </c>
      <c r="T17" s="2" t="n">
        <v>3</v>
      </c>
      <c r="U17" s="2" t="inlineStr">
        <is>
          <t>Rural Manawatū farming town beneath the Ruahine Range; 20 min to Palmerston North; about 2 h to the Ruapehu ski fields.</t>
        </is>
      </c>
      <c r="V17" s="2" t="inlineStr">
        <is>
          <t>https://www.feildinghigh.school.nz/</t>
        </is>
      </c>
      <c r="W17" s="2" t="inlineStr">
        <is>
          <t>https://www.feildinghigh.school.nz/hostel/staff-contacts</t>
        </is>
      </c>
      <c r="X17" s="2" t="inlineStr">
        <is>
          <t>Emails on the source page are Cloudflare-obfuscated; they were decoded from the page itself, not guessed. There is no overall 'Head of Boarding' title, so contact the Head of Boys Hostel. Top-tier rugby.</t>
        </is>
      </c>
      <c r="Y17" s="4" t="inlineStr">
        <is>
          <t>Not contacted</t>
        </is>
      </c>
      <c r="Z17" s="5" t="n"/>
      <c r="AA17" s="6">
        <f>IF(Z17="","",Z17+10)</f>
        <v/>
      </c>
      <c r="AB17" s="4" t="n"/>
    </row>
    <row r="18">
      <c r="A18" s="2">
        <f>RANK(B18,$B$2:$B$28)</f>
        <v/>
      </c>
      <c r="B18" s="2">
        <f>R18*Weights!$B$4+T18*Weights!$B$5+IF(P18="yes",5,IF(P18="likely",3,IF(P18="unknown",1,0)))*Weights!$B$6+IF(M18="verified",5,IF(M18="inferred",3,IF(M18="generic",1,0)))*Weights!$B$7</f>
        <v/>
      </c>
      <c r="C18" s="2" t="inlineStr">
        <is>
          <t>Whanganui Collegiate School</t>
        </is>
      </c>
      <c r="D18" s="2" t="inlineStr">
        <is>
          <t>Manawatū-Whanganui</t>
        </is>
      </c>
      <c r="E18" s="2" t="inlineStr">
        <is>
          <t>Whanganui</t>
        </is>
      </c>
      <c r="F18" s="2" t="inlineStr">
        <is>
          <t>co-ed</t>
        </is>
      </c>
      <c r="G18" s="2" t="inlineStr">
        <is>
          <t>state-integrated (Anglican; formerly independent)</t>
        </is>
      </c>
      <c r="H18" s="2" t="inlineStr">
        <is>
          <t>Bishops, Godwin (girls); Selwyn, Grey, Hadfield, Harvey (boys)</t>
        </is>
      </c>
      <c r="I18" s="2" t="inlineStr">
        <is>
          <t>c.250-280 (CNI Rugby profile: 280 of 430; roll now lower, c.357 in 2026)</t>
        </is>
      </c>
      <c r="J18" s="2" t="inlineStr">
        <is>
          <t>Henry Jones</t>
        </is>
      </c>
      <c r="K18" s="2" t="inlineStr">
        <is>
          <t>Senior Master Boarding</t>
        </is>
      </c>
      <c r="L18" s="3" t="inlineStr">
        <is>
          <t>henry.jones@collegiate.school.nz</t>
        </is>
      </c>
      <c r="M18" s="2" t="inlineStr">
        <is>
          <t>verified</t>
        </is>
      </c>
      <c r="N18" s="2" t="inlineStr">
        <is>
          <t>craig.peebles@collegiate.school.nz (Housemaster Harvey); chris.carey@collegiate.school.nz (Housemaster Hadfield); chris.nevay@collegiate.school.nz (Housemaster Grey); selwyn.hodges@collegiate.school.nz (Housemaster Selwyn); headmaster@collegiate.school.nz (Ainsley Robson, Headmaster &amp; Executive Director of Boarding)</t>
        </is>
      </c>
      <c r="O18" s="2" t="inlineStr">
        <is>
          <t>06 349 0210</t>
        </is>
      </c>
      <c r="P18" s="2" t="inlineStr">
        <is>
          <t>likely</t>
        </is>
      </c>
      <c r="Q18" s="2" t="inlineStr">
        <is>
          <t>Each house has a resident House Tutor plus evening prep tutors. Round Square member; a gap/residential tutor account from a UK graduate exists. Henry Jones is English (ex-Marlborough College assistant housemaster), which is a good hook for a UK applicant.</t>
        </is>
      </c>
      <c r="R18" s="2" t="n">
        <v>3</v>
      </c>
      <c r="S18" s="2" t="inlineStr">
        <is>
          <t>Central North Island (CNI) 1st XV competition; has led the CNI table in recent seasons. Traditional exchange with Hato Pāora.</t>
        </is>
      </c>
      <c r="T18" s="2" t="n">
        <v>4</v>
      </c>
      <c r="U18" s="2" t="inlineStr">
        <is>
          <t>Whanganui River (canoe journeys and the Whanganui Journey Great Walk) and west coast beaches; about 1.5 h to the Ruapehu ski fields and Tongariro Crossing.</t>
        </is>
      </c>
      <c r="V18" s="2" t="inlineStr">
        <is>
          <t>https://collegiate.school.nz/</t>
        </is>
      </c>
      <c r="W18" s="2" t="inlineStr">
        <is>
          <t>https://collegiate.school.nz/our-people/</t>
        </is>
      </c>
      <c r="X18" s="2" t="inlineStr">
        <is>
          <t>The most 'English public school' style boarding school in the region. Mr Jones oversees all six houses.</t>
        </is>
      </c>
      <c r="Y18" s="4" t="inlineStr">
        <is>
          <t>Not contacted</t>
        </is>
      </c>
      <c r="Z18" s="5" t="n"/>
      <c r="AA18" s="6">
        <f>IF(Z18="","",Z18+10)</f>
        <v/>
      </c>
      <c r="AB18" s="4" t="n"/>
    </row>
    <row r="19">
      <c r="A19" s="2">
        <f>RANK(B19,$B$2:$B$28)</f>
        <v/>
      </c>
      <c r="B19" s="2">
        <f>R19*Weights!$B$4+T19*Weights!$B$5+IF(P19="yes",5,IF(P19="likely",3,IF(P19="unknown",1,0)))*Weights!$B$6+IF(M19="verified",5,IF(M19="inferred",3,IF(M19="generic",1,0)))*Weights!$B$7</f>
        <v/>
      </c>
      <c r="C19" s="2" t="inlineStr">
        <is>
          <t>Otago Boys' High School</t>
        </is>
      </c>
      <c r="D19" s="2" t="inlineStr">
        <is>
          <t>Otago</t>
        </is>
      </c>
      <c r="E19" s="2" t="inlineStr">
        <is>
          <t>Dunedin</t>
        </is>
      </c>
      <c r="F19" s="2" t="inlineStr">
        <is>
          <t>boys</t>
        </is>
      </c>
      <c r="G19" s="2" t="inlineStr">
        <is>
          <t>state</t>
        </is>
      </c>
      <c r="H19" s="2" t="inlineStr">
        <is>
          <t>School House (plus Aspiring Lodge for international students)</t>
        </is>
      </c>
      <c r="I19" s="2" t="inlineStr">
        <is>
          <t>~145-150 (ERO: capacity 150, 147 in residence)</t>
        </is>
      </c>
      <c r="J19" s="2" t="inlineStr">
        <is>
          <t>Lance Taylor</t>
        </is>
      </c>
      <c r="K19" s="2" t="inlineStr">
        <is>
          <t>Director of Boarding (started 19 April 2026; OBHS old boy and former boarder)</t>
        </is>
      </c>
      <c r="L19" s="3" t="inlineStr">
        <is>
          <t>directorofboarding@obhs.school.nz</t>
        </is>
      </c>
      <c r="M19" s="2" t="inlineStr">
        <is>
          <t>verified</t>
        </is>
      </c>
      <c r="N19" s="2" t="inlineStr">
        <is>
          <t>atu.katoa@obhs.school.nz (Senior House Master); school.sec@obhs.school.nz (main office)</t>
        </is>
      </c>
      <c r="O19" s="2" t="inlineStr">
        <is>
          <t>+64 3 477 5527</t>
        </is>
      </c>
      <c r="P19" s="2" t="inlineStr">
        <is>
          <t>unknown</t>
        </is>
      </c>
      <c r="Q19" s="2" t="inlineStr">
        <is>
          <t>No published gap tutor programme found. Staff list shows a Senior House Master but no named tutors. Dunedin is a university city, so resident tutors are often Otago University students. Worth asking.</t>
        </is>
      </c>
      <c r="R19" s="2" t="n">
        <v>4</v>
      </c>
      <c r="S19" s="2" t="inlineStr">
        <is>
          <t>Traditional southern rugby school. From 2026 plays in the separate South Island Boys' Schools First XV competition (with King's High and Southland Boys') rather than the main Southern Schools qualifiers. Long list of All Black old boys.</t>
        </is>
      </c>
      <c r="T19" s="2" t="n">
        <v>4</v>
      </c>
      <c r="U19" s="2" t="inlineStr">
        <is>
          <t>Dunedin: Otago Peninsula wildlife, surf beaches (St Clair), close to Central Otago skiing about 3 hrs away.</t>
        </is>
      </c>
      <c r="V19" s="2" t="inlineStr">
        <is>
          <t>https://www.obhs.school.nz</t>
        </is>
      </c>
      <c r="W19" s="2" t="inlineStr">
        <is>
          <t>https://www.obhs.school.nz/our-approach/boarding/staff</t>
        </is>
      </c>
      <c r="X19" s="2" t="inlineStr">
        <is>
          <t>The published email is a role address listed directly under Lance Taylor's name. The old URLs obhs.school.nz/boarding/... now return 404, so use /our-approach/boarding/.</t>
        </is>
      </c>
      <c r="Y19" s="4" t="inlineStr">
        <is>
          <t>Not contacted</t>
        </is>
      </c>
      <c r="Z19" s="5" t="n"/>
      <c r="AA19" s="6">
        <f>IF(Z19="","",Z19+10)</f>
        <v/>
      </c>
      <c r="AB19" s="4" t="n"/>
    </row>
    <row r="20">
      <c r="A20" s="2">
        <f>RANK(B20,$B$2:$B$28)</f>
        <v/>
      </c>
      <c r="B20" s="2">
        <f>R20*Weights!$B$4+T20*Weights!$B$5+IF(P20="yes",5,IF(P20="likely",3,IF(P20="unknown",1,0)))*Weights!$B$6+IF(M20="verified",5,IF(M20="inferred",3,IF(M20="generic",1,0)))*Weights!$B$7</f>
        <v/>
      </c>
      <c r="C20" s="2" t="inlineStr">
        <is>
          <t>Southland Boys' High School</t>
        </is>
      </c>
      <c r="D20" s="2" t="inlineStr">
        <is>
          <t>Southland</t>
        </is>
      </c>
      <c r="E20" s="2" t="inlineStr">
        <is>
          <t>Invercargill</t>
        </is>
      </c>
      <c r="F20" s="2" t="inlineStr">
        <is>
          <t>boys</t>
        </is>
      </c>
      <c r="G20" s="2" t="inlineStr">
        <is>
          <t>state</t>
        </is>
      </c>
      <c r="H20" s="2" t="inlineStr">
        <is>
          <t>Coldstream Hostel (across the road from the school)</t>
        </is>
      </c>
      <c r="I20" s="2" t="inlineStr">
        <is>
          <t>up to ~100</t>
        </is>
      </c>
      <c r="J20" s="2" t="inlineStr">
        <is>
          <t>Shaun Fitzgibbon</t>
        </is>
      </c>
      <c r="K20" s="2" t="inlineStr">
        <is>
          <t>Director of Boarding (role created end of 2024)</t>
        </is>
      </c>
      <c r="L20" s="3" t="inlineStr">
        <is>
          <t>coldstream@sbhs.school.nz</t>
        </is>
      </c>
      <c r="M20" s="2" t="inlineStr">
        <is>
          <t>generic</t>
        </is>
      </c>
      <c r="N20" s="2" t="inlineStr">
        <is>
          <t>mail@sbhs.school.nz (main office)</t>
        </is>
      </c>
      <c r="O20" s="2" t="inlineStr">
        <is>
          <t>Coldstream +64 3 218 6013; school +64 3 211 3003</t>
        </is>
      </c>
      <c r="P20" s="2" t="inlineStr">
        <is>
          <t>unknown</t>
        </is>
      </c>
      <c r="Q20" s="2" t="inlineStr">
        <is>
          <t>No published gap programme. The hostel staff page lists only the Director of Boarding and a Hostel Administrator (Michelle Russell). Long-serving Manager Sue Mills retired in July 2026, so there may be staffing needs.</t>
        </is>
      </c>
      <c r="R20" s="2" t="n">
        <v>5</v>
      </c>
      <c r="S20" s="2" t="inlineStr">
        <is>
          <t>Strongest 1st XV in the region: won the Southern Schools title four years running (2023-2026; beat King's High 49-17 in the 2026 final). Plays in the South Island Boys' Schools competition. Very strong rugby culture, a big plus for a Bath Academy captain.</t>
        </is>
      </c>
      <c r="T20" s="2" t="n">
        <v>4</v>
      </c>
      <c r="U20" s="2" t="inlineStr">
        <is>
          <t>Invercargill is a gateway to Fiordland (Milford/Doubtful Sounds), Stewart Island, the Catlins, and Queenstown about 2.5 hrs away.</t>
        </is>
      </c>
      <c r="V20" s="2" t="inlineStr">
        <is>
          <t>https://www.sbhs.school.nz</t>
        </is>
      </c>
      <c r="W20" s="2" t="inlineStr">
        <is>
          <t>https://www.sbhs.school.nz/coldstream-hostel-staff</t>
        </is>
      </c>
      <c r="X20" s="2" t="inlineStr">
        <is>
          <t>No personal staff emails are published on the Wix site. ZoomInfo hints at an initial-based format but that is not verified, so no inferred email is given. Address the email to Shaun Fitzgibbon via coldstream@.</t>
        </is>
      </c>
      <c r="Y20" s="4" t="inlineStr">
        <is>
          <t>Not contacted</t>
        </is>
      </c>
      <c r="Z20" s="5" t="n"/>
      <c r="AA20" s="6">
        <f>IF(Z20="","",Z20+10)</f>
        <v/>
      </c>
      <c r="AB20" s="4" t="n"/>
    </row>
    <row r="21">
      <c r="A21" s="2">
        <f>RANK(B21,$B$2:$B$28)</f>
        <v/>
      </c>
      <c r="B21" s="2">
        <f>R21*Weights!$B$4+T21*Weights!$B$5+IF(P21="yes",5,IF(P21="likely",3,IF(P21="unknown",1,0)))*Weights!$B$6+IF(M21="verified",5,IF(M21="inferred",3,IF(M21="generic",1,0)))*Weights!$B$7</f>
        <v/>
      </c>
      <c r="C21" s="2" t="inlineStr">
        <is>
          <t>Hato Pāora College</t>
        </is>
      </c>
      <c r="D21" s="2" t="inlineStr">
        <is>
          <t>Manawatū-Whanganui</t>
        </is>
      </c>
      <c r="E21" s="2" t="inlineStr">
        <is>
          <t>Cheltenham, near Feilding</t>
        </is>
      </c>
      <c r="F21" s="2" t="inlineStr">
        <is>
          <t>boys</t>
        </is>
      </c>
      <c r="G21" s="2" t="inlineStr">
        <is>
          <t>state-integrated (Catholic, Māori boys' boarding)</t>
        </is>
      </c>
      <c r="H21" s="2" t="inlineStr">
        <is>
          <t>Hato Pāora Hostel (whole-school boarding)</t>
        </is>
      </c>
      <c r="I21" s="2" t="inlineStr">
        <is>
          <t>c.120</t>
        </is>
      </c>
      <c r="J21" s="2" t="inlineStr">
        <is>
          <t>Bryan Hill</t>
        </is>
      </c>
      <c r="K21" s="2" t="inlineStr">
        <is>
          <t>Director of Boarding</t>
        </is>
      </c>
      <c r="L21" s="3" t="inlineStr">
        <is>
          <t>bhill@hatopaora.school.nz</t>
        </is>
      </c>
      <c r="M21" s="2" t="inlineStr">
        <is>
          <t>verified</t>
        </is>
      </c>
      <c r="N21" s="2" t="inlineStr">
        <is>
          <t>sapatu@hatopaora.school.nz (Sinclair Apatu, Hostel Manager); kfalaoa@hatopaora.school.nz (Kahurangi Falaoa, Tumuaki/Principal); office@hatopaora.school.nz</t>
        </is>
      </c>
      <c r="O21" s="2" t="inlineStr">
        <is>
          <t>06 328 9731</t>
        </is>
      </c>
      <c r="P21" s="2" t="inlineStr">
        <is>
          <t>unknown</t>
        </is>
      </c>
      <c r="Q21" s="2" t="inlineStr">
        <is>
          <t>No gap tutor mention found. Strong Māori and Catholic special character (te reo and tikanga); a cultural-fit statement would help.</t>
        </is>
      </c>
      <c r="R21" s="2" t="n">
        <v>3</v>
      </c>
      <c r="S21" s="2" t="inlineStr">
        <is>
          <t>Manawatū Premier 2A schools competition (2025); traditional fixture against Te Aute. Produces professional players (e.g. Nikora Broughton, Otere Black). Also strong kapa haka.</t>
        </is>
      </c>
      <c r="T21" s="2" t="n">
        <v>4</v>
      </c>
      <c r="U21" s="2" t="inlineStr">
        <is>
          <t>Rural campus in the Kimbolton Road hill country below the Ruahine Range.</t>
        </is>
      </c>
      <c r="V21" s="2" t="inlineStr">
        <is>
          <t>https://hatopaora.school.nz/</t>
        </is>
      </c>
      <c r="W21" s="2" t="inlineStr">
        <is>
          <t>https://hatopaora.school.nz/our-people/</t>
        </is>
      </c>
      <c r="X21" s="2" t="inlineStr">
        <is>
          <t>Small school; 'Our People' page lists all hostel staff with emails.</t>
        </is>
      </c>
      <c r="Y21" s="4" t="inlineStr">
        <is>
          <t>Not contacted</t>
        </is>
      </c>
      <c r="Z21" s="5" t="n"/>
      <c r="AA21" s="6">
        <f>IF(Z21="","",Z21+10)</f>
        <v/>
      </c>
      <c r="AB21" s="4" t="n"/>
    </row>
    <row r="22">
      <c r="A22" s="2">
        <f>RANK(B22,$B$2:$B$28)</f>
        <v/>
      </c>
      <c r="B22" s="2">
        <f>R22*Weights!$B$4+T22*Weights!$B$5+IF(P22="yes",5,IF(P22="likely",3,IF(P22="unknown",1,0)))*Weights!$B$6+IF(M22="verified",5,IF(M22="inferred",3,IF(M22="generic",1,0)))*Weights!$B$7</f>
        <v/>
      </c>
      <c r="C22" s="2" t="inlineStr">
        <is>
          <t>Garin College</t>
        </is>
      </c>
      <c r="D22" s="2" t="inlineStr">
        <is>
          <t>Tasman</t>
        </is>
      </c>
      <c r="E22" s="2" t="inlineStr">
        <is>
          <t>Richmond (Nelson)</t>
        </is>
      </c>
      <c r="F22" s="2" t="inlineStr">
        <is>
          <t>co-ed</t>
        </is>
      </c>
      <c r="G22" s="2" t="inlineStr">
        <is>
          <t>state-integrated (Catholic)</t>
        </is>
      </c>
      <c r="H22" s="2" t="inlineStr">
        <is>
          <t>Francis Douglas House (boys); Mother Teresa House (girls)</t>
        </is>
      </c>
      <c r="I22" s="2" t="inlineStr">
        <is>
          <t>~56 (28 per house)</t>
        </is>
      </c>
      <c r="J22" s="2" t="inlineStr">
        <is>
          <t>Robert Booth</t>
        </is>
      </c>
      <c r="K22" s="2" t="inlineStr">
        <is>
          <t>Hostel Manager / Boarding Manager</t>
        </is>
      </c>
      <c r="L22" s="3" t="inlineStr">
        <is>
          <t>hostel@garincollege.nz</t>
        </is>
      </c>
      <c r="M22" s="2" t="inlineStr">
        <is>
          <t>generic</t>
        </is>
      </c>
      <c r="N22" s="2" t="inlineStr">
        <is>
          <t>Main college office via https://www.garincollege.ac.nz/contact-us/ (college phone +64 3 543 9488)</t>
        </is>
      </c>
      <c r="O22" s="2" t="inlineStr">
        <is>
          <t>Hostel +64 27 654 4835</t>
        </is>
      </c>
      <c r="P22" s="2" t="inlineStr">
        <is>
          <t>likely</t>
        </is>
      </c>
      <c r="Q22" s="2" t="inlineStr">
        <is>
          <t>No formal gap programme is advertised. In May 2025 the college advertised for part-time 'Boarding House Supervisors' (weekend overnight shifts) and kitchen assistants, contact Robert Booth. The hostel is small, with trained supervisors and a boarder-to-staff ratio under 20:1, so a boarding assistant with tutoring and coaching could be pitched.</t>
        </is>
      </c>
      <c r="R22" s="2" t="n">
        <v>2</v>
      </c>
      <c r="S22" s="2" t="inlineStr">
        <is>
          <t>Plays in the Tasman/Nelson Bays secondary schools rugby scene. Not a national-tier rugby school. Only the boys' house (28) would be relevant for rugby mentoring.</t>
        </is>
      </c>
      <c r="T22" s="2" t="n">
        <v>5</v>
      </c>
      <c r="U22" s="2" t="inlineStr">
        <is>
          <t>Richmond sits at the foot of the Richmond Ranges, close to Rabbit Island beach, the Great Taste Trail cycleway, Abel Tasman and Kahurangi. The hostel site mentions beach trips, river adventures and winter ski days.</t>
        </is>
      </c>
      <c r="V22" s="2" t="inlineStr">
        <is>
          <t>https://www.garincollegehostel.nz/</t>
        </is>
      </c>
      <c r="W22" s="2" t="inlineStr">
        <is>
          <t>https://www.garincollegehostel.nz/life-at-garin-boarding (hostel@ email); https://www.garincollege.ac.nz/join-our-hostel-team/ (Robert Booth, Hostel Manager, May 2025)</t>
        </is>
      </c>
      <c r="X22" s="2" t="inlineStr">
        <is>
          <t>The hostel is at 1-5 Monro Place, Richmond. Address the email to Robert Booth at hostel@garincollege.nz. It is a Catholic faith-based school.</t>
        </is>
      </c>
      <c r="Y22" s="4" t="inlineStr">
        <is>
          <t>Not contacted</t>
        </is>
      </c>
      <c r="Z22" s="5" t="n"/>
      <c r="AA22" s="6">
        <f>IF(Z22="","",Z22+10)</f>
        <v/>
      </c>
      <c r="AB22" s="4" t="n"/>
    </row>
    <row r="23">
      <c r="A23" s="2">
        <f>RANK(B23,$B$2:$B$28)</f>
        <v/>
      </c>
      <c r="B23" s="2">
        <f>R23*Weights!$B$4+T23*Weights!$B$5+IF(P23="yes",5,IF(P23="likely",3,IF(P23="unknown",1,0)))*Weights!$B$6+IF(M23="verified",5,IF(M23="inferred",3,IF(M23="generic",1,0)))*Weights!$B$7</f>
        <v/>
      </c>
      <c r="C23" s="2" t="inlineStr">
        <is>
          <t>Waitaki Boys' High School</t>
        </is>
      </c>
      <c r="D23" s="2" t="inlineStr">
        <is>
          <t>Otago (North Otago)</t>
        </is>
      </c>
      <c r="E23" s="2" t="inlineStr">
        <is>
          <t>Oamaru</t>
        </is>
      </c>
      <c r="F23" s="2" t="inlineStr">
        <is>
          <t>boys</t>
        </is>
      </c>
      <c r="G23" s="2" t="inlineStr">
        <is>
          <t>state</t>
        </is>
      </c>
      <c r="H23" s="2" t="inlineStr">
        <is>
          <t>Don House</t>
        </is>
      </c>
      <c r="I23" s="2" t="inlineStr">
        <is>
          <t>unknown (4 dormitories; Year 10-13 boarders have single rooms). Historically about 80-100</t>
        </is>
      </c>
      <c r="J23" s="2" t="inlineStr">
        <is>
          <t>Ryan Wilson</t>
        </is>
      </c>
      <c r="K23" s="2" t="inlineStr">
        <is>
          <t>Director of Boarding</t>
        </is>
      </c>
      <c r="L23" s="3" t="inlineStr">
        <is>
          <t>ryanw@waitakibhs.school.nz</t>
        </is>
      </c>
      <c r="M23" s="2" t="inlineStr">
        <is>
          <t>verified</t>
        </is>
      </c>
      <c r="N23" s="2" t="inlineStr">
        <is>
          <t>admin@waitakibhs.school.nz</t>
        </is>
      </c>
      <c r="O23" s="2" t="inlineStr">
        <is>
          <t>+64 3 437 0529</t>
        </is>
      </c>
      <c r="P23" s="2" t="inlineStr">
        <is>
          <t>unknown</t>
        </is>
      </c>
      <c r="Q23" s="2" t="inlineStr">
        <is>
          <t>No published gap programme. The site mentions a Residential Manager and a diverse boarding team. Older sources name earlier directors (Scott Mayhew, Andrew Kaufana), so use Ryan Wilson.</t>
        </is>
      </c>
      <c r="R23" s="2" t="n">
        <v>3</v>
      </c>
      <c r="S23" s="2" t="inlineStr">
        <is>
          <t>A proud rugby tradition (one of NZ's oldest schools). In the 2026 SSRC qualifiers, Pool A. Finished 6th in 2025 after losing the Division Two final to the Southland Boys' 2nd XV.</t>
        </is>
      </c>
      <c r="T23" s="2" t="n">
        <v>3</v>
      </c>
      <c r="U23" s="2" t="inlineStr">
        <is>
          <t>Coastal Oamaru: Victorian precinct, blue penguin colony, Waitaki Valley. About 2.5 hrs to the Mackenzie Country, Aoraki/Mt Cook and ski fields.</t>
        </is>
      </c>
      <c r="V23" s="2" t="inlineStr">
        <is>
          <t>https://www.waitakibhs.school.nz</t>
        </is>
      </c>
      <c r="W23" s="2" t="inlineStr">
        <is>
          <t>https://www.waitakibhs.school.nz/contact/our-team/hostel-management</t>
        </is>
      </c>
      <c r="X23" s="2" t="inlineStr">
        <is>
          <t>The school has a school farm and shooting range. The Don House page is at /opportunities/boarding.</t>
        </is>
      </c>
      <c r="Y23" s="4" t="inlineStr">
        <is>
          <t>Not contacted</t>
        </is>
      </c>
      <c r="Z23" s="5" t="n"/>
      <c r="AA23" s="6">
        <f>IF(Z23="","",Z23+10)</f>
        <v/>
      </c>
      <c r="AB23" s="4" t="n"/>
    </row>
    <row r="24">
      <c r="A24" s="2">
        <f>RANK(B24,$B$2:$B$28)</f>
        <v/>
      </c>
      <c r="B24" s="2">
        <f>R24*Weights!$B$4+T24*Weights!$B$5+IF(P24="yes",5,IF(P24="likely",3,IF(P24="unknown",1,0)))*Weights!$B$6+IF(M24="verified",5,IF(M24="inferred",3,IF(M24="generic",1,0)))*Weights!$B$7</f>
        <v/>
      </c>
      <c r="C24" s="2" t="inlineStr">
        <is>
          <t>St Kevin's College</t>
        </is>
      </c>
      <c r="D24" s="2" t="inlineStr">
        <is>
          <t>Otago (North Otago)</t>
        </is>
      </c>
      <c r="E24" s="2" t="inlineStr">
        <is>
          <t>Oamaru</t>
        </is>
      </c>
      <c r="F24" s="2" t="inlineStr">
        <is>
          <t>co-ed</t>
        </is>
      </c>
      <c r="G24" s="2" t="inlineStr">
        <is>
          <t>state-integrated (Catholic)</t>
        </is>
      </c>
      <c r="H24" s="2" t="inlineStr">
        <is>
          <t>Redcastle Boarding (boys and girls, Years 9-13, private rooms)</t>
        </is>
      </c>
      <c r="I24" s="2" t="inlineStr">
        <is>
          <t>~80 (2019 figure)</t>
        </is>
      </c>
      <c r="J24" s="2" t="inlineStr">
        <is>
          <t>Justin Fowler</t>
        </is>
      </c>
      <c r="K24" s="2" t="inlineStr">
        <is>
          <t>Director of Boarding</t>
        </is>
      </c>
      <c r="L24" s="3" t="inlineStr">
        <is>
          <t>jfowler@stkevins.school.nz</t>
        </is>
      </c>
      <c r="M24" s="2" t="inlineStr">
        <is>
          <t>verified</t>
        </is>
      </c>
      <c r="N24" s="2" t="inlineStr">
        <is>
          <t>college@stkevins.school.nz (office); principal@stkevins.school.nz; cagardner@stkevins.school.nz (Dr Catherine Gardner, International Director)</t>
        </is>
      </c>
      <c r="O24" s="2" t="inlineStr">
        <is>
          <t>+64 3 437 1665</t>
        </is>
      </c>
      <c r="P24" s="2" t="inlineStr">
        <is>
          <t>unknown</t>
        </is>
      </c>
      <c r="Q24" s="2" t="inlineStr">
        <is>
          <t>No published gap programme found. The hostel is owned by the St Kevin's College Hostel Trust. Its centenary is coming up.</t>
        </is>
      </c>
      <c r="R24" s="2" t="n">
        <v>3</v>
      </c>
      <c r="S24" s="2" t="inlineStr">
        <is>
          <t>Traditional rugby school. 2026 SSRC Pool A: beat Waitaki Boys' 29-28 and lost to John McGlashan 45-22. Finished 7th in 2025. Offers Cambridge curriculum.</t>
        </is>
      </c>
      <c r="T24" s="2" t="n">
        <v>3</v>
      </c>
      <c r="U24" s="2" t="inlineStr">
        <is>
          <t>Coastal Oamaru, same as Waitaki Boys'. Access to the Waitaki lakes, Aoraki/Mt Cook and Ohau skiing.</t>
        </is>
      </c>
      <c r="V24" s="2" t="inlineStr">
        <is>
          <t>https://www.stkevins.school.nz</t>
        </is>
      </c>
      <c r="W24" s="2" t="inlineStr">
        <is>
          <t>https://www.stkevins.school.nz/our-staff/</t>
        </is>
      </c>
      <c r="X24" s="2" t="inlineStr">
        <is>
          <t>The staff page (2026 photos) lists 'Mr J Fowler, Director of Boarding' with a mailto link to jfowler@stkevins.school.nz on his card. The old URLs (/redcastle-boarding-1/...) redirect. The boarding page is at /boarding/.</t>
        </is>
      </c>
      <c r="Y24" s="4" t="inlineStr">
        <is>
          <t>Not contacted</t>
        </is>
      </c>
      <c r="Z24" s="5" t="n"/>
      <c r="AA24" s="6">
        <f>IF(Z24="","",Z24+10)</f>
        <v/>
      </c>
      <c r="AB24" s="4" t="n"/>
    </row>
    <row r="25">
      <c r="A25" s="2">
        <f>RANK(B25,$B$2:$B$28)</f>
        <v/>
      </c>
      <c r="B25" s="2">
        <f>R25*Weights!$B$4+T25*Weights!$B$5+IF(P25="yes",5,IF(P25="likely",3,IF(P25="unknown",1,0)))*Weights!$B$6+IF(M25="verified",5,IF(M25="inferred",3,IF(M25="generic",1,0)))*Weights!$B$7</f>
        <v/>
      </c>
      <c r="C25" s="2" t="inlineStr">
        <is>
          <t>Te Aute College</t>
        </is>
      </c>
      <c r="D25" s="2" t="inlineStr">
        <is>
          <t>Hawke's Bay</t>
        </is>
      </c>
      <c r="E25" s="2" t="inlineStr">
        <is>
          <t>Pukehou (near Waipukurau / Te Aute), Central Hawke's Bay</t>
        </is>
      </c>
      <c r="F25" s="2" t="inlineStr">
        <is>
          <t>boys</t>
        </is>
      </c>
      <c r="G25" s="2" t="inlineStr">
        <is>
          <t>state-integrated</t>
        </is>
      </c>
      <c r="H25" s="2" t="inlineStr">
        <is>
          <t>Te Whare Noho (school hostel)</t>
        </is>
      </c>
      <c r="I25" s="2" t="inlineStr">
        <is>
          <t>c.90-120 (an older ERO report: 91 boarders = 82% of roll; now predominantly boarding)</t>
        </is>
      </c>
      <c r="J25" s="2" t="inlineStr"/>
      <c r="K25" s="2" t="inlineStr">
        <is>
          <t>Hostel (no named manager published)</t>
        </is>
      </c>
      <c r="L25" s="3" t="inlineStr">
        <is>
          <t>hostel@teaute.school.nz</t>
        </is>
      </c>
      <c r="M25" s="2" t="inlineStr">
        <is>
          <t>generic</t>
        </is>
      </c>
      <c r="N25" s="2" t="inlineStr">
        <is>
          <t>admin@teaute.school.nz</t>
        </is>
      </c>
      <c r="O25" s="2" t="inlineStr">
        <is>
          <t>Hostel 027 528 7777; school 06 856 8016</t>
        </is>
      </c>
      <c r="P25" s="2" t="inlineStr">
        <is>
          <t>unknown</t>
        </is>
      </c>
      <c r="Q25" s="2" t="inlineStr">
        <is>
          <t>No gap tutor programme found. A historic Anglican Māori boys' boarding school (founded 1854) with a strong tikanga Māori special character. An approach should show respect for and interest in the kaupapa. Hostel operation has at times reported directly to the principal (ERO).</t>
        </is>
      </c>
      <c r="R25" s="2" t="n">
        <v>3</v>
      </c>
      <c r="S25" s="2" t="inlineStr">
        <is>
          <t>Proud rugby tradition. Plays in the CNI / Hurricanes-region schools competitions, with traditional 1st XV challenges (e.g. v Hato Pāora, 2025). Smaller roll, so not a current national contender.</t>
        </is>
      </c>
      <c r="T25" s="2" t="n">
        <v>4</v>
      </c>
      <c r="U25" s="2" t="inlineStr">
        <is>
          <t>Rural Central Hawke's Bay farmland by Lake Roto-a-Kiwa; about 40 min to Hastings/Havelock North; Ruahine Range and the CHB coast (Pōrangahau, Blackhead) within reach.</t>
        </is>
      </c>
      <c r="V25" s="2" t="inlineStr">
        <is>
          <t>https://teaute.maori.nz/</t>
        </is>
      </c>
      <c r="W25" s="2" t="inlineStr">
        <is>
          <t>https://teaute.maori.nz/contact</t>
        </is>
      </c>
      <c r="X25" s="2" t="inlineStr">
        <is>
          <t>The contact page (checked Sep 2026) lists hostel@teaute.school.nz. A search-engine snippet of an older page version showed kaihautu@teaute.school.nz (kaihautū = leader/manager), but it is not on the current site, so treat it as unverified. No principal's name is published on the site.</t>
        </is>
      </c>
      <c r="Y25" s="4" t="inlineStr">
        <is>
          <t>Not contacted</t>
        </is>
      </c>
      <c r="Z25" s="5" t="n"/>
      <c r="AA25" s="6">
        <f>IF(Z25="","",Z25+10)</f>
        <v/>
      </c>
      <c r="AB25" s="4" t="n"/>
    </row>
    <row r="26">
      <c r="A26" s="2">
        <f>RANK(B26,$B$2:$B$28)</f>
        <v/>
      </c>
      <c r="B26" s="2">
        <f>R26*Weights!$B$4+T26*Weights!$B$5+IF(P26="yes",5,IF(P26="likely",3,IF(P26="unknown",1,0)))*Weights!$B$6+IF(M26="verified",5,IF(M26="inferred",3,IF(M26="generic",1,0)))*Weights!$B$7</f>
        <v/>
      </c>
      <c r="C26" s="2" t="inlineStr">
        <is>
          <t>Dunstan High School</t>
        </is>
      </c>
      <c r="D26" s="2" t="inlineStr">
        <is>
          <t>Otago (Central Otago)</t>
        </is>
      </c>
      <c r="E26" s="2" t="inlineStr">
        <is>
          <t>Alexandra</t>
        </is>
      </c>
      <c r="F26" s="2" t="inlineStr">
        <is>
          <t>co-ed</t>
        </is>
      </c>
      <c r="G26" s="2" t="inlineStr">
        <is>
          <t>state</t>
        </is>
      </c>
      <c r="H26" s="2" t="inlineStr">
        <is>
          <t>Dunstan High School Hostel (99 Russell St), 5- and 7-day boarding</t>
        </is>
      </c>
      <c r="I26" s="2" t="inlineStr">
        <is>
          <t>~48 spaces</t>
        </is>
      </c>
      <c r="J26" s="2" t="inlineStr">
        <is>
          <t>Jason Barron</t>
        </is>
      </c>
      <c r="K26" s="2" t="inlineStr">
        <is>
          <t>Director of Boarding</t>
        </is>
      </c>
      <c r="L26" s="3" t="inlineStr">
        <is>
          <t>hostel@dunstan.school.nz</t>
        </is>
      </c>
      <c r="M26" s="2" t="inlineStr">
        <is>
          <t>generic</t>
        </is>
      </c>
      <c r="N26" s="2" t="inlineStr">
        <is>
          <t>office@dunstan.school.nz; matron@dunstan.school.nz</t>
        </is>
      </c>
      <c r="O26" s="2" t="inlineStr">
        <is>
          <t>Director of Boarding mobile 027 312 7883; hostel landline 03 448 7506; school 03 448 8595</t>
        </is>
      </c>
      <c r="P26" s="2" t="inlineStr">
        <is>
          <t>unknown</t>
        </is>
      </c>
      <c r="Q26" s="2" t="inlineStr">
        <is>
          <t>A small, family-style hostel. The Matron and Director live on site and at least one other staff member is usually on duty 24/7. There is supervised prep for Years 9-11, so there is scope for a tutor. No published gap programme.</t>
        </is>
      </c>
      <c r="R26" s="2" t="n">
        <v>2</v>
      </c>
      <c r="S26" s="2" t="inlineStr">
        <is>
          <t>A provincial co-ed school that plays in the Southern Schools competition grades. Not a traditional power.</t>
        </is>
      </c>
      <c r="T26" s="2" t="n">
        <v>5</v>
      </c>
      <c r="U26" s="2" t="inlineStr">
        <is>
          <t>Central Otago: about 1 hr to Queenstown and Wanaka ski fields (Cardrona, Remarkables, Coronet). Otago Central Rail Trail, lakes, mountain biking.</t>
        </is>
      </c>
      <c r="V26" s="2" t="inlineStr">
        <is>
          <t>https://www.dunstan.school.nz</t>
        </is>
      </c>
      <c r="W26" s="2" t="inlineStr">
        <is>
          <t>https://dunstan.ibcdn.nz/media/2026_03_11_hostel-application-information-pack-2027-1-1.pdf</t>
        </is>
      </c>
      <c r="X26" s="2" t="inlineStr">
        <is>
          <t>The 2027 hostel pack gives hostel@dunstan.school.nz as the Director of Boarding's contact email. Jason Barron is named on https://www.dunstan.school.nz/boarding/boarding-dunstan. The inferred email follows the first-initial+surname pattern (e.g. glochaden@dunstan.school.nz in the 2025 hostel handbook).</t>
        </is>
      </c>
      <c r="Y26" s="4" t="inlineStr">
        <is>
          <t>Not contacted</t>
        </is>
      </c>
      <c r="Z26" s="5" t="n"/>
      <c r="AA26" s="6">
        <f>IF(Z26="","",Z26+10)</f>
        <v/>
      </c>
      <c r="AB26" s="4" t="n"/>
    </row>
    <row r="27">
      <c r="A27" s="2">
        <f>RANK(B27,$B$2:$B$28)</f>
        <v/>
      </c>
      <c r="B27" s="2">
        <f>R27*Weights!$B$4+T27*Weights!$B$5+IF(P27="yes",5,IF(P27="likely",3,IF(P27="unknown",1,0)))*Weights!$B$6+IF(M27="verified",5,IF(M27="inferred",3,IF(M27="generic",1,0)))*Weights!$B$7</f>
        <v/>
      </c>
      <c r="C27" s="2" t="inlineStr">
        <is>
          <t>Mount Aspiring College</t>
        </is>
      </c>
      <c r="D27" s="2" t="inlineStr">
        <is>
          <t>Otago (Queenstown-Lakes)</t>
        </is>
      </c>
      <c r="E27" s="2" t="inlineStr">
        <is>
          <t>Wanaka</t>
        </is>
      </c>
      <c r="F27" s="2" t="inlineStr">
        <is>
          <t>co-ed</t>
        </is>
      </c>
      <c r="G27" s="2" t="inlineStr">
        <is>
          <t>state</t>
        </is>
      </c>
      <c r="H27" s="2" t="inlineStr">
        <is>
          <t>MAC Hostel Programme (self-catering villas of six, Year 13 only)</t>
        </is>
      </c>
      <c r="I27" s="2" t="inlineStr">
        <is>
          <t>30 (Year 13 only)</t>
        </is>
      </c>
      <c r="J27" s="2" t="inlineStr">
        <is>
          <t>Hostel Manager (not named online); email goes to PA to the Principal</t>
        </is>
      </c>
      <c r="K27" s="2" t="inlineStr">
        <is>
          <t>PA to the Principal (hostel applications contact)</t>
        </is>
      </c>
      <c r="L27" s="3" t="inlineStr">
        <is>
          <t>learn@mtaspiring.school.nz</t>
        </is>
      </c>
      <c r="M27" s="2" t="inlineStr">
        <is>
          <t>generic</t>
        </is>
      </c>
      <c r="N27" s="2" t="inlineStr">
        <is>
          <t>principal@mtaspiring.school.nz; office@mtaspiring.school.nz</t>
        </is>
      </c>
      <c r="O27" s="2" t="inlineStr">
        <is>
          <t>+64 3 443 0499</t>
        </is>
      </c>
      <c r="P27" s="2" t="inlineStr">
        <is>
          <t>no</t>
        </is>
      </c>
      <c r="Q27" s="2" t="inlineStr">
        <is>
          <t>Small Year 13 hostel with a hostel manager and assistant manager. Students cater for themselves, so there is less need for gap tutors. A long shot, but the outdoor-pursuits focus could suit a coaching gappy.</t>
        </is>
      </c>
      <c r="R27" s="2" t="n">
        <v>2</v>
      </c>
      <c r="S27" s="2" t="inlineStr">
        <is>
          <t>Co-ed school that plays in the Southern/Otago schools grades. Not a rugby powerhouse.</t>
        </is>
      </c>
      <c r="T27" s="2" t="n">
        <v>5</v>
      </c>
      <c r="U27" s="2" t="inlineStr">
        <is>
          <t>Wanaka: Treble Cone and Cardrona ski fields, Lake Wanaka, Mt Aspiring National Park. The hostel runs weekend outdoor-pursuits trips.</t>
        </is>
      </c>
      <c r="V27" s="2" t="inlineStr">
        <is>
          <t>https://mtaspiring.school.nz</t>
        </is>
      </c>
      <c r="W27" s="2" t="inlineStr">
        <is>
          <t>https://mtaspiring.school.nz/wp-content/uploads/2025/04/2026-MAC-Hostel-Application-Pack.pdf</t>
        </is>
      </c>
      <c r="X27" s="2" t="inlineStr">
        <is>
          <t>Years 7-13 school. The hostel is for Year 13 only, so it is less relevant for a Years 9-13 boarding assistant role. The staff directory is rendered by JavaScript and no hostel manager name could be extracted.</t>
        </is>
      </c>
      <c r="Y27" s="4" t="inlineStr">
        <is>
          <t>Not contacted</t>
        </is>
      </c>
      <c r="Z27" s="5" t="n"/>
      <c r="AA27" s="6">
        <f>IF(Z27="","",Z27+10)</f>
        <v/>
      </c>
      <c r="AB27" s="4" t="n"/>
    </row>
    <row r="28">
      <c r="A28" s="2">
        <f>RANK(B28,$B$2:$B$28)</f>
        <v/>
      </c>
      <c r="B28" s="2">
        <f>R28*Weights!$B$4+T28*Weights!$B$5+IF(P28="yes",5,IF(P28="likely",3,IF(P28="unknown",1,0)))*Weights!$B$6+IF(M28="verified",5,IF(M28="inferred",3,IF(M28="generic",1,0)))*Weights!$B$7</f>
        <v/>
      </c>
      <c r="C28" s="2" t="inlineStr">
        <is>
          <t>Longburn Adventist College</t>
        </is>
      </c>
      <c r="D28" s="2" t="inlineStr">
        <is>
          <t>Manawatū-Whanganui</t>
        </is>
      </c>
      <c r="E28" s="2" t="inlineStr">
        <is>
          <t>Longburn, Palmerston North</t>
        </is>
      </c>
      <c r="F28" s="2" t="inlineStr">
        <is>
          <t>co-ed</t>
        </is>
      </c>
      <c r="G28" s="2" t="inlineStr">
        <is>
          <t>state-integrated (Seventh-day Adventist)</t>
        </is>
      </c>
      <c r="H28" s="2" t="inlineStr">
        <is>
          <t>LAC House (boys' and girls' dormitories; Years 7-13)</t>
        </is>
      </c>
      <c r="I28" s="2" t="inlineStr">
        <is>
          <t>unknown (small)</t>
        </is>
      </c>
      <c r="J28" s="2" t="inlineStr">
        <is>
          <t>Stephanie Ngarepa</t>
        </is>
      </c>
      <c r="K28" s="2" t="inlineStr">
        <is>
          <t>LAC House Boarding Director</t>
        </is>
      </c>
      <c r="L28" s="3" t="inlineStr">
        <is>
          <t>boarding@lac.school.nz</t>
        </is>
      </c>
      <c r="M28" s="2" t="inlineStr">
        <is>
          <t>generic</t>
        </is>
      </c>
      <c r="N28" s="2" t="inlineStr"/>
      <c r="O28" s="2" t="inlineStr"/>
      <c r="P28" s="2" t="inlineStr">
        <is>
          <t>likely</t>
        </is>
      </c>
      <c r="Q28" s="2" t="inlineStr">
        <is>
          <t>LAC House uses 'Volunteer Assistant Deans' who live in the dorms. Historically it takes volunteer student missionaries (e.g. from US Adventist universities). A strong Adventist faith ethos is expected, and Saturday Sabbath would limit weekend rugby.</t>
        </is>
      </c>
      <c r="R28" s="2" t="n">
        <v>1</v>
      </c>
      <c r="S28" s="2" t="inlineStr">
        <is>
          <t>Small school; no significant 1st XV profile found.</t>
        </is>
      </c>
      <c r="T28" s="2" t="n">
        <v>2</v>
      </c>
      <c r="U28" s="2" t="inlineStr">
        <is>
          <t>Rural Manawatū plains on the edge of Palmerston North.</t>
        </is>
      </c>
      <c r="V28" s="2" t="inlineStr">
        <is>
          <t>https://www.lac.school.nz/</t>
        </is>
      </c>
      <c r="W28" s="2" t="inlineStr">
        <is>
          <t>https://www.lac.school.nz/lac-house/lac-house-team</t>
        </is>
      </c>
      <c r="X28" s="2" t="inlineStr">
        <is>
          <t>Older third-party sources name Maria Henry as Director of Boarding, but the 2026 site names Stephanie Ngarepa. No personal email is published, so use boarding@lac.school.nz. Probably a weak fit for a rugby-focused gap year. Also info@lac.school.nz.</t>
        </is>
      </c>
      <c r="Y28" s="4" t="inlineStr">
        <is>
          <t>Not contacted</t>
        </is>
      </c>
      <c r="Z28" s="5" t="n"/>
      <c r="AA28" s="6">
        <f>IF(Z28="","",Z28+10)</f>
        <v/>
      </c>
      <c r="AB28" s="4" t="n"/>
    </row>
  </sheetData>
  <autoFilter ref="A1:AB28"/>
  <conditionalFormatting sqref="M2:M28">
    <cfRule type="cellIs" priority="1" operator="equal" dxfId="0">
      <formula>"verified"</formula>
    </cfRule>
    <cfRule type="cellIs" priority="2" operator="equal" dxfId="1">
      <formula>"inferred"</formula>
    </cfRule>
    <cfRule type="cellIs" priority="3" operator="equal" dxfId="2">
      <formula>"generic"</formula>
    </cfRule>
  </conditionalFormatting>
  <conditionalFormatting sqref="A2:A28">
    <cfRule type="cellIs" priority="4" operator="lessThanOrEqual" dxfId="0">
      <formula>10</formula>
    </cfRule>
  </conditionalFormatting>
  <dataValidations count="1">
    <dataValidation sqref="Y2:Y28" showDropDown="0" showInputMessage="0" showErrorMessage="0" allowBlank="1" type="list">
      <formula1>"Not contacted,Emailed,Followed up,Replied,Interview,Offer,Declined,No reply"</formula1>
    </dataValidation>
  </dataValidations>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W15" r:id="rId28"/>
    <hyperlink xmlns:r="http://schemas.openxmlformats.org/officeDocument/2006/relationships" ref="V16" r:id="rId29"/>
    <hyperlink xmlns:r="http://schemas.openxmlformats.org/officeDocument/2006/relationships" ref="W16" r:id="rId30"/>
    <hyperlink xmlns:r="http://schemas.openxmlformats.org/officeDocument/2006/relationships" ref="V17" r:id="rId31"/>
    <hyperlink xmlns:r="http://schemas.openxmlformats.org/officeDocument/2006/relationships" ref="W17" r:id="rId32"/>
    <hyperlink xmlns:r="http://schemas.openxmlformats.org/officeDocument/2006/relationships" ref="V18" r:id="rId33"/>
    <hyperlink xmlns:r="http://schemas.openxmlformats.org/officeDocument/2006/relationships" ref="W18" r:id="rId34"/>
    <hyperlink xmlns:r="http://schemas.openxmlformats.org/officeDocument/2006/relationships" ref="V19" r:id="rId35"/>
    <hyperlink xmlns:r="http://schemas.openxmlformats.org/officeDocument/2006/relationships" ref="W19" r:id="rId36"/>
    <hyperlink xmlns:r="http://schemas.openxmlformats.org/officeDocument/2006/relationships" ref="V20" r:id="rId37"/>
    <hyperlink xmlns:r="http://schemas.openxmlformats.org/officeDocument/2006/relationships" ref="W20" r:id="rId38"/>
    <hyperlink xmlns:r="http://schemas.openxmlformats.org/officeDocument/2006/relationships" ref="V21" r:id="rId39"/>
    <hyperlink xmlns:r="http://schemas.openxmlformats.org/officeDocument/2006/relationships" ref="W21" r:id="rId40"/>
    <hyperlink xmlns:r="http://schemas.openxmlformats.org/officeDocument/2006/relationships" ref="V22" r:id="rId41"/>
    <hyperlink xmlns:r="http://schemas.openxmlformats.org/officeDocument/2006/relationships" ref="W22" r:id="rId42"/>
    <hyperlink xmlns:r="http://schemas.openxmlformats.org/officeDocument/2006/relationships" ref="V23" r:id="rId43"/>
    <hyperlink xmlns:r="http://schemas.openxmlformats.org/officeDocument/2006/relationships" ref="W23" r:id="rId44"/>
    <hyperlink xmlns:r="http://schemas.openxmlformats.org/officeDocument/2006/relationships" ref="V24" r:id="rId45"/>
    <hyperlink xmlns:r="http://schemas.openxmlformats.org/officeDocument/2006/relationships" ref="W24" r:id="rId46"/>
    <hyperlink xmlns:r="http://schemas.openxmlformats.org/officeDocument/2006/relationships" ref="V25" r:id="rId47"/>
    <hyperlink xmlns:r="http://schemas.openxmlformats.org/officeDocument/2006/relationships" ref="W25" r:id="rId48"/>
    <hyperlink xmlns:r="http://schemas.openxmlformats.org/officeDocument/2006/relationships" ref="V26" r:id="rId49"/>
    <hyperlink xmlns:r="http://schemas.openxmlformats.org/officeDocument/2006/relationships" ref="W26" r:id="rId50"/>
    <hyperlink xmlns:r="http://schemas.openxmlformats.org/officeDocument/2006/relationships" ref="V27" r:id="rId51"/>
    <hyperlink xmlns:r="http://schemas.openxmlformats.org/officeDocument/2006/relationships" ref="W27" r:id="rId52"/>
    <hyperlink xmlns:r="http://schemas.openxmlformats.org/officeDocument/2006/relationships" ref="V28" r:id="rId53"/>
    <hyperlink xmlns:r="http://schemas.openxmlformats.org/officeDocument/2006/relationships" ref="W28" r:id="rId54"/>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40" customWidth="1" min="1" max="1"/>
  </cols>
  <sheetData>
    <row r="1">
      <c r="A1" s="7" t="inlineStr">
        <is>
          <t>NZ Boarding School Gap Year Outreach: Terms 1-2 2027</t>
        </is>
      </c>
    </row>
    <row r="2">
      <c r="A2" s="8" t="inlineStr"/>
    </row>
    <row r="3">
      <c r="A3" s="9" t="inlineStr">
        <is>
          <t>HOW TO USE THIS WORKBOOK</t>
        </is>
      </c>
    </row>
    <row r="4">
      <c r="A4" s="8" t="inlineStr">
        <is>
          <t>1. 'Schools' is sorted by priority score (rugby &gt; scenery &gt; gap scheme/free board &gt; email quality). Rank 1-10 are highlighted green.</t>
        </is>
      </c>
    </row>
    <row r="5">
      <c r="A5" s="8" t="inlineStr">
        <is>
          <t>2. Email the address in the bold blue 'EMAIL TO USE' column. Check 'Email confidence': green = verified on the school site, amber = inferred from the school's email pattern, red = generic inbox (ask them to forward to the Head of Boarding).</t>
        </is>
      </c>
    </row>
    <row r="6">
      <c r="A6" s="8" t="inlineStr">
        <is>
          <t>3. Yellow cells in columns Y-AB are for you: set Status from the dropdown, enter Date emailed, and 'Follow up by' fills in automatically (+10 days).</t>
        </is>
      </c>
    </row>
    <row r="7">
      <c r="A7" s="8" t="inlineStr">
        <is>
          <t>4. Change the weights on the 'Weights' sheet to re-rank the list.</t>
        </is>
      </c>
    </row>
    <row r="8">
      <c r="A8" s="8" t="inlineStr"/>
    </row>
    <row r="9">
      <c r="A9" s="9" t="inlineStr">
        <is>
          <t>TIMING</t>
        </is>
      </c>
    </row>
    <row r="10">
      <c r="A10" s="8" t="inlineStr">
        <is>
          <t>- NZ school year: Term 1 starts late Jan/early Feb 2027; Term 2 ends early July. Rugby season runs roughly April-August.</t>
        </is>
      </c>
    </row>
    <row r="11">
      <c r="A11" s="8" t="inlineStr">
        <is>
          <t>- Many schools finalise gap tutors for the following year between August and November, so email as soon as possible. Some 2027 spots may already be filled.</t>
        </is>
      </c>
    </row>
    <row r="12">
      <c r="A12" s="8" t="inlineStr">
        <is>
          <t>- A half-year (Terms 1-2) is less common than a full year. Offer flexibility ('Terms 1-2, with scope to extend into Term 3 for the end of the rugby season') to improve your odds.</t>
        </is>
      </c>
    </row>
    <row r="13">
      <c r="A13" s="8" t="inlineStr"/>
    </row>
    <row r="14">
      <c r="A14" s="9" t="inlineStr">
        <is>
          <t>VISA AND PRACTICALITIES (check current rules at immigration.govt.nz)</t>
        </is>
      </c>
    </row>
    <row r="15">
      <c r="A15" s="8" t="inlineStr">
        <is>
          <t>- UK citizens aged 18-35 can apply for a NZ Working Holiday Visa, which allows paid work.</t>
        </is>
      </c>
    </row>
    <row r="16">
      <c r="A16" s="8" t="inlineStr">
        <is>
          <t>- Expect to need: a UK DBS / police check, NZ Police vetting (done by the school), references (school head + rugby coach), and possibly a first-aid certificate.</t>
        </is>
      </c>
    </row>
    <row r="17">
      <c r="A17" s="8" t="inlineStr">
        <is>
          <t>- Typical gap tutor package: free room and meals in the boarding house plus a modest weekly allowance, in return for evening, weekend and duty supervision. Coaching and tutoring are usually on top.</t>
        </is>
      </c>
    </row>
    <row r="18">
      <c r="A18" s="8" t="inlineStr"/>
    </row>
    <row r="19">
      <c r="A19" s="9" t="inlineStr">
        <is>
          <t>DATA CAVEATS</t>
        </is>
      </c>
    </row>
    <row r="20">
      <c r="A20" s="8" t="inlineStr">
        <is>
          <t>- Contacts were researched from school websites and public sources in Sept 2026. Staff change often, so verify on the school website before emailing, especially amber and red rows.</t>
        </is>
      </c>
    </row>
    <row r="21">
      <c r="A21" s="8" t="inlineStr">
        <is>
          <t>- Rugby and scenery scores (1-5) are judgement calls based on 1st XV competition level and 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2" customWidth="1" min="1" max="1"/>
    <col width="10" customWidth="1" min="2" max="2"/>
    <col width="100" customWidth="1" min="3" max="3"/>
  </cols>
  <sheetData>
    <row r="1">
      <c r="A1" s="10" t="inlineStr">
        <is>
          <t>Priority score weights (edit the yellow cells; the Schools ranking updates automatically)</t>
        </is>
      </c>
    </row>
    <row r="3">
      <c r="A3" s="11" t="inlineStr">
        <is>
          <t>Factor</t>
        </is>
      </c>
      <c r="B3" s="11" t="inlineStr">
        <is>
          <t>Weight</t>
        </is>
      </c>
      <c r="C3" s="11" t="inlineStr">
        <is>
          <t>Why</t>
        </is>
      </c>
    </row>
    <row r="4">
      <c r="A4" s="12" t="inlineStr">
        <is>
          <t>Rugby strength (1-5)</t>
        </is>
      </c>
      <c r="B4" s="13" t="n">
        <v>3</v>
      </c>
      <c r="C4" s="12" t="inlineStr">
        <is>
          <t>Your #1 priority: strong 1st XV programme</t>
        </is>
      </c>
    </row>
    <row r="5">
      <c r="A5" s="12" t="inlineStr">
        <is>
          <t>Scenery / outdoors (1-5)</t>
        </is>
      </c>
      <c r="B5" s="13" t="n">
        <v>2</v>
      </c>
      <c r="C5" s="12" t="inlineStr">
        <is>
          <t>Your #2 priority</t>
        </is>
      </c>
    </row>
    <row r="6">
      <c r="A6" s="12" t="inlineStr">
        <is>
          <t>Gap tutor programme (yes=5, likely=3, unknown=1, no=0)</t>
        </is>
      </c>
      <c r="B6" s="13" t="n">
        <v>2</v>
      </c>
      <c r="C6" s="12" t="inlineStr">
        <is>
          <t>Schools with an existing gap scheme almost always provide free room + board + allowance (your pay priority) and are far more likely to say yes</t>
        </is>
      </c>
    </row>
    <row r="7">
      <c r="A7" s="12" t="inlineStr">
        <is>
          <t>Email confidence (verified=5, inferred=3, generic=1)</t>
        </is>
      </c>
      <c r="B7" s="13" t="n">
        <v>1</v>
      </c>
      <c r="C7" s="12" t="inlineStr">
        <is>
          <t>Favours schools where you can reach the Head of Boarding directly</t>
        </is>
      </c>
    </row>
    <row r="9">
      <c r="A9" s="14" t="inlineStr">
        <is>
          <t>Weights are my suggested defaults based on your stated priorities (rugby &gt; scenery &gt; pay/board).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2026-09-26T14:16:57Z</dcterms:created>
  <dcterms:modified xsi:type="dcterms:W3CDTF">2026-09-26T14:16:57Z</dcterms:modified>
</cp:coreProperties>
</file>