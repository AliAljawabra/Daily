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<sst xmlns="http://schemas.openxmlformats.org/spreadsheetml/2006/main" count="772" uniqueCount="239">
  <si>
    <t xml:space="preserve">Summary</t>
  </si>
  <si>
    <t xml:space="preserve">Fills in automatically once the RAG tracker is completed.</t>
  </si>
  <si>
    <t xml:space="preserve">Rating</t>
  </si>
  <si>
    <t xml:space="preserve">Topics at grades 1 to 6</t>
  </si>
  <si>
    <t xml:space="preserve">Rough workload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</si>
  <si>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</si>
  <si>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</si>
  <si>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</si>
  <si>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</si>
  <si>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</si>
  <si>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</si>
  <si>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</si>
  <si>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</si>
  <si>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</si>
  <si>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Counts every row, all grades</t>
  </si>
  <si>
    <t xml:space="preserve">Total questions</t>
  </si>
  <si>
    <t xml:space="preserve">Hours at about 2.5 min a question</t>
  </si>
  <si>
    <t xml:space="preserve">Hours per week over six weeks</t>
  </si>
  <si>
    <t xml:space="preserve">By grade</t>
  </si>
  <si>
    <t xml:space="preserve">Grade</t>
  </si>
  <si>
    <t xml:space="preserve">Topics</t>
  </si>
  <si>
    <t xml:space="preserve">Red</t>
  </si>
  <si>
    <t xml:space="preserve">Amber</t>
  </si>
  <si>
    <t xml:space="preserve">Green</t>
  </si>
  <si>
    <t xml:space="preserve">Total</t>
  </si>
  <si>
    <t xml:space="preserve">Charlotte: maths topic check</t>
  </si>
  <si>
    <t xml:space="preserve">Edexcel International GCSE Maths, Higher Tier. 119 topics, listed in grade order.</t>
  </si>
  <si>
    <t xml:space="preserve">What to do</t>
  </si>
  <si>
    <t xml:space="preserve">Go to the RAG tracker tab and put R, A or G in the 'Your rating' column for each topic. That is the only column to fill in, plus Notes if you want.</t>
  </si>
  <si>
    <t xml:space="preserve">I could not start this, or I would get it wrong.</t>
  </si>
  <si>
    <t xml:space="preserve">I can do it but slowly, or I get some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</si>
  <si>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</si>
  <si>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</si>
  <si>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torn between two, pick the lower one.</t>
  </si>
  <si>
    <t xml:space="preserve">The early grades matter most</t>
  </si>
  <si>
    <t xml:space="preserve">Grades 1 to 3 will look easy. Do not skim them. A topic you rate R there is the most useful thing you can tell me, because those marks appear on every paper.</t>
  </si>
  <si>
    <t xml:space="preserve">Topic link</t>
  </si>
  <si>
    <t xml:space="preserve">Each row links to the Maths Genie page for that topic, which has a video, questions and worked solutions if you want to check before rating.</t>
  </si>
  <si>
    <t xml:space="preserve">The topics are grouped into grade blocks with a navy header before each one. The grade is what Maths Genie puts the topic at.</t>
  </si>
  <si>
    <t xml:space="preserve">How long</t>
  </si>
  <si>
    <t xml:space="preserve">About 119 rows, mostly one glance each. Roughly 30 minutes.</t>
  </si>
  <si>
    <t xml:space="preserve">Example of a filled row</t>
  </si>
  <si>
    <t xml:space="preserve">Topic</t>
  </si>
  <si>
    <t xml:space="preserve">Your rating</t>
  </si>
  <si>
    <t xml:space="preserve">Notes</t>
  </si>
  <si>
    <t xml:space="preserve">Indices</t>
  </si>
  <si>
    <t xml:space="preserve">Fine with x and divide, never sure about power of 0</t>
  </si>
  <si>
    <t xml:space="preserve">Maths Genie</t>
  </si>
  <si>
    <t xml:space="preserve">PMT worksheet</t>
  </si>
  <si>
    <t xml:space="preserve">QP</t>
  </si>
  <si>
    <t xml:space="preserve">MS</t>
  </si>
  <si>
    <t xml:space="preserve">Ans</t>
  </si>
  <si>
    <t xml:space="preserve">GRADE 1   ·   12 topics</t>
  </si>
  <si>
    <t xml:space="preserve">Addition And Subtraction</t>
  </si>
  <si>
    <t xml:space="preserve">open</t>
  </si>
  <si>
    <t xml:space="preserve">Four Operations</t>
  </si>
  <si>
    <t xml:space="preserve">Multiplication And Division</t>
  </si>
  <si>
    <t xml:space="preserve">Time</t>
  </si>
  <si>
    <t xml:space="preserve">Using Measures</t>
  </si>
  <si>
    <t xml:space="preserve">Writing Simplifying And Ordering Fractions</t>
  </si>
  <si>
    <t xml:space="preserve">Fractions</t>
  </si>
  <si>
    <t xml:space="preserve">Place Value</t>
  </si>
  <si>
    <t xml:space="preserve">no PMT sheet</t>
  </si>
  <si>
    <t xml:space="preserve">Rounding</t>
  </si>
  <si>
    <t xml:space="preserve">Negative Numbers</t>
  </si>
  <si>
    <t xml:space="preserve">Powers And Roots</t>
  </si>
  <si>
    <t xml:space="preserve">Roots and Powers</t>
  </si>
  <si>
    <t xml:space="preserve">Bidmas</t>
  </si>
  <si>
    <t xml:space="preserve">Factors And Multiples</t>
  </si>
  <si>
    <t xml:space="preserve">Primes, Factors and Multiples</t>
  </si>
  <si>
    <t xml:space="preserve">Coordinates</t>
  </si>
  <si>
    <t xml:space="preserve">Pictograms</t>
  </si>
  <si>
    <t xml:space="preserve">Interpreting Data</t>
  </si>
  <si>
    <t xml:space="preserve">GRADE 2   ·   16 topics</t>
  </si>
  <si>
    <t xml:space="preserve">Calculation Problems</t>
  </si>
  <si>
    <t xml:space="preserve">Calculating Problems</t>
  </si>
  <si>
    <t xml:space="preserve">Using A Calculator</t>
  </si>
  <si>
    <t xml:space="preserve">Systematic Listing</t>
  </si>
  <si>
    <t xml:space="preserve">Probability of Events</t>
  </si>
  <si>
    <t xml:space="preserve">Fractions Of An Amount</t>
  </si>
  <si>
    <t xml:space="preserve">Fractions Decimals And Percentages</t>
  </si>
  <si>
    <t xml:space="preserve">Percentages</t>
  </si>
  <si>
    <t xml:space="preserve">Simplifying Algebra</t>
  </si>
  <si>
    <t xml:space="preserve">Simplifying Expressions</t>
  </si>
  <si>
    <t xml:space="preserve">Writing An Expression</t>
  </si>
  <si>
    <t xml:space="preserve">Deriving Expressions</t>
  </si>
  <si>
    <t xml:space="preserve">Function Machines</t>
  </si>
  <si>
    <t xml:space="preserve">Solving One Step Equations</t>
  </si>
  <si>
    <t xml:space="preserve">Solving Linear Equations</t>
  </si>
  <si>
    <t xml:space="preserve">Angles</t>
  </si>
  <si>
    <t xml:space="preserve">Properties of Angles</t>
  </si>
  <si>
    <t xml:space="preserve">Area And Perimeter</t>
  </si>
  <si>
    <t xml:space="preserve">Area; Perimeter</t>
  </si>
  <si>
    <t xml:space="preserve">Probability</t>
  </si>
  <si>
    <t xml:space="preserve">Frequency Polygons</t>
  </si>
  <si>
    <t xml:space="preserve">Averages</t>
  </si>
  <si>
    <t xml:space="preserve">Mean, Median, Mode, Range</t>
  </si>
  <si>
    <t xml:space="preserve">Bar Charts</t>
  </si>
  <si>
    <t xml:space="preserve">Pie Charts</t>
  </si>
  <si>
    <t xml:space="preserve">GRADE 3   ·   18 topics</t>
  </si>
  <si>
    <t xml:space="preserve">Estimating</t>
  </si>
  <si>
    <t xml:space="preserve">Approximation and Estimation</t>
  </si>
  <si>
    <t xml:space="preserve">Writing And Simplifying Ratio</t>
  </si>
  <si>
    <t xml:space="preserve">Ratio</t>
  </si>
  <si>
    <t xml:space="preserve">Proportion</t>
  </si>
  <si>
    <t xml:space="preserve">Percentage Change</t>
  </si>
  <si>
    <t xml:space="preserve">Percentage Increase or Decrease</t>
  </si>
  <si>
    <t xml:space="preserve">Exchange Rates</t>
  </si>
  <si>
    <t xml:space="preserve">Units of Measure</t>
  </si>
  <si>
    <t xml:space="preserve">Conversions And Units</t>
  </si>
  <si>
    <t xml:space="preserve">Scale Drawings</t>
  </si>
  <si>
    <t xml:space="preserve">Maps and Scale Drawings</t>
  </si>
  <si>
    <t xml:space="preserve">Best Buy Questions</t>
  </si>
  <si>
    <t xml:space="preserve">Compound Measures</t>
  </si>
  <si>
    <t xml:space="preserve">Substitution</t>
  </si>
  <si>
    <t xml:space="preserve">Substitution into Equations</t>
  </si>
  <si>
    <t xml:space="preserve">Solving Equations</t>
  </si>
  <si>
    <t xml:space="preserve">Drawing Graphs</t>
  </si>
  <si>
    <t xml:space="preserve">Graphs of Linear Equations</t>
  </si>
  <si>
    <t xml:space="preserve">Area And Circumference Of Circles</t>
  </si>
  <si>
    <t xml:space="preserve">Area</t>
  </si>
  <si>
    <t xml:space="preserve">Transformations</t>
  </si>
  <si>
    <t xml:space="preserve">Transformations of Shapes</t>
  </si>
  <si>
    <t xml:space="preserve">Area Of Compound Shapes</t>
  </si>
  <si>
    <t xml:space="preserve">Compound Area</t>
  </si>
  <si>
    <t xml:space="preserve">Frequency Trees</t>
  </si>
  <si>
    <t xml:space="preserve">GRADE 4   ·   18 topics</t>
  </si>
  <si>
    <t xml:space="preserve">Compound Interest And Depreciation</t>
  </si>
  <si>
    <t xml:space="preserve">Compound Interest</t>
  </si>
  <si>
    <t xml:space="preserve">Prime Factors Hcf And Lcm</t>
  </si>
  <si>
    <t xml:space="preserve">Real Life And Distance Time Graphs</t>
  </si>
  <si>
    <t xml:space="preserve">Interpreting Gradients</t>
  </si>
  <si>
    <t xml:space="preserve">Inequalities</t>
  </si>
  <si>
    <t xml:space="preserve">Forming And Solving Equations</t>
  </si>
  <si>
    <t xml:space="preserve">Forming Equations</t>
  </si>
  <si>
    <t xml:space="preserve">Sequences Nth Term</t>
  </si>
  <si>
    <t xml:space="preserve">Sequences</t>
  </si>
  <si>
    <t xml:space="preserve">Expanding And Factorising</t>
  </si>
  <si>
    <t xml:space="preserve">Expanding Equations; Factorising Equations</t>
  </si>
  <si>
    <t xml:space="preserve">Pythagoras</t>
  </si>
  <si>
    <t xml:space="preserve">Pythagoras' Theorem</t>
  </si>
  <si>
    <t xml:space="preserve">Angles In Parallel Lines</t>
  </si>
  <si>
    <t xml:space="preserve">Angles In Polygons</t>
  </si>
  <si>
    <t xml:space="preserve">Properties of Polygons</t>
  </si>
  <si>
    <t xml:space="preserve">Surface Area</t>
  </si>
  <si>
    <t xml:space="preserve">Volume and Surface Area</t>
  </si>
  <si>
    <t xml:space="preserve">Volume Of A Prism</t>
  </si>
  <si>
    <t xml:space="preserve">Cylinders</t>
  </si>
  <si>
    <t xml:space="preserve">Construction</t>
  </si>
  <si>
    <t xml:space="preserve">Constructions</t>
  </si>
  <si>
    <t xml:space="preserve">Bearings</t>
  </si>
  <si>
    <t xml:space="preserve">Averages From Frequency Tables</t>
  </si>
  <si>
    <t xml:space="preserve">Frequency Tables</t>
  </si>
  <si>
    <t xml:space="preserve">GRADE 5   ·   13 topics</t>
  </si>
  <si>
    <t xml:space="preserve">Reverse Percentages</t>
  </si>
  <si>
    <t xml:space="preserve">Standard Form</t>
  </si>
  <si>
    <t xml:space="preserve">Speed And Density</t>
  </si>
  <si>
    <t xml:space="preserve">Speed; Compound Measures</t>
  </si>
  <si>
    <t xml:space="preserve">Changing The Subject Of A Formula</t>
  </si>
  <si>
    <t xml:space="preserve">Manipulation of Formulae</t>
  </si>
  <si>
    <t xml:space="preserve">Expanding And Factorising Quadratics</t>
  </si>
  <si>
    <t xml:space="preserve">Factorising Equations</t>
  </si>
  <si>
    <t xml:space="preserve">Solving Quadratics</t>
  </si>
  <si>
    <t xml:space="preserve">Solving Quadratic Equations</t>
  </si>
  <si>
    <t xml:space="preserve">Drawing Quadratic Graphs</t>
  </si>
  <si>
    <t xml:space="preserve">Graphs of Quadratic Equations</t>
  </si>
  <si>
    <t xml:space="preserve">Simultaneous Equations</t>
  </si>
  <si>
    <t xml:space="preserve">Inequalities On Graphs</t>
  </si>
  <si>
    <t xml:space="preserve">Inequalities on Graphs</t>
  </si>
  <si>
    <t xml:space="preserve">Similar Shapes Lengths</t>
  </si>
  <si>
    <t xml:space="preserve">Congruence and Similarity</t>
  </si>
  <si>
    <t xml:space="preserve">Sohcahtoa Trigonometry</t>
  </si>
  <si>
    <t xml:space="preserve">Trig Ratios and Exact Values</t>
  </si>
  <si>
    <t xml:space="preserve">Venn Diagrams</t>
  </si>
  <si>
    <t xml:space="preserve">Data</t>
  </si>
  <si>
    <t xml:space="preserve">GRADE 6   ·   17 topics</t>
  </si>
  <si>
    <t xml:space="preserve">Recurring Decimals To Fractions</t>
  </si>
  <si>
    <t xml:space="preserve">Recurring Decimals into Fractions</t>
  </si>
  <si>
    <t xml:space="preserve">Fractional And Negative Indices</t>
  </si>
  <si>
    <t xml:space="preserve">Direct And Inverse Proportion</t>
  </si>
  <si>
    <t xml:space="preserve">Direct and Inverse Proportion</t>
  </si>
  <si>
    <t xml:space="preserve">Expanding Triple Brackets</t>
  </si>
  <si>
    <t xml:space="preserve">Drawing Other Graphs Cubic Reciprocal</t>
  </si>
  <si>
    <t xml:space="preserve">Cubic and Reciprocal Graphs</t>
  </si>
  <si>
    <t xml:space="preserve">Solving Simultaneous Equations Graphically</t>
  </si>
  <si>
    <t xml:space="preserve">Simultaneous Equations on Graphs</t>
  </si>
  <si>
    <t xml:space="preserve">Gradient Of A Line</t>
  </si>
  <si>
    <t xml:space="preserve">Gradients of Straight lines</t>
  </si>
  <si>
    <t xml:space="preserve">Equation Of A Line</t>
  </si>
  <si>
    <t xml:space="preserve">Equations of Straight Lines</t>
  </si>
  <si>
    <t xml:space="preserve">Spheres And Cones</t>
  </si>
  <si>
    <t xml:space="preserve">Sector Areas And Arc Lengths</t>
  </si>
  <si>
    <t xml:space="preserve">Sectors, Segments and Arcs</t>
  </si>
  <si>
    <t xml:space="preserve">Parallel And Perpendicular Lines</t>
  </si>
  <si>
    <t xml:space="preserve">Parallel or Perpendicular Lines</t>
  </si>
  <si>
    <t xml:space="preserve">Similar Shapes Area And Volume</t>
  </si>
  <si>
    <t xml:space="preserve">Similar (2D or 3D)</t>
  </si>
  <si>
    <t xml:space="preserve">Circle Theorems</t>
  </si>
  <si>
    <t xml:space="preserve">Cumulative Frequency</t>
  </si>
  <si>
    <t xml:space="preserve">Cumulative Frequency Graphs</t>
  </si>
  <si>
    <t xml:space="preserve">Vectors</t>
  </si>
  <si>
    <t xml:space="preserve">Manipulating Vectors</t>
  </si>
  <si>
    <t xml:space="preserve">Probability Trees</t>
  </si>
  <si>
    <t xml:space="preserve">Tree Diagrams</t>
  </si>
  <si>
    <t xml:space="preserve">GRADE 7   ·   15 topics</t>
  </si>
  <si>
    <t xml:space="preserve">Surds</t>
  </si>
  <si>
    <t xml:space="preserve">Bounds</t>
  </si>
  <si>
    <t xml:space="preserve">Quadratic Formula</t>
  </si>
  <si>
    <t xml:space="preserve">Factorising Harder Quadratics</t>
  </si>
  <si>
    <t xml:space="preserve">Algebraic Fractions</t>
  </si>
  <si>
    <t xml:space="preserve">Rearranging Harder Formulae</t>
  </si>
  <si>
    <t xml:space="preserve">Trigonometric And Exponential Graphs</t>
  </si>
  <si>
    <t xml:space="preserve">Exponential and Trigonometric Graphs</t>
  </si>
  <si>
    <t xml:space="preserve">Finding The Area Of Any Triangle</t>
  </si>
  <si>
    <t xml:space="preserve">Sine Rule, Cosine Rule and Area</t>
  </si>
  <si>
    <t xml:space="preserve">The Sine Rule</t>
  </si>
  <si>
    <t xml:space="preserve">The Cosine Rule</t>
  </si>
  <si>
    <t xml:space="preserve">3D Pythagoras And Trigonometry</t>
  </si>
  <si>
    <t xml:space="preserve">Pythagoras and trig (3D)</t>
  </si>
  <si>
    <t xml:space="preserve">The Magnitude Of A Vector</t>
  </si>
  <si>
    <t xml:space="preserve">Histograms</t>
  </si>
  <si>
    <t xml:space="preserve">Conditional Probability</t>
  </si>
  <si>
    <t xml:space="preserve">GRADE 8   ·   10 topics</t>
  </si>
  <si>
    <t xml:space="preserve">Quadratic Simultaneous Equations</t>
  </si>
  <si>
    <t xml:space="preserve">Transforming Graphs Y F X</t>
  </si>
  <si>
    <t xml:space="preserve">Translations and Reflections of Functions</t>
  </si>
  <si>
    <t xml:space="preserve">Proof</t>
  </si>
  <si>
    <t xml:space="preserve">Algebraic Proof</t>
  </si>
  <si>
    <t xml:space="preserve">Completing The Square</t>
  </si>
  <si>
    <t xml:space="preserve">Completing the square</t>
  </si>
  <si>
    <t xml:space="preserve">Inverse And Composite Functions</t>
  </si>
  <si>
    <t xml:space="preserve">Functions (Composite or Inverse)</t>
  </si>
  <si>
    <t xml:space="preserve">Quadratic Inequalities</t>
  </si>
  <si>
    <t xml:space="preserve">Sequences Higher</t>
  </si>
  <si>
    <t xml:space="preserve">Differentiation</t>
  </si>
  <si>
    <t xml:space="preserve">Vectors Proof Questions</t>
  </si>
  <si>
    <t xml:space="preserve">Vector Proof</t>
  </si>
  <si>
    <t xml:space="preserve">Probability Equation Questions</t>
  </si>
  <si>
    <t xml:space="preserve">Probability Equations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</si>
</sst>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color rgb="FFC3A965"/>
      <name val="Arial"/>
      <family val="0"/>
      <charset val="1"/>
    </font>
    <font>
      <sz val="10"/>
      <color rgb="FF5D647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EDEDED"/>
      </patternFill>
    </fill>
    <fill>
      <patternFill patternType="solid">
        <fgColor rgb="FFF2F2F2"/>
        <bgColor rgb="FFF6F4EF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6F4EF"/>
      </patternFill>
    </fill>
    <fill>
      <patternFill patternType="solid">
        <fgColor rgb="FFEDEDED"/>
        <bgColor rgb="FFEFEBE1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medium">
        <color rgb="FF162947"/>
      </right>
      <top/>
      <bottom/>
      <diagonal/>
    </border>
    <border diagonalUp="false" diagonalDown="false">
      <left/>
      <right style="medium">
        <color rgb="FF162947"/>
      </right>
      <top/>
      <bottom style="thin">
        <color rgb="FFD8D3C6"/>
      </bottom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1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EFEB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9EAD3"/>
      <rgbColor rgb="FFFCE5CD"/>
      <rgbColor rgb="FFF6F4E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C3A965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athsgenie.co.uk/igcse/maths/edexcel/grade-1-1-1-addition-and-subtraction" TargetMode="External"/><Relationship Id="rId2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4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5" Type="http://schemas.openxmlformats.org/officeDocument/2006/relationships/hyperlink" Target="https://mathsgenie.co.uk/igcse/maths/edexcel/grade-1-1-2-multiplication-and-division" TargetMode="External"/><Relationship Id="rId6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7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8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9" Type="http://schemas.openxmlformats.org/officeDocument/2006/relationships/hyperlink" Target="https://mathsgenie.co.uk/igcse/maths/edexcel/grade-1-1-3-time" TargetMode="External"/><Relationship Id="rId10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11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12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13" Type="http://schemas.openxmlformats.org/officeDocument/2006/relationships/hyperlink" Target="https://mathsgenie.co.uk/igcse/maths/edexcel/grade-1-1-4-writing-simplifying-and-ordering-fractions" TargetMode="External"/><Relationship Id="rId14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5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6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7" Type="http://schemas.openxmlformats.org/officeDocument/2006/relationships/hyperlink" Target="https://mathsgenie.co.uk/igcse/maths/edexcel/grade-1-1-5-place-value" TargetMode="External"/><Relationship Id="rId18" Type="http://schemas.openxmlformats.org/officeDocument/2006/relationships/hyperlink" Target="https://mathsgenie.co.uk/igcse/maths/edexcel/grade-1-1-6-rounding" TargetMode="External"/><Relationship Id="rId19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20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21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22" Type="http://schemas.openxmlformats.org/officeDocument/2006/relationships/hyperlink" Target="https://mathsgenie.co.uk/igcse/maths/edexcel/grade-1-1-7-negative-numbers" TargetMode="External"/><Relationship Id="rId23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4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25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26" Type="http://schemas.openxmlformats.org/officeDocument/2006/relationships/hyperlink" Target="https://mathsgenie.co.uk/igcse/maths/edexcel/grade-1-1-8-powers-and-roots" TargetMode="External"/><Relationship Id="rId27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8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9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30" Type="http://schemas.openxmlformats.org/officeDocument/2006/relationships/hyperlink" Target="https://mathsgenie.co.uk/igcse/maths/edexcel/grade-1-1-9-bidmas" TargetMode="External"/><Relationship Id="rId3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34" Type="http://schemas.openxmlformats.org/officeDocument/2006/relationships/hyperlink" Target="https://mathsgenie.co.uk/igcse/maths/edexcel/grade-1-1-10-factors-and-multiples" TargetMode="External"/><Relationship Id="rId3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3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3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38" Type="http://schemas.openxmlformats.org/officeDocument/2006/relationships/hyperlink" Target="https://mathsgenie.co.uk/igcse/maths/edexcel/grade-1-1-11-coordinates" TargetMode="External"/><Relationship Id="rId39" Type="http://schemas.openxmlformats.org/officeDocument/2006/relationships/hyperlink" Target="https://pmt.physicsandmathstutor.com/download/Maths/GCSE/Topic-Qs/Edexcel-IGCSE/Algebra/QP/Higher/Graphs/Coordinates%20(H)%20QP.pdf" TargetMode="External"/><Relationship Id="rId40" Type="http://schemas.openxmlformats.org/officeDocument/2006/relationships/hyperlink" Target="https://pmt.physicsandmathstutor.com/download/Maths/GCSE/Topic-Qs/Edexcel-IGCSE/Algebra/MS/Higher/Graphs/Coordinates%20(H)%20MS.pdf" TargetMode="External"/><Relationship Id="rId41" Type="http://schemas.openxmlformats.org/officeDocument/2006/relationships/hyperlink" Target="https://pmt.physicsandmathstutor.com/download/Maths/GCSE/Topic-Qs/Edexcel-IGCSE/Algebra/MA/Higher/Graphs/Coordinates%20(H)%20MA.pdf" TargetMode="External"/><Relationship Id="rId42" Type="http://schemas.openxmlformats.org/officeDocument/2006/relationships/hyperlink" Target="https://mathsgenie.co.uk/igcse/maths/edexcel/grade-1-1-12-pictograms" TargetMode="External"/><Relationship Id="rId43" Type="http://schemas.openxmlformats.org/officeDocument/2006/relationships/hyperlink" Target="https://pmt.physicsandmathstutor.com/download/Maths/GCSE/Topic-Qs/Edexcel-IGCSE/Statistics/QP/Higher/Interpreting%20Data%20(H)%20QP.pdf" TargetMode="External"/><Relationship Id="rId44" Type="http://schemas.openxmlformats.org/officeDocument/2006/relationships/hyperlink" Target="https://pmt.physicsandmathstutor.com/download/Maths/GCSE/Topic-Qs/Edexcel-IGCSE/Statistics/MS/Higher/Interpreting%20Data%20(H)%20MS.pdf" TargetMode="External"/><Relationship Id="rId45" Type="http://schemas.openxmlformats.org/officeDocument/2006/relationships/hyperlink" Target="https://pmt.physicsandmathstutor.com/download/Maths/GCSE/Topic-Qs/Edexcel-IGCSE/Statistics/MA/Higher/Interpreting%20Data%20(H)%20MA.pdf" TargetMode="External"/><Relationship Id="rId46" Type="http://schemas.openxmlformats.org/officeDocument/2006/relationships/hyperlink" Target="https://mathsgenie.co.uk/igcse/maths/edexcel/grade-2-2-1-calculation-problems" TargetMode="External"/><Relationship Id="rId4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4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4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50" Type="http://schemas.openxmlformats.org/officeDocument/2006/relationships/hyperlink" Target="https://mathsgenie.co.uk/igcse/maths/edexcel/grade-2-2-2-using-a-calculator" TargetMode="External"/><Relationship Id="rId51" Type="http://schemas.openxmlformats.org/officeDocument/2006/relationships/hyperlink" Target="https://mathsgenie.co.uk/igcse/maths/edexcel/grade-2-2-3-systematic-listing" TargetMode="External"/><Relationship Id="rId52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53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54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55" Type="http://schemas.openxmlformats.org/officeDocument/2006/relationships/hyperlink" Target="https://mathsgenie.co.uk/igcse/maths/edexcel/grade-2-2-4-fractions-of-an-amount" TargetMode="External"/><Relationship Id="rId56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57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58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59" Type="http://schemas.openxmlformats.org/officeDocument/2006/relationships/hyperlink" Target="https://mathsgenie.co.uk/igcse/maths/edexcel/grade-2-2-5-fractions-decimals-and-percentages" TargetMode="External"/><Relationship Id="rId60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61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62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63" Type="http://schemas.openxmlformats.org/officeDocument/2006/relationships/hyperlink" Target="https://mathsgenie.co.uk/igcse/maths/edexcel/grade-2-2-6-simplifying-algebra" TargetMode="External"/><Relationship Id="rId64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65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66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67" Type="http://schemas.openxmlformats.org/officeDocument/2006/relationships/hyperlink" Target="https://mathsgenie.co.uk/igcse/maths/edexcel/grade-2-2-7-writing-an-expression" TargetMode="External"/><Relationship Id="rId68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69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70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71" Type="http://schemas.openxmlformats.org/officeDocument/2006/relationships/hyperlink" Target="https://mathsgenie.co.uk/igcse/maths/edexcel/grade-2-2-8-function-machines" TargetMode="External"/><Relationship Id="rId72" Type="http://schemas.openxmlformats.org/officeDocument/2006/relationships/hyperlink" Target="https://mathsgenie.co.uk/igcse/maths/edexcel/grade-2-2-9-solving-one-step-equations" TargetMode="External"/><Relationship Id="rId7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7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7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76" Type="http://schemas.openxmlformats.org/officeDocument/2006/relationships/hyperlink" Target="https://mathsgenie.co.uk/igcse/maths/edexcel/grade-2-2-10-angles" TargetMode="External"/><Relationship Id="rId7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7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7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80" Type="http://schemas.openxmlformats.org/officeDocument/2006/relationships/hyperlink" Target="https://mathsgenie.co.uk/igcse/maths/edexcel/grade-2-2-11-area-and-perimeter" TargetMode="External"/><Relationship Id="rId8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8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8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84" Type="http://schemas.openxmlformats.org/officeDocument/2006/relationships/hyperlink" Target="https://mathsgenie.co.uk/igcse/maths/edexcel/grade-2-2-12-probability" TargetMode="External"/><Relationship Id="rId8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8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8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88" Type="http://schemas.openxmlformats.org/officeDocument/2006/relationships/hyperlink" Target="https://mathsgenie.co.uk/igcse/maths/edexcel/grade-2-2-13-frequency-polygons" TargetMode="External"/><Relationship Id="rId89" Type="http://schemas.openxmlformats.org/officeDocument/2006/relationships/hyperlink" Target="https://pmt.physicsandmathstutor.com/download/Maths/GCSE/Topic-Qs/Edexcel-IGCSE/Statistics/QP/Higher/Interpreting%20Data%20(H)%20QP.pdf" TargetMode="External"/><Relationship Id="rId90" Type="http://schemas.openxmlformats.org/officeDocument/2006/relationships/hyperlink" Target="https://pmt.physicsandmathstutor.com/download/Maths/GCSE/Topic-Qs/Edexcel-IGCSE/Statistics/MS/Higher/Interpreting%20Data%20(H)%20MS.pdf" TargetMode="External"/><Relationship Id="rId91" Type="http://schemas.openxmlformats.org/officeDocument/2006/relationships/hyperlink" Target="https://pmt.physicsandmathstutor.com/download/Maths/GCSE/Topic-Qs/Edexcel-IGCSE/Statistics/MA/Higher/Interpreting%20Data%20(H)%20MA.pdf" TargetMode="External"/><Relationship Id="rId92" Type="http://schemas.openxmlformats.org/officeDocument/2006/relationships/hyperlink" Target="https://mathsgenie.co.uk/igcse/maths/edexcel/grade-2-2-14-averages" TargetMode="External"/><Relationship Id="rId93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94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95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96" Type="http://schemas.openxmlformats.org/officeDocument/2006/relationships/hyperlink" Target="https://mathsgenie.co.uk/igcse/maths/edexcel/grade-2-2-15-bar-charts" TargetMode="External"/><Relationship Id="rId97" Type="http://schemas.openxmlformats.org/officeDocument/2006/relationships/hyperlink" Target="https://pmt.physicsandmathstutor.com/download/Maths/GCSE/Topic-Qs/Edexcel-IGCSE/Statistics/QP/Higher/Interpreting%20Data%20(H)%20QP.pdf" TargetMode="External"/><Relationship Id="rId98" Type="http://schemas.openxmlformats.org/officeDocument/2006/relationships/hyperlink" Target="https://pmt.physicsandmathstutor.com/download/Maths/GCSE/Topic-Qs/Edexcel-IGCSE/Statistics/MS/Higher/Interpreting%20Data%20(H)%20MS.pdf" TargetMode="External"/><Relationship Id="rId99" Type="http://schemas.openxmlformats.org/officeDocument/2006/relationships/hyperlink" Target="https://pmt.physicsandmathstutor.com/download/Maths/GCSE/Topic-Qs/Edexcel-IGCSE/Statistics/MA/Higher/Interpreting%20Data%20(H)%20MA.pdf" TargetMode="External"/><Relationship Id="rId100" Type="http://schemas.openxmlformats.org/officeDocument/2006/relationships/hyperlink" Target="https://mathsgenie.co.uk/igcse/maths/edexcel/grade-2-2-16-pie-charts" TargetMode="External"/><Relationship Id="rId101" Type="http://schemas.openxmlformats.org/officeDocument/2006/relationships/hyperlink" Target="https://pmt.physicsandmathstutor.com/download/Maths/GCSE/Topic-Qs/Edexcel-IGCSE/Statistics/QP/Higher/Interpreting%20Data%20(H)%20QP.pdf" TargetMode="External"/><Relationship Id="rId102" Type="http://schemas.openxmlformats.org/officeDocument/2006/relationships/hyperlink" Target="https://pmt.physicsandmathstutor.com/download/Maths/GCSE/Topic-Qs/Edexcel-IGCSE/Statistics/MS/Higher/Interpreting%20Data%20(H)%20MS.pdf" TargetMode="External"/><Relationship Id="rId103" Type="http://schemas.openxmlformats.org/officeDocument/2006/relationships/hyperlink" Target="https://pmt.physicsandmathstutor.com/download/Maths/GCSE/Topic-Qs/Edexcel-IGCSE/Statistics/MA/Higher/Interpreting%20Data%20(H)%20MA.pdf" TargetMode="External"/><Relationship Id="rId104" Type="http://schemas.openxmlformats.org/officeDocument/2006/relationships/hyperlink" Target="https://mathsgenie.co.uk/igcse/maths/edexcel/grade-3-3-1-fractions" TargetMode="External"/><Relationship Id="rId105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06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07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08" Type="http://schemas.openxmlformats.org/officeDocument/2006/relationships/hyperlink" Target="https://mathsgenie.co.uk/igcse/maths/edexcel/grade-3-3-2-estimating" TargetMode="External"/><Relationship Id="rId109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110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111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112" Type="http://schemas.openxmlformats.org/officeDocument/2006/relationships/hyperlink" Target="https://mathsgenie.co.uk/igcse/maths/edexcel/grade-3-3-3-writing-and-simplifying-ratio" TargetMode="External"/><Relationship Id="rId113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4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5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16" Type="http://schemas.openxmlformats.org/officeDocument/2006/relationships/hyperlink" Target="https://mathsgenie.co.uk/igcse/maths/edexcel/grade-3-3-4-ratio" TargetMode="External"/><Relationship Id="rId117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8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9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20" Type="http://schemas.openxmlformats.org/officeDocument/2006/relationships/hyperlink" Target="https://mathsgenie.co.uk/igcse/maths/edexcel/grade-3-3-5-proportion" TargetMode="External"/><Relationship Id="rId121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124" Type="http://schemas.openxmlformats.org/officeDocument/2006/relationships/hyperlink" Target="https://mathsgenie.co.uk/igcse/maths/edexcel/grade-3-3-6-percentages" TargetMode="External"/><Relationship Id="rId125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126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127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128" Type="http://schemas.openxmlformats.org/officeDocument/2006/relationships/hyperlink" Target="https://mathsgenie.co.uk/igcse/maths/edexcel/grade-3-3-7-percentage-change" TargetMode="External"/><Relationship Id="rId129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130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131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132" Type="http://schemas.openxmlformats.org/officeDocument/2006/relationships/hyperlink" Target="https://mathsgenie.co.uk/igcse/maths/edexcel/grade-3-3-8-exchange-rates" TargetMode="External"/><Relationship Id="rId133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4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5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36" Type="http://schemas.openxmlformats.org/officeDocument/2006/relationships/hyperlink" Target="https://mathsgenie.co.uk/igcse/maths/edexcel/grade-3-3-9-conversions-and-units" TargetMode="External"/><Relationship Id="rId137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8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9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40" Type="http://schemas.openxmlformats.org/officeDocument/2006/relationships/hyperlink" Target="https://mathsgenie.co.uk/igcse/maths/edexcel/grade-3-3-10-scale-drawings" TargetMode="External"/><Relationship Id="rId141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142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143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144" Type="http://schemas.openxmlformats.org/officeDocument/2006/relationships/hyperlink" Target="https://mathsgenie.co.uk/igcse/maths/edexcel/grade-3-3-11-best-buy-questions" TargetMode="External"/><Relationship Id="rId145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146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147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148" Type="http://schemas.openxmlformats.org/officeDocument/2006/relationships/hyperlink" Target="https://mathsgenie.co.uk/igcse/maths/edexcel/grade-3-3-12-substitution" TargetMode="External"/><Relationship Id="rId149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150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151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152" Type="http://schemas.openxmlformats.org/officeDocument/2006/relationships/hyperlink" Target="https://mathsgenie.co.uk/igcse/maths/edexcel/grade-3-3-13-solving-equations" TargetMode="External"/><Relationship Id="rId15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5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5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56" Type="http://schemas.openxmlformats.org/officeDocument/2006/relationships/hyperlink" Target="https://mathsgenie.co.uk/igcse/maths/edexcel/grade-3-3-14-drawing-graphs" TargetMode="External"/><Relationship Id="rId157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58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59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60" Type="http://schemas.openxmlformats.org/officeDocument/2006/relationships/hyperlink" Target="https://mathsgenie.co.uk/igcse/maths/edexcel/grade-3-3-15-area-and-circumference-of-circles" TargetMode="External"/><Relationship Id="rId16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16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16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164" Type="http://schemas.openxmlformats.org/officeDocument/2006/relationships/hyperlink" Target="https://mathsgenie.co.uk/igcse/maths/edexcel/grade-3-3-16-transformations" TargetMode="External"/><Relationship Id="rId165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166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167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168" Type="http://schemas.openxmlformats.org/officeDocument/2006/relationships/hyperlink" Target="https://mathsgenie.co.uk/igcse/maths/edexcel/grade-3-3-17-area-of-compound-shapes" TargetMode="External"/><Relationship Id="rId169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170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171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172" Type="http://schemas.openxmlformats.org/officeDocument/2006/relationships/hyperlink" Target="https://mathsgenie.co.uk/igcse/maths/edexcel/grade-3-3-18-frequency-trees" TargetMode="External"/><Relationship Id="rId173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174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175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176" Type="http://schemas.openxmlformats.org/officeDocument/2006/relationships/hyperlink" Target="https://mathsgenie.co.uk/igcse/maths/edexcel/grade-4-4-1-compound-interest-and-depreciation" TargetMode="External"/><Relationship Id="rId177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178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179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180" Type="http://schemas.openxmlformats.org/officeDocument/2006/relationships/hyperlink" Target="https://mathsgenie.co.uk/igcse/maths/edexcel/grade-4-4-2-indices" TargetMode="External"/><Relationship Id="rId18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18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18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184" Type="http://schemas.openxmlformats.org/officeDocument/2006/relationships/hyperlink" Target="https://mathsgenie.co.uk/igcse/maths/edexcel/grade-4-4-3-prime-factors-hcf-and-lcm" TargetMode="External"/><Relationship Id="rId18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18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18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188" Type="http://schemas.openxmlformats.org/officeDocument/2006/relationships/hyperlink" Target="https://mathsgenie.co.uk/igcse/maths/edexcel/grade-4-4-4-real-life-and-distance-time-graphs" TargetMode="External"/><Relationship Id="rId189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90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91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92" Type="http://schemas.openxmlformats.org/officeDocument/2006/relationships/hyperlink" Target="https://mathsgenie.co.uk/igcse/maths/edexcel/grade-4-4-5-inequalities" TargetMode="External"/><Relationship Id="rId193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94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95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96" Type="http://schemas.openxmlformats.org/officeDocument/2006/relationships/hyperlink" Target="https://mathsgenie.co.uk/igcse/maths/edexcel/grade-4-4-6-forming-and-solving-equations" TargetMode="External"/><Relationship Id="rId197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98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99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200" Type="http://schemas.openxmlformats.org/officeDocument/2006/relationships/hyperlink" Target="https://mathsgenie.co.uk/igcse/maths/edexcel/grade-4-4-7-sequences-nth-term" TargetMode="External"/><Relationship Id="rId201" Type="http://schemas.openxmlformats.org/officeDocument/2006/relationships/hyperlink" Target="https://pmt.physicsandmathstutor.com/download/Maths/GCSE/Topic-Qs/Edexcel-IGCSE/Algebra/QP/Higher/Sequences/Sequences%20(H)%20QP.pdf" TargetMode="External"/><Relationship Id="rId202" Type="http://schemas.openxmlformats.org/officeDocument/2006/relationships/hyperlink" Target="https://pmt.physicsandmathstutor.com/download/Maths/GCSE/Topic-Qs/Edexcel-IGCSE/Algebra/MS/Higher/Sequences/Sequences%20(H)%20MS.pdf" TargetMode="External"/><Relationship Id="rId203" Type="http://schemas.openxmlformats.org/officeDocument/2006/relationships/hyperlink" Target="https://pmt.physicsandmathstutor.com/download/Maths/GCSE/Topic-Qs/Edexcel-IGCSE/Algebra/MA/Higher/Sequences/Sequences%20(H)%20MA.pdf" TargetMode="External"/><Relationship Id="rId204" Type="http://schemas.openxmlformats.org/officeDocument/2006/relationships/hyperlink" Target="https://mathsgenie.co.uk/igcse/maths/edexcel/grade-4-4-8-expanding-and-factorising" TargetMode="External"/><Relationship Id="rId20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20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20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208" Type="http://schemas.openxmlformats.org/officeDocument/2006/relationships/hyperlink" Target="https://mathsgenie.co.uk/igcse/maths/edexcel/grade-4-4-9-pythagoras" TargetMode="External"/><Relationship Id="rId209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10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11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12" Type="http://schemas.openxmlformats.org/officeDocument/2006/relationships/hyperlink" Target="https://mathsgenie.co.uk/igcse/maths/edexcel/grade-4-4-10-angles-in-parallel-lines" TargetMode="External"/><Relationship Id="rId213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14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15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16" Type="http://schemas.openxmlformats.org/officeDocument/2006/relationships/hyperlink" Target="https://mathsgenie.co.uk/igcse/maths/edexcel/grade-4-4-11-angles-in-polygons" TargetMode="External"/><Relationship Id="rId217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18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19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20" Type="http://schemas.openxmlformats.org/officeDocument/2006/relationships/hyperlink" Target="https://mathsgenie.co.uk/igcse/maths/edexcel/grade-4-4-12-surface-area" TargetMode="External"/><Relationship Id="rId221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2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3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4" Type="http://schemas.openxmlformats.org/officeDocument/2006/relationships/hyperlink" Target="https://mathsgenie.co.uk/igcse/maths/edexcel/grade-4-4-13-volume-of-a-prism" TargetMode="External"/><Relationship Id="rId225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6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7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8" Type="http://schemas.openxmlformats.org/officeDocument/2006/relationships/hyperlink" Target="https://mathsgenie.co.uk/igcse/maths/edexcel/grade-4-4-14-cylinders" TargetMode="External"/><Relationship Id="rId22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3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3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32" Type="http://schemas.openxmlformats.org/officeDocument/2006/relationships/hyperlink" Target="https://mathsgenie.co.uk/igcse/maths/edexcel/grade-4-4-15-construction" TargetMode="External"/><Relationship Id="rId233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4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5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6" Type="http://schemas.openxmlformats.org/officeDocument/2006/relationships/hyperlink" Target="https://mathsgenie.co.uk/igcse/maths/edexcel/grade-4-4-16-bearings" TargetMode="External"/><Relationship Id="rId23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3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3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40" Type="http://schemas.openxmlformats.org/officeDocument/2006/relationships/hyperlink" Target="https://mathsgenie.co.uk/igcse/maths/edexcel/grade-4-4-17-averages-from-frequency-tables" TargetMode="External"/><Relationship Id="rId241" Type="http://schemas.openxmlformats.org/officeDocument/2006/relationships/hyperlink" Target="https://pmt.physicsandmathstutor.com/download/Maths/GCSE/Topic-Qs/Edexcel-IGCSE/Statistics/QP/Higher/Frequency%20Tables%20(H)%20QP.pdf" TargetMode="External"/><Relationship Id="rId242" Type="http://schemas.openxmlformats.org/officeDocument/2006/relationships/hyperlink" Target="https://pmt.physicsandmathstutor.com/download/Maths/GCSE/Topic-Qs/Edexcel-IGCSE/Statistics/MS/Higher/Frequency%20Tables%20(H)%20MS.pdf" TargetMode="External"/><Relationship Id="rId243" Type="http://schemas.openxmlformats.org/officeDocument/2006/relationships/hyperlink" Target="https://pmt.physicsandmathstutor.com/download/Maths/GCSE/Topic-Qs/Edexcel-IGCSE/Statistics/MA/Higher/Frequency%20Tables%20(H)%20MA.pdf" TargetMode="External"/><Relationship Id="rId244" Type="http://schemas.openxmlformats.org/officeDocument/2006/relationships/hyperlink" Target="https://mathsgenie.co.uk/igcse/maths/edexcel/grade-4-4-18-probability" TargetMode="External"/><Relationship Id="rId24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24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24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248" Type="http://schemas.openxmlformats.org/officeDocument/2006/relationships/hyperlink" Target="https://mathsgenie.co.uk/igcse/maths/edexcel/grade-5-5-1-reverse-percentages" TargetMode="External"/><Relationship Id="rId249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250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251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252" Type="http://schemas.openxmlformats.org/officeDocument/2006/relationships/hyperlink" Target="https://mathsgenie.co.uk/igcse/maths/edexcel/grade-5-5-2-standard-form" TargetMode="External"/><Relationship Id="rId253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254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255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256" Type="http://schemas.openxmlformats.org/officeDocument/2006/relationships/hyperlink" Target="https://mathsgenie.co.uk/igcse/maths/edexcel/grade-5-5-3-speed-and-density" TargetMode="External"/><Relationship Id="rId257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58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59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60" Type="http://schemas.openxmlformats.org/officeDocument/2006/relationships/hyperlink" Target="https://mathsgenie.co.uk/igcse/maths/edexcel/grade-5-5-4-changing-the-subject-of-a-formula" TargetMode="External"/><Relationship Id="rId261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262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263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264" Type="http://schemas.openxmlformats.org/officeDocument/2006/relationships/hyperlink" Target="https://mathsgenie.co.uk/igcse/maths/edexcel/grade-5-5-5-expanding-and-factorising-quadratics" TargetMode="External"/><Relationship Id="rId26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26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26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268" Type="http://schemas.openxmlformats.org/officeDocument/2006/relationships/hyperlink" Target="https://mathsgenie.co.uk/igcse/maths/edexcel/grade-5-5-6-solving-quadratics" TargetMode="External"/><Relationship Id="rId26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27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27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272" Type="http://schemas.openxmlformats.org/officeDocument/2006/relationships/hyperlink" Target="https://mathsgenie.co.uk/igcse/maths/edexcel/grade-5-5-7-drawing-quadratic-graphs" TargetMode="External"/><Relationship Id="rId273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274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275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276" Type="http://schemas.openxmlformats.org/officeDocument/2006/relationships/hyperlink" Target="https://mathsgenie.co.uk/igcse/maths/edexcel/grade-5-5-8-simultaneous-equations" TargetMode="External"/><Relationship Id="rId27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27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27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280" Type="http://schemas.openxmlformats.org/officeDocument/2006/relationships/hyperlink" Target="https://mathsgenie.co.uk/igcse/maths/edexcel/grade-5-5-9-inequalities-on-graphs" TargetMode="External"/><Relationship Id="rId281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282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283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284" Type="http://schemas.openxmlformats.org/officeDocument/2006/relationships/hyperlink" Target="https://mathsgenie.co.uk/igcse/maths/edexcel/grade-5-5-10-similar-shapes-lengths" TargetMode="External"/><Relationship Id="rId285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86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87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88" Type="http://schemas.openxmlformats.org/officeDocument/2006/relationships/hyperlink" Target="https://mathsgenie.co.uk/igcse/maths/edexcel/grade-5-11-sohcahtoa-trigonometry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92" Type="http://schemas.openxmlformats.org/officeDocument/2006/relationships/hyperlink" Target="https://mathsgenie.co.uk/igcse/maths/edexcel/grade-5-5-11-venn-diagrams" TargetMode="External"/><Relationship Id="rId293" Type="http://schemas.openxmlformats.org/officeDocument/2006/relationships/hyperlink" Target="https://pmt.physicsandmathstutor.com/download/Maths/GCSE/Topic-Qs/Edexcel-IGCSE/Probability/QP/Higher/Venn%20Diagrams%20(H)%20QP.pdf" TargetMode="External"/><Relationship Id="rId294" Type="http://schemas.openxmlformats.org/officeDocument/2006/relationships/hyperlink" Target="https://pmt.physicsandmathstutor.com/download/Maths/GCSE/Topic-Qs/Edexcel-IGCSE/Probability/MS/Higher/Venn%20Diagrams%20(H)%20MS.pdf" TargetMode="External"/><Relationship Id="rId295" Type="http://schemas.openxmlformats.org/officeDocument/2006/relationships/hyperlink" Target="https://pmt.physicsandmathstutor.com/download/Maths/GCSE/Topic-Qs/Edexcel-IGCSE/Probability/MA/Higher/Venn%20Diagrams%20(H)%20MA.pdf" TargetMode="External"/><Relationship Id="rId296" Type="http://schemas.openxmlformats.org/officeDocument/2006/relationships/hyperlink" Target="https://mathsgenie.co.uk/igcse/maths/edexcel/grade-5-5-12-data" TargetMode="External"/><Relationship Id="rId297" Type="http://schemas.openxmlformats.org/officeDocument/2006/relationships/hyperlink" Target="https://pmt.physicsandmathstutor.com/download/Maths/GCSE/Topic-Qs/Edexcel-IGCSE/Statistics/QP/Higher/Interpreting%20Data%20(H)%20QP.pdf" TargetMode="External"/><Relationship Id="rId298" Type="http://schemas.openxmlformats.org/officeDocument/2006/relationships/hyperlink" Target="https://pmt.physicsandmathstutor.com/download/Maths/GCSE/Topic-Qs/Edexcel-IGCSE/Statistics/MS/Higher/Interpreting%20Data%20(H)%20MS.pdf" TargetMode="External"/><Relationship Id="rId299" Type="http://schemas.openxmlformats.org/officeDocument/2006/relationships/hyperlink" Target="https://pmt.physicsandmathstutor.com/download/Maths/GCSE/Topic-Qs/Edexcel-IGCSE/Statistics/MA/Higher/Interpreting%20Data%20(H)%20MA.pdf" TargetMode="External"/><Relationship Id="rId300" Type="http://schemas.openxmlformats.org/officeDocument/2006/relationships/hyperlink" Target="https://mathsgenie.co.uk/igcse/maths/edexcel/grade-6-6-1-recurring-decimals-to-fractions" TargetMode="External"/><Relationship Id="rId301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302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303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304" Type="http://schemas.openxmlformats.org/officeDocument/2006/relationships/hyperlink" Target="https://mathsgenie.co.uk/igcse/maths/edexcel/grade-6-6-2-fractional-and-negative-indices" TargetMode="External"/><Relationship Id="rId305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06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07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08" Type="http://schemas.openxmlformats.org/officeDocument/2006/relationships/hyperlink" Target="https://mathsgenie.co.uk/igcse/maths/edexcel/grade-6-6-3-direct-and-inverse-proportion" TargetMode="External"/><Relationship Id="rId309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10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11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12" Type="http://schemas.openxmlformats.org/officeDocument/2006/relationships/hyperlink" Target="https://mathsgenie.co.uk/igcse/maths/edexcel/grade-6-6-4-expanding-triple-brackets" TargetMode="External"/><Relationship Id="rId313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314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315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316" Type="http://schemas.openxmlformats.org/officeDocument/2006/relationships/hyperlink" Target="https://mathsgenie.co.uk/igcse/maths/edexcel/grade-6-6-5-drawing-other-graphs-cubic-reciprocal" TargetMode="External"/><Relationship Id="rId317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318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319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320" Type="http://schemas.openxmlformats.org/officeDocument/2006/relationships/hyperlink" Target="https://mathsgenie.co.uk/igcse/maths/edexcel/grade-6-6-6-solving-simultaneous-equations-graphically" TargetMode="External"/><Relationship Id="rId321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322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323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324" Type="http://schemas.openxmlformats.org/officeDocument/2006/relationships/hyperlink" Target="https://mathsgenie.co.uk/igcse/maths/edexcel/grade-6-6-7-gradient-of-a-line" TargetMode="External"/><Relationship Id="rId325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326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327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328" Type="http://schemas.openxmlformats.org/officeDocument/2006/relationships/hyperlink" Target="https://mathsgenie.co.uk/igcse/maths/edexcel/grade-6-6-8-equation-of-a-line" TargetMode="External"/><Relationship Id="rId329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330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331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332" Type="http://schemas.openxmlformats.org/officeDocument/2006/relationships/hyperlink" Target="https://mathsgenie.co.uk/igcse/maths/edexcel/grade-6-6-9-inequalities-on-graphs" TargetMode="External"/><Relationship Id="rId333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334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335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336" Type="http://schemas.openxmlformats.org/officeDocument/2006/relationships/hyperlink" Target="https://mathsgenie.co.uk/igcse/maths/edexcel/grade-6-6-10-spheres-and-cones" TargetMode="External"/><Relationship Id="rId337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338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339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340" Type="http://schemas.openxmlformats.org/officeDocument/2006/relationships/hyperlink" Target="https://mathsgenie.co.uk/igcse/maths/edexcel/grade-6-6-11-sector-areas-and-arc-lengths" TargetMode="External"/><Relationship Id="rId341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342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343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344" Type="http://schemas.openxmlformats.org/officeDocument/2006/relationships/hyperlink" Target="https://mathsgenie.co.uk/igcse/maths/edexcel/grade-6-6-12-parallel-and-perpendicular-lines" TargetMode="External"/><Relationship Id="rId345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346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347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348" Type="http://schemas.openxmlformats.org/officeDocument/2006/relationships/hyperlink" Target="https://mathsgenie.co.uk/igcse/maths/edexcel/grade-6-6-13-similar-shapes-area-and-volume" TargetMode="External"/><Relationship Id="rId349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350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51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52" Type="http://schemas.openxmlformats.org/officeDocument/2006/relationships/hyperlink" Target="https://mathsgenie.co.uk/igcse/maths/edexcel/grade-6-6-14-circle-theorems" TargetMode="External"/><Relationship Id="rId353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354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355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356" Type="http://schemas.openxmlformats.org/officeDocument/2006/relationships/hyperlink" Target="https://mathsgenie.co.uk/igcse/maths/edexcel/grade-6-6-15-cumulative-frequency" TargetMode="External"/><Relationship Id="rId357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58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59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60" Type="http://schemas.openxmlformats.org/officeDocument/2006/relationships/hyperlink" Target="https://mathsgenie.co.uk/igcse/maths/edexcel/grade-6-6-16-vectors" TargetMode="External"/><Relationship Id="rId36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6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6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64" Type="http://schemas.openxmlformats.org/officeDocument/2006/relationships/hyperlink" Target="https://mathsgenie.co.uk/igcse/maths/edexcel/grade-6-6-17-probability-trees" TargetMode="External"/><Relationship Id="rId365" Type="http://schemas.openxmlformats.org/officeDocument/2006/relationships/hyperlink" Target="https://pmt.physicsandmathstutor.com/download/Maths/GCSE/Topic-Qs/Edexcel-IGCSE/Probability/QP/Higher/Tree%20Diagrams%20(H)%20QP.pdf" TargetMode="External"/><Relationship Id="rId366" Type="http://schemas.openxmlformats.org/officeDocument/2006/relationships/hyperlink" Target="https://pmt.physicsandmathstutor.com/download/Maths/GCSE/Topic-Qs/Edexcel-IGCSE/Probability/MS/Higher/Tree%20Diagrams%20(H)%20MS.pdf" TargetMode="External"/><Relationship Id="rId367" Type="http://schemas.openxmlformats.org/officeDocument/2006/relationships/hyperlink" Target="https://pmt.physicsandmathstutor.com/download/Maths/GCSE/Topic-Qs/Edexcel-IGCSE/Probability/MA/Higher/Tree%20Diagrams%20(H)%20MA.pdf" TargetMode="External"/><Relationship Id="rId368" Type="http://schemas.openxmlformats.org/officeDocument/2006/relationships/hyperlink" Target="https://mathsgenie.co.uk/igcse/maths/edexcel/grade-7-7-1-surds" TargetMode="External"/><Relationship Id="rId369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370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71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72" Type="http://schemas.openxmlformats.org/officeDocument/2006/relationships/hyperlink" Target="https://mathsgenie.co.uk/igcse/maths/edexcel/grade-7-7-2-bounds" TargetMode="External"/><Relationship Id="rId373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374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375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376" Type="http://schemas.openxmlformats.org/officeDocument/2006/relationships/hyperlink" Target="https://mathsgenie.co.uk/igcse/maths/edexcel/grade-7-7-3-direct-and-inverse-proportion" TargetMode="External"/><Relationship Id="rId377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78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79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80" Type="http://schemas.openxmlformats.org/officeDocument/2006/relationships/hyperlink" Target="https://mathsgenie.co.uk/igcse/maths/edexcel/grade-7-7-4-quadratic-formula" TargetMode="External"/><Relationship Id="rId381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382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383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384" Type="http://schemas.openxmlformats.org/officeDocument/2006/relationships/hyperlink" Target="https://mathsgenie.co.uk/igcse/maths/edexcel/grade-7-7-5-factorising-harder-quadratics" TargetMode="External"/><Relationship Id="rId38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38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38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388" Type="http://schemas.openxmlformats.org/officeDocument/2006/relationships/hyperlink" Target="https://mathsgenie.co.uk/igcse/maths/edexcel/grade-7-7-6-algebraic-fractions" TargetMode="External"/><Relationship Id="rId389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390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391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392" Type="http://schemas.openxmlformats.org/officeDocument/2006/relationships/hyperlink" Target="https://mathsgenie.co.uk/igcse/maths/edexcel/grade-7-7-7-rearranging-harder-formulae" TargetMode="External"/><Relationship Id="rId393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394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395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396" Type="http://schemas.openxmlformats.org/officeDocument/2006/relationships/hyperlink" Target="https://mathsgenie.co.uk/igcse/maths/edexcel/grade-7-7-8-trigonometric-and-exponential-graphs" TargetMode="External"/><Relationship Id="rId397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398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399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400" Type="http://schemas.openxmlformats.org/officeDocument/2006/relationships/hyperlink" Target="https://mathsgenie.co.uk/igcse/maths/edexcel/grade-7-7-9-finding-the-area-of-any-triangle" TargetMode="External"/><Relationship Id="rId401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2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3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4" Type="http://schemas.openxmlformats.org/officeDocument/2006/relationships/hyperlink" Target="https://mathsgenie.co.uk/igcse/maths/edexcel/grade-7-7-10-the-sine-rule" TargetMode="External"/><Relationship Id="rId405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6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7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8" Type="http://schemas.openxmlformats.org/officeDocument/2006/relationships/hyperlink" Target="https://mathsgenie.co.uk/igcse/maths/edexcel/grade-7-7-11-the-cosine-rule" TargetMode="External"/><Relationship Id="rId40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1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1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12" Type="http://schemas.openxmlformats.org/officeDocument/2006/relationships/hyperlink" Target="https://mathsgenie.co.uk/igcse/maths/edexcel/grade-7-7-12-3d-pythagoras-and-trigonometry" TargetMode="External"/><Relationship Id="rId413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414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415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416" Type="http://schemas.openxmlformats.org/officeDocument/2006/relationships/hyperlink" Target="https://mathsgenie.co.uk/igcse/maths/edexcel/grade-7-7-13-the-magnitude-of-a-vector" TargetMode="External"/><Relationship Id="rId417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418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419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420" Type="http://schemas.openxmlformats.org/officeDocument/2006/relationships/hyperlink" Target="https://mathsgenie.co.uk/igcse/maths/edexcel/grade-7-7-14-histograms" TargetMode="External"/><Relationship Id="rId421" Type="http://schemas.openxmlformats.org/officeDocument/2006/relationships/hyperlink" Target="https://pmt.physicsandmathstutor.com/download/Maths/GCSE/Topic-Qs/Edexcel-IGCSE/Statistics/QP/Higher/Histograms%20(H)%20QP.pdf" TargetMode="External"/><Relationship Id="rId422" Type="http://schemas.openxmlformats.org/officeDocument/2006/relationships/hyperlink" Target="https://pmt.physicsandmathstutor.com/download/Maths/GCSE/Topic-Qs/Edexcel-IGCSE/Statistics/MS/Higher/Histograms%20(H)%20MS.pdf" TargetMode="External"/><Relationship Id="rId423" Type="http://schemas.openxmlformats.org/officeDocument/2006/relationships/hyperlink" Target="https://pmt.physicsandmathstutor.com/download/Maths/GCSE/Topic-Qs/Edexcel-IGCSE/Statistics/MA/Higher/Histograms%20(H)%20MA.pdf" TargetMode="External"/><Relationship Id="rId424" Type="http://schemas.openxmlformats.org/officeDocument/2006/relationships/hyperlink" Target="https://mathsgenie.co.uk/igcse/maths/edexcel/grade-7-7-15-conditional-probability" TargetMode="External"/><Relationship Id="rId425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426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427" Type="http://schemas.openxmlformats.org/officeDocument/2006/relationships/hyperlink" Target="https://pmt.physicsandmathstutor.com/download/Maths/GCSE/Topic-Qs/Edexcel-IGCSE/Probability/MA/Higher/Conditional%20Probability%20(H)%20MA.pdf" TargetMode="External"/><Relationship Id="rId428" Type="http://schemas.openxmlformats.org/officeDocument/2006/relationships/hyperlink" Target="https://mathsgenie.co.uk/igcse/maths/edexcel/grade-8-9-8-1-quadratic-simultaneous-equations" TargetMode="External"/><Relationship Id="rId429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430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431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432" Type="http://schemas.openxmlformats.org/officeDocument/2006/relationships/hyperlink" Target="https://mathsgenie.co.uk/igcse/maths/edexcel/grade-8-9-8-2-transforming-graphs-y-f-x" TargetMode="External"/><Relationship Id="rId433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434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435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436" Type="http://schemas.openxmlformats.org/officeDocument/2006/relationships/hyperlink" Target="https://mathsgenie.co.uk/igcse/maths/edexcel/grade-8-9-8-3-proof" TargetMode="External"/><Relationship Id="rId437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438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439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440" Type="http://schemas.openxmlformats.org/officeDocument/2006/relationships/hyperlink" Target="https://mathsgenie.co.uk/igcse/maths/edexcel/grade-8-9-8-4-completing-the-square" TargetMode="External"/><Relationship Id="rId441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442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443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444" Type="http://schemas.openxmlformats.org/officeDocument/2006/relationships/hyperlink" Target="https://mathsgenie.co.uk/igcse/maths/edexcel/grade-8-9-8-5-inverse-and-composite-functions" TargetMode="External"/><Relationship Id="rId445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446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447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448" Type="http://schemas.openxmlformats.org/officeDocument/2006/relationships/hyperlink" Target="https://mathsgenie.co.uk/igcse/maths/edexcel/grade-8-9-8-6-quadratic-inequalities" TargetMode="External"/><Relationship Id="rId449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450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451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452" Type="http://schemas.openxmlformats.org/officeDocument/2006/relationships/hyperlink" Target="https://mathsgenie.co.uk/igcse/maths/edexcel/grade-8-9-8-7-sequences-higher" TargetMode="External"/><Relationship Id="rId453" Type="http://schemas.openxmlformats.org/officeDocument/2006/relationships/hyperlink" Target="https://pmt.physicsandmathstutor.com/download/Maths/GCSE/Topic-Qs/Edexcel-IGCSE/Algebra/QP/Higher/Sequences/Sequences%20(H)%20QP.pdf" TargetMode="External"/><Relationship Id="rId454" Type="http://schemas.openxmlformats.org/officeDocument/2006/relationships/hyperlink" Target="https://pmt.physicsandmathstutor.com/download/Maths/GCSE/Topic-Qs/Edexcel-IGCSE/Algebra/MS/Higher/Sequences/Sequences%20(H)%20MS.pdf" TargetMode="External"/><Relationship Id="rId455" Type="http://schemas.openxmlformats.org/officeDocument/2006/relationships/hyperlink" Target="https://pmt.physicsandmathstutor.com/download/Maths/GCSE/Topic-Qs/Edexcel-IGCSE/Algebra/MA/Higher/Sequences/Sequences%20(H)%20MA.pdf" TargetMode="External"/><Relationship Id="rId456" Type="http://schemas.openxmlformats.org/officeDocument/2006/relationships/hyperlink" Target="https://mathsgenie.co.uk/igcse/maths/edexcel/grade-8-9-8-8-differentiation" TargetMode="External"/><Relationship Id="rId457" Type="http://schemas.openxmlformats.org/officeDocument/2006/relationships/hyperlink" Target="https://mathsgenie.co.uk/igcse/maths/edexcel/grade-8-9-8-9-vectors-proof-questions" TargetMode="External"/><Relationship Id="rId458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459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460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461" Type="http://schemas.openxmlformats.org/officeDocument/2006/relationships/hyperlink" Target="https://mathsgenie.co.uk/igcse/maths/edexcel/grade-8-9-8-10-probability-equation-questions" TargetMode="External"/><Relationship Id="rId462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463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464" Type="http://schemas.openxmlformats.org/officeDocument/2006/relationships/hyperlink" Target="https://pmt.physicsandmathstutor.com/download/Maths/GCSE/Topic-Qs/Edexcel-IGCSE/Probability/MA/Higher/Probability%20Equations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6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s">
        <v>7</v>
      </c>
      <c r="B5" s="6" t="n">
        <f aca="false">COUNTIFS('RAG tracker'!$C$2:$C$128,$A5,'RAG tracker'!$A$2:$A$128,"&lt;=6")</f>
        <v>0</v>
      </c>
      <c r="C5" s="6" t="s">
        <v>8</v>
      </c>
      <c r="D5" s="6" t="n">
        <v>13</v>
      </c>
      <c r="E5" s="6" t="n">
        <f aca="false">$B5*$D5</f>
        <v>0</v>
      </c>
    </row>
    <row r="6" customFormat="false" ht="15" hidden="false" customHeight="false" outlineLevel="0" collapsed="false">
      <c r="A6" s="7" t="s">
        <v>9</v>
      </c>
      <c r="B6" s="6" t="n">
        <f aca="false">COUNTIFS('RAG tracker'!$C$2:$C$128,$A6,'RAG tracker'!$A$2:$A$128,"&lt;=6")</f>
        <v>0</v>
      </c>
      <c r="C6" s="6" t="s">
        <v>10</v>
      </c>
      <c r="D6" s="6" t="n">
        <v>6</v>
      </c>
      <c r="E6" s="6" t="n">
        <f aca="false">$B6*$D6</f>
        <v>0</v>
      </c>
    </row>
    <row r="7" customFormat="false" ht="15" hidden="false" customHeight="false" outlineLevel="0" collapsed="false">
      <c r="A7" s="8" t="s">
        <v>11</v>
      </c>
      <c r="B7" s="6" t="n">
        <f aca="false">COUNTIFS('RAG tracker'!$C$2:$C$128,$A7,'RAG tracker'!$A$2:$A$128,"&lt;=6")</f>
        <v>0</v>
      </c>
      <c r="C7" s="6" t="s">
        <v>12</v>
      </c>
      <c r="D7" s="6" t="n">
        <v>2</v>
      </c>
      <c r="E7" s="6" t="n">
        <f aca="false">$B7*$D7</f>
        <v>0</v>
      </c>
    </row>
    <row r="8" customFormat="false" ht="15" hidden="false" customHeight="false" outlineLevel="0" collapsed="false">
      <c r="A8" s="6" t="s">
        <v>13</v>
      </c>
      <c r="B8" s="6" t="n">
        <f aca="false">COUNTIFS('RAG tracker'!$C$2:$C$128,"",'RAG tracker'!$A$2:$A$128,"&gt;0")</f>
        <v>119</v>
      </c>
      <c r="C8" s="6" t="s">
        <v>14</v>
      </c>
      <c r="D8" s="6"/>
      <c r="E8" s="6"/>
    </row>
    <row r="9" customFormat="false" ht="15" hidden="false" customHeight="false" outlineLevel="0" collapsed="false">
      <c r="C9" s="9" t="s">
        <v>15</v>
      </c>
      <c r="E9" s="9" t="n">
        <f aca="false">SUM(E5:E7)</f>
        <v>0</v>
      </c>
    </row>
    <row r="10" customFormat="false" ht="15" hidden="false" customHeight="false" outlineLevel="0" collapsed="false">
      <c r="C10" s="10" t="s">
        <v>16</v>
      </c>
      <c r="E10" s="10" t="n">
        <f aca="false">ROUND($E9*2.5/60,1)</f>
        <v>0</v>
      </c>
    </row>
    <row r="11" customFormat="false" ht="15" hidden="false" customHeight="false" outlineLevel="0" collapsed="false">
      <c r="C11" s="10" t="s">
        <v>17</v>
      </c>
      <c r="E11" s="10" t="n">
        <f aca="false">ROUND($E10/6,1)</f>
        <v>0</v>
      </c>
    </row>
    <row r="13" customFormat="false" ht="15" hidden="false" customHeight="false" outlineLevel="0" collapsed="false">
      <c r="A13" s="11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  <c r="C14" s="4"/>
      <c r="D14" s="4" t="s">
        <v>21</v>
      </c>
      <c r="E14" s="4" t="s">
        <v>22</v>
      </c>
      <c r="F14" s="4" t="s">
        <v>23</v>
      </c>
    </row>
    <row r="15" customFormat="false" ht="15" hidden="false" customHeight="false" outlineLevel="0" collapsed="false">
      <c r="A15" s="12" t="n">
        <v>1</v>
      </c>
      <c r="B15" s="6" t="n">
        <f aca="false">COUNTIFS('RAG tracker'!$A$2:$A$128,$A15)</f>
        <v>12</v>
      </c>
      <c r="C15" s="6"/>
      <c r="D15" s="6" t="n">
        <f aca="false">COUNTIFS('RAG tracker'!$A$2:$A$128,$A15,'RAG tracker'!$C$2:$C$128,"R")</f>
        <v>0</v>
      </c>
      <c r="E15" s="6" t="n">
        <f aca="false">COUNTIFS('RAG tracker'!$A$2:$A$128,$A15,'RAG tracker'!$C$2:$C$128,"A")</f>
        <v>0</v>
      </c>
      <c r="F15" s="6" t="n">
        <f aca="false">COUNTIFS('RAG tracker'!$A$2:$A$128,$A15,'RAG tracker'!$C$2:$C$128,"G")</f>
        <v>0</v>
      </c>
    </row>
    <row r="16" customFormat="false" ht="15" hidden="false" customHeight="false" outlineLevel="0" collapsed="false">
      <c r="A16" s="12" t="n">
        <v>2</v>
      </c>
      <c r="B16" s="6" t="n">
        <f aca="false">COUNTIFS('RAG tracker'!$A$2:$A$128,$A16)</f>
        <v>16</v>
      </c>
      <c r="C16" s="6"/>
      <c r="D16" s="6" t="n">
        <f aca="false">COUNTIFS('RAG tracker'!$A$2:$A$128,$A16,'RAG tracker'!$C$2:$C$128,"R")</f>
        <v>0</v>
      </c>
      <c r="E16" s="6" t="n">
        <f aca="false">COUNTIFS('RAG tracker'!$A$2:$A$128,$A16,'RAG tracker'!$C$2:$C$128,"A")</f>
        <v>0</v>
      </c>
      <c r="F16" s="6" t="n">
        <f aca="false">COUNTIFS('RAG tracker'!$A$2:$A$128,$A16,'RAG tracker'!$C$2:$C$128,"G")</f>
        <v>0</v>
      </c>
    </row>
    <row r="17" customFormat="false" ht="15" hidden="false" customHeight="false" outlineLevel="0" collapsed="false">
      <c r="A17" s="12" t="n">
        <v>3</v>
      </c>
      <c r="B17" s="6" t="n">
        <f aca="false">COUNTIFS('RAG tracker'!$A$2:$A$128,$A17)</f>
        <v>18</v>
      </c>
      <c r="C17" s="6"/>
      <c r="D17" s="6" t="n">
        <f aca="false">COUNTIFS('RAG tracker'!$A$2:$A$128,$A17,'RAG tracker'!$C$2:$C$128,"R")</f>
        <v>0</v>
      </c>
      <c r="E17" s="6" t="n">
        <f aca="false">COUNTIFS('RAG tracker'!$A$2:$A$128,$A17,'RAG tracker'!$C$2:$C$128,"A")</f>
        <v>0</v>
      </c>
      <c r="F17" s="6" t="n">
        <f aca="false">COUNTIFS('RAG tracker'!$A$2:$A$128,$A17,'RAG tracker'!$C$2:$C$128,"G")</f>
        <v>0</v>
      </c>
    </row>
    <row r="18" customFormat="false" ht="15" hidden="false" customHeight="false" outlineLevel="0" collapsed="false">
      <c r="A18" s="12" t="n">
        <v>4</v>
      </c>
      <c r="B18" s="6" t="n">
        <f aca="false">COUNTIFS('RAG tracker'!$A$2:$A$128,$A18)</f>
        <v>18</v>
      </c>
      <c r="C18" s="6"/>
      <c r="D18" s="6" t="n">
        <f aca="false">COUNTIFS('RAG tracker'!$A$2:$A$128,$A18,'RAG tracker'!$C$2:$C$128,"R")</f>
        <v>0</v>
      </c>
      <c r="E18" s="6" t="n">
        <f aca="false">COUNTIFS('RAG tracker'!$A$2:$A$128,$A18,'RAG tracker'!$C$2:$C$128,"A")</f>
        <v>0</v>
      </c>
      <c r="F18" s="6" t="n">
        <f aca="false">COUNTIFS('RAG tracker'!$A$2:$A$128,$A18,'RAG tracker'!$C$2:$C$128,"G")</f>
        <v>0</v>
      </c>
    </row>
    <row r="19" customFormat="false" ht="15" hidden="false" customHeight="false" outlineLevel="0" collapsed="false">
      <c r="A19" s="12" t="n">
        <v>5</v>
      </c>
      <c r="B19" s="6" t="n">
        <f aca="false">COUNTIFS('RAG tracker'!$A$2:$A$128,$A19)</f>
        <v>13</v>
      </c>
      <c r="C19" s="6"/>
      <c r="D19" s="6" t="n">
        <f aca="false">COUNTIFS('RAG tracker'!$A$2:$A$128,$A19,'RAG tracker'!$C$2:$C$128,"R")</f>
        <v>0</v>
      </c>
      <c r="E19" s="6" t="n">
        <f aca="false">COUNTIFS('RAG tracker'!$A$2:$A$128,$A19,'RAG tracker'!$C$2:$C$128,"A")</f>
        <v>0</v>
      </c>
      <c r="F19" s="6" t="n">
        <f aca="false">COUNTIFS('RAG tracker'!$A$2:$A$128,$A19,'RAG tracker'!$C$2:$C$128,"G")</f>
        <v>0</v>
      </c>
    </row>
    <row r="20" customFormat="false" ht="15" hidden="false" customHeight="false" outlineLevel="0" collapsed="false">
      <c r="A20" s="12" t="n">
        <v>6</v>
      </c>
      <c r="B20" s="6" t="n">
        <f aca="false">COUNTIFS('RAG tracker'!$A$2:$A$128,$A20)</f>
        <v>17</v>
      </c>
      <c r="C20" s="6"/>
      <c r="D20" s="6" t="n">
        <f aca="false">COUNTIFS('RAG tracker'!$A$2:$A$128,$A20,'RAG tracker'!$C$2:$C$128,"R")</f>
        <v>0</v>
      </c>
      <c r="E20" s="6" t="n">
        <f aca="false">COUNTIFS('RAG tracker'!$A$2:$A$128,$A20,'RAG tracker'!$C$2:$C$128,"A")</f>
        <v>0</v>
      </c>
      <c r="F20" s="6" t="n">
        <f aca="false">COUNTIFS('RAG tracker'!$A$2:$A$128,$A20,'RAG tracker'!$C$2:$C$128,"G")</f>
        <v>0</v>
      </c>
    </row>
    <row r="21" customFormat="false" ht="15" hidden="false" customHeight="false" outlineLevel="0" collapsed="false">
      <c r="A21" s="12" t="n">
        <v>7</v>
      </c>
      <c r="B21" s="6" t="n">
        <f aca="false">COUNTIFS('RAG tracker'!$A$2:$A$128,$A21)</f>
        <v>15</v>
      </c>
      <c r="C21" s="6"/>
      <c r="D21" s="6" t="n">
        <f aca="false">COUNTIFS('RAG tracker'!$A$2:$A$128,$A21,'RAG tracker'!$C$2:$C$128,"R")</f>
        <v>0</v>
      </c>
      <c r="E21" s="6" t="n">
        <f aca="false">COUNTIFS('RAG tracker'!$A$2:$A$128,$A21,'RAG tracker'!$C$2:$C$128,"A")</f>
        <v>0</v>
      </c>
      <c r="F21" s="6" t="n">
        <f aca="false">COUNTIFS('RAG tracker'!$A$2:$A$128,$A21,'RAG tracker'!$C$2:$C$128,"G")</f>
        <v>0</v>
      </c>
    </row>
    <row r="22" customFormat="false" ht="15" hidden="false" customHeight="false" outlineLevel="0" collapsed="false">
      <c r="A22" s="12" t="n">
        <v>8</v>
      </c>
      <c r="B22" s="6" t="n">
        <f aca="false">COUNTIFS('RAG tracker'!$A$2:$A$128,$A22)</f>
        <v>10</v>
      </c>
      <c r="C22" s="6"/>
      <c r="D22" s="6" t="n">
        <f aca="false">COUNTIFS('RAG tracker'!$A$2:$A$128,$A22,'RAG tracker'!$C$2:$C$128,"R")</f>
        <v>0</v>
      </c>
      <c r="E22" s="6" t="n">
        <f aca="false">COUNTIFS('RAG tracker'!$A$2:$A$128,$A22,'RAG tracker'!$C$2:$C$128,"A")</f>
        <v>0</v>
      </c>
      <c r="F22" s="6" t="n">
        <f aca="false">COUNTIFS('RAG tracker'!$A$2:$A$128,$A22,'RAG tracker'!$C$2:$C$128,"G")</f>
        <v>0</v>
      </c>
    </row>
    <row r="23" customFormat="false" ht="15" hidden="false" customHeight="false" outlineLevel="0" collapsed="false">
      <c r="A23" s="9" t="s">
        <v>24</v>
      </c>
      <c r="B23" s="9" t="n">
        <f aca="false">SUM(B15:B22)</f>
        <v>119</v>
      </c>
      <c r="C23" s="9"/>
      <c r="D23" s="9" t="n">
        <f aca="false">SUM(D15:D22)</f>
        <v>0</v>
      </c>
      <c r="E23" s="9" t="n">
        <f aca="false">SUM(E15:E22)</f>
        <v>0</v>
      </c>
      <c r="F23" s="9" t="n">
        <f aca="false">SUM(F15:F22)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0" hidden="false" customHeight="true" outlineLevel="0" collapsed="false">
      <c r="A4" s="13" t="s">
        <v>27</v>
      </c>
      <c r="B4" s="14" t="s">
        <v>28</v>
      </c>
    </row>
    <row r="5" customFormat="false" ht="30" hidden="false" customHeight="true" outlineLevel="0" collapsed="false">
      <c r="A5" s="13" t="s">
        <v>7</v>
      </c>
      <c r="B5" s="14" t="s">
        <v>29</v>
      </c>
    </row>
    <row r="6" customFormat="false" ht="30" hidden="false" customHeight="true" outlineLevel="0" collapsed="false">
      <c r="A6" s="13" t="s">
        <v>9</v>
      </c>
      <c r="B6" s="14" t="s">
        <v>30</v>
      </c>
    </row>
    <row r="7" customFormat="false" ht="30" hidden="false" customHeight="true" outlineLevel="0" collapsed="false">
      <c r="A7" s="13" t="s">
        <v>11</v>
      </c>
      <c r="B7" s="14" t="s">
        <v>31</v>
      </c>
    </row>
    <row r="8" customFormat="false" ht="30" hidden="false" customHeight="true" outlineLevel="0" collapsed="false">
      <c r="A8" s="13" t="s">
        <v>32</v>
      </c>
      <c r="B8" s="14" t="s">
        <v>33</v>
      </c>
    </row>
    <row r="9" customFormat="false" ht="30" hidden="false" customHeight="true" outlineLevel="0" collapsed="false">
      <c r="A9" s="13" t="s">
        <v>34</v>
      </c>
      <c r="B9" s="14" t="s">
        <v>35</v>
      </c>
    </row>
    <row r="10" customFormat="false" ht="30" hidden="false" customHeight="true" outlineLevel="0" collapsed="false">
      <c r="A10" s="13" t="s">
        <v>36</v>
      </c>
      <c r="B10" s="14" t="s">
        <v>37</v>
      </c>
    </row>
    <row r="11" customFormat="false" ht="30" hidden="false" customHeight="true" outlineLevel="0" collapsed="false">
      <c r="A11" s="13" t="s">
        <v>19</v>
      </c>
      <c r="B11" s="14" t="s">
        <v>38</v>
      </c>
    </row>
    <row r="12" customFormat="false" ht="30" hidden="false" customHeight="true" outlineLevel="0" collapsed="false">
      <c r="A12" s="13" t="s">
        <v>39</v>
      </c>
      <c r="B12" s="14" t="s">
        <v>40</v>
      </c>
    </row>
    <row r="14" customFormat="false" ht="15" hidden="false" customHeight="false" outlineLevel="0" collapsed="false">
      <c r="A14" s="11" t="s">
        <v>41</v>
      </c>
    </row>
    <row r="15" customFormat="false" ht="15" hidden="false" customHeight="false" outlineLevel="0" collapsed="false">
      <c r="A15" s="4" t="s">
        <v>19</v>
      </c>
      <c r="B15" s="4" t="s">
        <v>42</v>
      </c>
      <c r="C15" s="4" t="s">
        <v>43</v>
      </c>
      <c r="D15" s="4" t="s">
        <v>44</v>
      </c>
    </row>
    <row r="16" customFormat="false" ht="15" hidden="false" customHeight="false" outlineLevel="0" collapsed="false">
      <c r="A16" s="15" t="n">
        <v>4</v>
      </c>
      <c r="B16" s="15" t="s">
        <v>45</v>
      </c>
      <c r="C16" s="16" t="s">
        <v>9</v>
      </c>
      <c r="D16" s="1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9" min="7" style="0" width="6"/>
  </cols>
  <sheetData>
    <row r="1" customFormat="false" ht="30" hidden="false" customHeight="true" outlineLevel="0" collapsed="false">
      <c r="A1" s="17" t="s">
        <v>19</v>
      </c>
      <c r="B1" s="18" t="s">
        <v>42</v>
      </c>
      <c r="C1" s="18" t="s">
        <v>43</v>
      </c>
      <c r="D1" s="18" t="s">
        <v>44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</row>
    <row r="2" customFormat="false" ht="24" hidden="false" customHeight="true" outlineLevel="0" collapsed="false">
      <c r="A2" s="19"/>
      <c r="B2" s="20" t="s">
        <v>52</v>
      </c>
      <c r="C2" s="20"/>
      <c r="D2" s="20"/>
      <c r="E2" s="20"/>
      <c r="F2" s="20"/>
      <c r="G2" s="20"/>
      <c r="H2" s="20"/>
      <c r="I2" s="20"/>
    </row>
    <row r="3" customFormat="false" ht="15" hidden="false" customHeight="false" outlineLevel="0" collapsed="false">
      <c r="A3" s="21" t="n">
        <v>1</v>
      </c>
      <c r="B3" s="22" t="s">
        <v>53</v>
      </c>
      <c r="C3" s="23"/>
      <c r="D3" s="24"/>
      <c r="E3" s="25" t="s">
        <v>54</v>
      </c>
      <c r="F3" s="15" t="s">
        <v>55</v>
      </c>
      <c r="G3" s="25" t="s">
        <v>49</v>
      </c>
      <c r="H3" s="25" t="s">
        <v>50</v>
      </c>
      <c r="I3" s="25" t="s">
        <v>51</v>
      </c>
    </row>
    <row r="4" customFormat="false" ht="15" hidden="false" customHeight="false" outlineLevel="0" collapsed="false">
      <c r="A4" s="21" t="n">
        <v>1</v>
      </c>
      <c r="B4" s="22" t="s">
        <v>56</v>
      </c>
      <c r="C4" s="23"/>
      <c r="D4" s="24"/>
      <c r="E4" s="25" t="s">
        <v>54</v>
      </c>
      <c r="F4" s="15" t="s">
        <v>55</v>
      </c>
      <c r="G4" s="25" t="s">
        <v>49</v>
      </c>
      <c r="H4" s="25" t="s">
        <v>50</v>
      </c>
      <c r="I4" s="25" t="s">
        <v>51</v>
      </c>
    </row>
    <row r="5" customFormat="false" ht="15" hidden="false" customHeight="false" outlineLevel="0" collapsed="false">
      <c r="A5" s="21" t="n">
        <v>1</v>
      </c>
      <c r="B5" s="22" t="s">
        <v>57</v>
      </c>
      <c r="C5" s="23"/>
      <c r="D5" s="24"/>
      <c r="E5" s="25" t="s">
        <v>54</v>
      </c>
      <c r="F5" s="15" t="s">
        <v>58</v>
      </c>
      <c r="G5" s="25" t="s">
        <v>49</v>
      </c>
      <c r="H5" s="25" t="s">
        <v>50</v>
      </c>
      <c r="I5" s="25" t="s">
        <v>51</v>
      </c>
    </row>
    <row r="6" customFormat="false" ht="15" hidden="false" customHeight="false" outlineLevel="0" collapsed="false">
      <c r="A6" s="21" t="n">
        <v>1</v>
      </c>
      <c r="B6" s="22" t="s">
        <v>59</v>
      </c>
      <c r="C6" s="23"/>
      <c r="D6" s="24"/>
      <c r="E6" s="25" t="s">
        <v>54</v>
      </c>
      <c r="F6" s="15" t="s">
        <v>60</v>
      </c>
      <c r="G6" s="25" t="s">
        <v>49</v>
      </c>
      <c r="H6" s="25" t="s">
        <v>50</v>
      </c>
      <c r="I6" s="25" t="s">
        <v>51</v>
      </c>
    </row>
    <row r="7" customFormat="false" ht="15" hidden="false" customHeight="false" outlineLevel="0" collapsed="false">
      <c r="A7" s="21" t="n">
        <v>1</v>
      </c>
      <c r="B7" s="22" t="s">
        <v>61</v>
      </c>
      <c r="C7" s="23"/>
      <c r="D7" s="24"/>
      <c r="E7" s="25" t="s">
        <v>54</v>
      </c>
      <c r="F7" s="15" t="s">
        <v>62</v>
      </c>
      <c r="G7" s="26"/>
      <c r="H7" s="26"/>
      <c r="I7" s="26"/>
    </row>
    <row r="8" customFormat="false" ht="15" hidden="false" customHeight="false" outlineLevel="0" collapsed="false">
      <c r="A8" s="21" t="n">
        <v>1</v>
      </c>
      <c r="B8" s="22" t="s">
        <v>63</v>
      </c>
      <c r="C8" s="23"/>
      <c r="D8" s="24"/>
      <c r="E8" s="25" t="s">
        <v>54</v>
      </c>
      <c r="F8" s="15" t="s">
        <v>63</v>
      </c>
      <c r="G8" s="25" t="s">
        <v>49</v>
      </c>
      <c r="H8" s="25" t="s">
        <v>50</v>
      </c>
      <c r="I8" s="25" t="s">
        <v>51</v>
      </c>
    </row>
    <row r="9" customFormat="false" ht="15" hidden="false" customHeight="false" outlineLevel="0" collapsed="false">
      <c r="A9" s="21" t="n">
        <v>1</v>
      </c>
      <c r="B9" s="22" t="s">
        <v>64</v>
      </c>
      <c r="C9" s="23"/>
      <c r="D9" s="24"/>
      <c r="E9" s="25" t="s">
        <v>54</v>
      </c>
      <c r="F9" s="15" t="s">
        <v>55</v>
      </c>
      <c r="G9" s="25" t="s">
        <v>49</v>
      </c>
      <c r="H9" s="25" t="s">
        <v>50</v>
      </c>
      <c r="I9" s="25" t="s">
        <v>51</v>
      </c>
    </row>
    <row r="10" customFormat="false" ht="15" hidden="false" customHeight="false" outlineLevel="0" collapsed="false">
      <c r="A10" s="21" t="n">
        <v>1</v>
      </c>
      <c r="B10" s="22" t="s">
        <v>65</v>
      </c>
      <c r="C10" s="23"/>
      <c r="D10" s="24"/>
      <c r="E10" s="25" t="s">
        <v>54</v>
      </c>
      <c r="F10" s="15" t="s">
        <v>66</v>
      </c>
      <c r="G10" s="25" t="s">
        <v>49</v>
      </c>
      <c r="H10" s="25" t="s">
        <v>50</v>
      </c>
      <c r="I10" s="25" t="s">
        <v>51</v>
      </c>
    </row>
    <row r="11" customFormat="false" ht="15" hidden="false" customHeight="false" outlineLevel="0" collapsed="false">
      <c r="A11" s="21" t="n">
        <v>1</v>
      </c>
      <c r="B11" s="22" t="s">
        <v>67</v>
      </c>
      <c r="C11" s="23"/>
      <c r="D11" s="24"/>
      <c r="E11" s="25" t="s">
        <v>54</v>
      </c>
      <c r="F11" s="15" t="s">
        <v>55</v>
      </c>
      <c r="G11" s="25" t="s">
        <v>49</v>
      </c>
      <c r="H11" s="25" t="s">
        <v>50</v>
      </c>
      <c r="I11" s="25" t="s">
        <v>51</v>
      </c>
    </row>
    <row r="12" customFormat="false" ht="15" hidden="false" customHeight="false" outlineLevel="0" collapsed="false">
      <c r="A12" s="21" t="n">
        <v>1</v>
      </c>
      <c r="B12" s="22" t="s">
        <v>68</v>
      </c>
      <c r="C12" s="23"/>
      <c r="D12" s="24"/>
      <c r="E12" s="25" t="s">
        <v>54</v>
      </c>
      <c r="F12" s="15" t="s">
        <v>69</v>
      </c>
      <c r="G12" s="25" t="s">
        <v>49</v>
      </c>
      <c r="H12" s="25" t="s">
        <v>50</v>
      </c>
      <c r="I12" s="25" t="s">
        <v>51</v>
      </c>
    </row>
    <row r="13" customFormat="false" ht="15" hidden="false" customHeight="false" outlineLevel="0" collapsed="false">
      <c r="A13" s="21" t="n">
        <v>1</v>
      </c>
      <c r="B13" s="22" t="s">
        <v>70</v>
      </c>
      <c r="C13" s="23"/>
      <c r="D13" s="24"/>
      <c r="E13" s="25" t="s">
        <v>54</v>
      </c>
      <c r="F13" s="15" t="s">
        <v>70</v>
      </c>
      <c r="G13" s="25" t="s">
        <v>49</v>
      </c>
      <c r="H13" s="25" t="s">
        <v>50</v>
      </c>
      <c r="I13" s="25" t="s">
        <v>51</v>
      </c>
    </row>
    <row r="14" customFormat="false" ht="15" hidden="false" customHeight="false" outlineLevel="0" collapsed="false">
      <c r="A14" s="21" t="n">
        <v>1</v>
      </c>
      <c r="B14" s="22" t="s">
        <v>71</v>
      </c>
      <c r="C14" s="23"/>
      <c r="D14" s="24"/>
      <c r="E14" s="25" t="s">
        <v>54</v>
      </c>
      <c r="F14" s="15" t="s">
        <v>72</v>
      </c>
      <c r="G14" s="25" t="s">
        <v>49</v>
      </c>
      <c r="H14" s="25" t="s">
        <v>50</v>
      </c>
      <c r="I14" s="25" t="s">
        <v>51</v>
      </c>
    </row>
    <row r="15" customFormat="false" ht="24" hidden="false" customHeight="true" outlineLevel="0" collapsed="false">
      <c r="A15" s="19"/>
      <c r="B15" s="20" t="s">
        <v>73</v>
      </c>
      <c r="C15" s="20"/>
      <c r="D15" s="20"/>
      <c r="E15" s="20"/>
      <c r="F15" s="20"/>
      <c r="G15" s="20"/>
      <c r="H15" s="20"/>
      <c r="I15" s="20"/>
    </row>
    <row r="16" customFormat="false" ht="15" hidden="false" customHeight="false" outlineLevel="0" collapsed="false">
      <c r="A16" s="21" t="n">
        <v>2</v>
      </c>
      <c r="B16" s="22" t="s">
        <v>74</v>
      </c>
      <c r="C16" s="23"/>
      <c r="D16" s="24"/>
      <c r="E16" s="25" t="s">
        <v>54</v>
      </c>
      <c r="F16" s="15" t="s">
        <v>75</v>
      </c>
      <c r="G16" s="25" t="s">
        <v>49</v>
      </c>
      <c r="H16" s="25" t="s">
        <v>50</v>
      </c>
      <c r="I16" s="25" t="s">
        <v>51</v>
      </c>
    </row>
    <row r="17" customFormat="false" ht="15" hidden="false" customHeight="false" outlineLevel="0" collapsed="false">
      <c r="A17" s="21" t="n">
        <v>2</v>
      </c>
      <c r="B17" s="22" t="s">
        <v>76</v>
      </c>
      <c r="C17" s="23"/>
      <c r="D17" s="24"/>
      <c r="E17" s="25" t="s">
        <v>54</v>
      </c>
      <c r="F17" s="15" t="s">
        <v>62</v>
      </c>
      <c r="G17" s="26"/>
      <c r="H17" s="26"/>
      <c r="I17" s="26"/>
    </row>
    <row r="18" customFormat="false" ht="15" hidden="false" customHeight="false" outlineLevel="0" collapsed="false">
      <c r="A18" s="21" t="n">
        <v>2</v>
      </c>
      <c r="B18" s="22" t="s">
        <v>77</v>
      </c>
      <c r="C18" s="23"/>
      <c r="D18" s="24"/>
      <c r="E18" s="25" t="s">
        <v>54</v>
      </c>
      <c r="F18" s="15" t="s">
        <v>78</v>
      </c>
      <c r="G18" s="25" t="s">
        <v>49</v>
      </c>
      <c r="H18" s="25" t="s">
        <v>50</v>
      </c>
      <c r="I18" s="25" t="s">
        <v>51</v>
      </c>
    </row>
    <row r="19" customFormat="false" ht="15" hidden="false" customHeight="false" outlineLevel="0" collapsed="false">
      <c r="A19" s="21" t="n">
        <v>2</v>
      </c>
      <c r="B19" s="22" t="s">
        <v>79</v>
      </c>
      <c r="C19" s="23"/>
      <c r="D19" s="24"/>
      <c r="E19" s="25" t="s">
        <v>54</v>
      </c>
      <c r="F19" s="15" t="s">
        <v>60</v>
      </c>
      <c r="G19" s="25" t="s">
        <v>49</v>
      </c>
      <c r="H19" s="25" t="s">
        <v>50</v>
      </c>
      <c r="I19" s="25" t="s">
        <v>51</v>
      </c>
    </row>
    <row r="20" customFormat="false" ht="15" hidden="false" customHeight="false" outlineLevel="0" collapsed="false">
      <c r="A20" s="21" t="n">
        <v>2</v>
      </c>
      <c r="B20" s="22" t="s">
        <v>80</v>
      </c>
      <c r="C20" s="23"/>
      <c r="D20" s="24"/>
      <c r="E20" s="25" t="s">
        <v>54</v>
      </c>
      <c r="F20" s="15" t="s">
        <v>81</v>
      </c>
      <c r="G20" s="25" t="s">
        <v>49</v>
      </c>
      <c r="H20" s="25" t="s">
        <v>50</v>
      </c>
      <c r="I20" s="25" t="s">
        <v>51</v>
      </c>
    </row>
    <row r="21" customFormat="false" ht="15" hidden="false" customHeight="false" outlineLevel="0" collapsed="false">
      <c r="A21" s="21" t="n">
        <v>2</v>
      </c>
      <c r="B21" s="22" t="s">
        <v>82</v>
      </c>
      <c r="C21" s="23"/>
      <c r="D21" s="24"/>
      <c r="E21" s="25" t="s">
        <v>54</v>
      </c>
      <c r="F21" s="15" t="s">
        <v>83</v>
      </c>
      <c r="G21" s="25" t="s">
        <v>49</v>
      </c>
      <c r="H21" s="25" t="s">
        <v>50</v>
      </c>
      <c r="I21" s="25" t="s">
        <v>51</v>
      </c>
    </row>
    <row r="22" customFormat="false" ht="15" hidden="false" customHeight="false" outlineLevel="0" collapsed="false">
      <c r="A22" s="21" t="n">
        <v>2</v>
      </c>
      <c r="B22" s="22" t="s">
        <v>84</v>
      </c>
      <c r="C22" s="23"/>
      <c r="D22" s="24"/>
      <c r="E22" s="25" t="s">
        <v>54</v>
      </c>
      <c r="F22" s="15" t="s">
        <v>85</v>
      </c>
      <c r="G22" s="25" t="s">
        <v>49</v>
      </c>
      <c r="H22" s="25" t="s">
        <v>50</v>
      </c>
      <c r="I22" s="25" t="s">
        <v>51</v>
      </c>
    </row>
    <row r="23" customFormat="false" ht="15" hidden="false" customHeight="false" outlineLevel="0" collapsed="false">
      <c r="A23" s="21" t="n">
        <v>2</v>
      </c>
      <c r="B23" s="22" t="s">
        <v>86</v>
      </c>
      <c r="C23" s="23"/>
      <c r="D23" s="24"/>
      <c r="E23" s="25" t="s">
        <v>54</v>
      </c>
      <c r="F23" s="15" t="s">
        <v>62</v>
      </c>
      <c r="G23" s="26"/>
      <c r="H23" s="26"/>
      <c r="I23" s="26"/>
    </row>
    <row r="24" customFormat="false" ht="15" hidden="false" customHeight="false" outlineLevel="0" collapsed="false">
      <c r="A24" s="21" t="n">
        <v>2</v>
      </c>
      <c r="B24" s="22" t="s">
        <v>87</v>
      </c>
      <c r="C24" s="23"/>
      <c r="D24" s="24"/>
      <c r="E24" s="25" t="s">
        <v>54</v>
      </c>
      <c r="F24" s="15" t="s">
        <v>88</v>
      </c>
      <c r="G24" s="25" t="s">
        <v>49</v>
      </c>
      <c r="H24" s="25" t="s">
        <v>50</v>
      </c>
      <c r="I24" s="25" t="s">
        <v>51</v>
      </c>
    </row>
    <row r="25" customFormat="false" ht="15" hidden="false" customHeight="false" outlineLevel="0" collapsed="false">
      <c r="A25" s="21" t="n">
        <v>2</v>
      </c>
      <c r="B25" s="22" t="s">
        <v>89</v>
      </c>
      <c r="C25" s="23"/>
      <c r="D25" s="24"/>
      <c r="E25" s="25" t="s">
        <v>54</v>
      </c>
      <c r="F25" s="15" t="s">
        <v>90</v>
      </c>
      <c r="G25" s="25" t="s">
        <v>49</v>
      </c>
      <c r="H25" s="25" t="s">
        <v>50</v>
      </c>
      <c r="I25" s="25" t="s">
        <v>51</v>
      </c>
    </row>
    <row r="26" customFormat="false" ht="15" hidden="false" customHeight="false" outlineLevel="0" collapsed="false">
      <c r="A26" s="21" t="n">
        <v>2</v>
      </c>
      <c r="B26" s="22" t="s">
        <v>91</v>
      </c>
      <c r="C26" s="23"/>
      <c r="D26" s="24"/>
      <c r="E26" s="25" t="s">
        <v>54</v>
      </c>
      <c r="F26" s="15" t="s">
        <v>92</v>
      </c>
      <c r="G26" s="25" t="s">
        <v>49</v>
      </c>
      <c r="H26" s="25" t="s">
        <v>50</v>
      </c>
      <c r="I26" s="25" t="s">
        <v>51</v>
      </c>
    </row>
    <row r="27" customFormat="false" ht="15" hidden="false" customHeight="false" outlineLevel="0" collapsed="false">
      <c r="A27" s="21" t="n">
        <v>2</v>
      </c>
      <c r="B27" s="22" t="s">
        <v>93</v>
      </c>
      <c r="C27" s="23"/>
      <c r="D27" s="24"/>
      <c r="E27" s="25" t="s">
        <v>54</v>
      </c>
      <c r="F27" s="15" t="s">
        <v>78</v>
      </c>
      <c r="G27" s="25" t="s">
        <v>49</v>
      </c>
      <c r="H27" s="25" t="s">
        <v>50</v>
      </c>
      <c r="I27" s="25" t="s">
        <v>51</v>
      </c>
    </row>
    <row r="28" customFormat="false" ht="15" hidden="false" customHeight="false" outlineLevel="0" collapsed="false">
      <c r="A28" s="21" t="n">
        <v>2</v>
      </c>
      <c r="B28" s="22" t="s">
        <v>94</v>
      </c>
      <c r="C28" s="23"/>
      <c r="D28" s="24"/>
      <c r="E28" s="25" t="s">
        <v>54</v>
      </c>
      <c r="F28" s="15" t="s">
        <v>72</v>
      </c>
      <c r="G28" s="25" t="s">
        <v>49</v>
      </c>
      <c r="H28" s="25" t="s">
        <v>50</v>
      </c>
      <c r="I28" s="25" t="s">
        <v>51</v>
      </c>
    </row>
    <row r="29" customFormat="false" ht="15" hidden="false" customHeight="false" outlineLevel="0" collapsed="false">
      <c r="A29" s="21" t="n">
        <v>2</v>
      </c>
      <c r="B29" s="22" t="s">
        <v>95</v>
      </c>
      <c r="C29" s="23"/>
      <c r="D29" s="24"/>
      <c r="E29" s="25" t="s">
        <v>54</v>
      </c>
      <c r="F29" s="15" t="s">
        <v>96</v>
      </c>
      <c r="G29" s="25" t="s">
        <v>49</v>
      </c>
      <c r="H29" s="25" t="s">
        <v>50</v>
      </c>
      <c r="I29" s="25" t="s">
        <v>51</v>
      </c>
    </row>
    <row r="30" customFormat="false" ht="15" hidden="false" customHeight="false" outlineLevel="0" collapsed="false">
      <c r="A30" s="21" t="n">
        <v>2</v>
      </c>
      <c r="B30" s="22" t="s">
        <v>97</v>
      </c>
      <c r="C30" s="23"/>
      <c r="D30" s="24"/>
      <c r="E30" s="25" t="s">
        <v>54</v>
      </c>
      <c r="F30" s="15" t="s">
        <v>72</v>
      </c>
      <c r="G30" s="25" t="s">
        <v>49</v>
      </c>
      <c r="H30" s="25" t="s">
        <v>50</v>
      </c>
      <c r="I30" s="25" t="s">
        <v>51</v>
      </c>
    </row>
    <row r="31" customFormat="false" ht="15" hidden="false" customHeight="false" outlineLevel="0" collapsed="false">
      <c r="A31" s="21" t="n">
        <v>2</v>
      </c>
      <c r="B31" s="22" t="s">
        <v>98</v>
      </c>
      <c r="C31" s="23"/>
      <c r="D31" s="24"/>
      <c r="E31" s="25" t="s">
        <v>54</v>
      </c>
      <c r="F31" s="15" t="s">
        <v>72</v>
      </c>
      <c r="G31" s="25" t="s">
        <v>49</v>
      </c>
      <c r="H31" s="25" t="s">
        <v>50</v>
      </c>
      <c r="I31" s="25" t="s">
        <v>51</v>
      </c>
    </row>
    <row r="32" customFormat="false" ht="24" hidden="false" customHeight="true" outlineLevel="0" collapsed="false">
      <c r="A32" s="19"/>
      <c r="B32" s="20" t="s">
        <v>99</v>
      </c>
      <c r="C32" s="20"/>
      <c r="D32" s="20"/>
      <c r="E32" s="20"/>
      <c r="F32" s="20"/>
      <c r="G32" s="20"/>
      <c r="H32" s="20"/>
      <c r="I32" s="20"/>
    </row>
    <row r="33" customFormat="false" ht="15" hidden="false" customHeight="false" outlineLevel="0" collapsed="false">
      <c r="A33" s="21" t="n">
        <v>3</v>
      </c>
      <c r="B33" s="22" t="s">
        <v>60</v>
      </c>
      <c r="C33" s="23"/>
      <c r="D33" s="24"/>
      <c r="E33" s="25" t="s">
        <v>54</v>
      </c>
      <c r="F33" s="15" t="s">
        <v>60</v>
      </c>
      <c r="G33" s="25" t="s">
        <v>49</v>
      </c>
      <c r="H33" s="25" t="s">
        <v>50</v>
      </c>
      <c r="I33" s="25" t="s">
        <v>51</v>
      </c>
    </row>
    <row r="34" customFormat="false" ht="15" hidden="false" customHeight="false" outlineLevel="0" collapsed="false">
      <c r="A34" s="21" t="n">
        <v>3</v>
      </c>
      <c r="B34" s="22" t="s">
        <v>100</v>
      </c>
      <c r="C34" s="23"/>
      <c r="D34" s="24"/>
      <c r="E34" s="25" t="s">
        <v>54</v>
      </c>
      <c r="F34" s="15" t="s">
        <v>101</v>
      </c>
      <c r="G34" s="25" t="s">
        <v>49</v>
      </c>
      <c r="H34" s="25" t="s">
        <v>50</v>
      </c>
      <c r="I34" s="25" t="s">
        <v>51</v>
      </c>
    </row>
    <row r="35" customFormat="false" ht="15" hidden="false" customHeight="false" outlineLevel="0" collapsed="false">
      <c r="A35" s="21" t="n">
        <v>3</v>
      </c>
      <c r="B35" s="22" t="s">
        <v>102</v>
      </c>
      <c r="C35" s="23"/>
      <c r="D35" s="24"/>
      <c r="E35" s="25" t="s">
        <v>54</v>
      </c>
      <c r="F35" s="15" t="s">
        <v>103</v>
      </c>
      <c r="G35" s="25" t="s">
        <v>49</v>
      </c>
      <c r="H35" s="25" t="s">
        <v>50</v>
      </c>
      <c r="I35" s="25" t="s">
        <v>51</v>
      </c>
    </row>
    <row r="36" customFormat="false" ht="15" hidden="false" customHeight="false" outlineLevel="0" collapsed="false">
      <c r="A36" s="21" t="n">
        <v>3</v>
      </c>
      <c r="B36" s="22" t="s">
        <v>103</v>
      </c>
      <c r="C36" s="23"/>
      <c r="D36" s="24"/>
      <c r="E36" s="25" t="s">
        <v>54</v>
      </c>
      <c r="F36" s="15" t="s">
        <v>103</v>
      </c>
      <c r="G36" s="25" t="s">
        <v>49</v>
      </c>
      <c r="H36" s="25" t="s">
        <v>50</v>
      </c>
      <c r="I36" s="25" t="s">
        <v>51</v>
      </c>
    </row>
    <row r="37" customFormat="false" ht="15" hidden="false" customHeight="false" outlineLevel="0" collapsed="false">
      <c r="A37" s="21" t="n">
        <v>3</v>
      </c>
      <c r="B37" s="22" t="s">
        <v>104</v>
      </c>
      <c r="C37" s="23"/>
      <c r="D37" s="24"/>
      <c r="E37" s="25" t="s">
        <v>54</v>
      </c>
      <c r="F37" s="15" t="s">
        <v>104</v>
      </c>
      <c r="G37" s="25" t="s">
        <v>49</v>
      </c>
      <c r="H37" s="25" t="s">
        <v>50</v>
      </c>
      <c r="I37" s="25" t="s">
        <v>51</v>
      </c>
    </row>
    <row r="38" customFormat="false" ht="15" hidden="false" customHeight="false" outlineLevel="0" collapsed="false">
      <c r="A38" s="21" t="n">
        <v>3</v>
      </c>
      <c r="B38" s="22" t="s">
        <v>81</v>
      </c>
      <c r="C38" s="23"/>
      <c r="D38" s="24"/>
      <c r="E38" s="25" t="s">
        <v>54</v>
      </c>
      <c r="F38" s="15" t="s">
        <v>81</v>
      </c>
      <c r="G38" s="25" t="s">
        <v>49</v>
      </c>
      <c r="H38" s="25" t="s">
        <v>50</v>
      </c>
      <c r="I38" s="25" t="s">
        <v>51</v>
      </c>
    </row>
    <row r="39" customFormat="false" ht="15" hidden="false" customHeight="false" outlineLevel="0" collapsed="false">
      <c r="A39" s="21" t="n">
        <v>3</v>
      </c>
      <c r="B39" s="22" t="s">
        <v>105</v>
      </c>
      <c r="C39" s="23"/>
      <c r="D39" s="24"/>
      <c r="E39" s="25" t="s">
        <v>54</v>
      </c>
      <c r="F39" s="15" t="s">
        <v>106</v>
      </c>
      <c r="G39" s="25" t="s">
        <v>49</v>
      </c>
      <c r="H39" s="25" t="s">
        <v>50</v>
      </c>
      <c r="I39" s="25" t="s">
        <v>51</v>
      </c>
    </row>
    <row r="40" customFormat="false" ht="15" hidden="false" customHeight="false" outlineLevel="0" collapsed="false">
      <c r="A40" s="21" t="n">
        <v>3</v>
      </c>
      <c r="B40" s="22" t="s">
        <v>107</v>
      </c>
      <c r="C40" s="23"/>
      <c r="D40" s="24"/>
      <c r="E40" s="25" t="s">
        <v>54</v>
      </c>
      <c r="F40" s="15" t="s">
        <v>108</v>
      </c>
      <c r="G40" s="25" t="s">
        <v>49</v>
      </c>
      <c r="H40" s="25" t="s">
        <v>50</v>
      </c>
      <c r="I40" s="25" t="s">
        <v>51</v>
      </c>
    </row>
    <row r="41" customFormat="false" ht="15" hidden="false" customHeight="false" outlineLevel="0" collapsed="false">
      <c r="A41" s="21" t="n">
        <v>3</v>
      </c>
      <c r="B41" s="22" t="s">
        <v>109</v>
      </c>
      <c r="C41" s="23"/>
      <c r="D41" s="24"/>
      <c r="E41" s="25" t="s">
        <v>54</v>
      </c>
      <c r="F41" s="15" t="s">
        <v>108</v>
      </c>
      <c r="G41" s="25" t="s">
        <v>49</v>
      </c>
      <c r="H41" s="25" t="s">
        <v>50</v>
      </c>
      <c r="I41" s="25" t="s">
        <v>51</v>
      </c>
    </row>
    <row r="42" customFormat="false" ht="15" hidden="false" customHeight="false" outlineLevel="0" collapsed="false">
      <c r="A42" s="21" t="n">
        <v>3</v>
      </c>
      <c r="B42" s="22" t="s">
        <v>110</v>
      </c>
      <c r="C42" s="23"/>
      <c r="D42" s="24"/>
      <c r="E42" s="25" t="s">
        <v>54</v>
      </c>
      <c r="F42" s="15" t="s">
        <v>111</v>
      </c>
      <c r="G42" s="25" t="s">
        <v>49</v>
      </c>
      <c r="H42" s="25" t="s">
        <v>50</v>
      </c>
      <c r="I42" s="25" t="s">
        <v>51</v>
      </c>
    </row>
    <row r="43" customFormat="false" ht="15" hidden="false" customHeight="false" outlineLevel="0" collapsed="false">
      <c r="A43" s="21" t="n">
        <v>3</v>
      </c>
      <c r="B43" s="22" t="s">
        <v>112</v>
      </c>
      <c r="C43" s="23"/>
      <c r="D43" s="24"/>
      <c r="E43" s="25" t="s">
        <v>54</v>
      </c>
      <c r="F43" s="15" t="s">
        <v>113</v>
      </c>
      <c r="G43" s="25" t="s">
        <v>49</v>
      </c>
      <c r="H43" s="25" t="s">
        <v>50</v>
      </c>
      <c r="I43" s="25" t="s">
        <v>51</v>
      </c>
    </row>
    <row r="44" customFormat="false" ht="15" hidden="false" customHeight="false" outlineLevel="0" collapsed="false">
      <c r="A44" s="21" t="n">
        <v>3</v>
      </c>
      <c r="B44" s="22" t="s">
        <v>114</v>
      </c>
      <c r="C44" s="23"/>
      <c r="D44" s="24"/>
      <c r="E44" s="25" t="s">
        <v>54</v>
      </c>
      <c r="F44" s="15" t="s">
        <v>115</v>
      </c>
      <c r="G44" s="25" t="s">
        <v>49</v>
      </c>
      <c r="H44" s="25" t="s">
        <v>50</v>
      </c>
      <c r="I44" s="25" t="s">
        <v>51</v>
      </c>
    </row>
    <row r="45" customFormat="false" ht="15" hidden="false" customHeight="false" outlineLevel="0" collapsed="false">
      <c r="A45" s="21" t="n">
        <v>3</v>
      </c>
      <c r="B45" s="22" t="s">
        <v>116</v>
      </c>
      <c r="C45" s="23"/>
      <c r="D45" s="24"/>
      <c r="E45" s="25" t="s">
        <v>54</v>
      </c>
      <c r="F45" s="15" t="s">
        <v>88</v>
      </c>
      <c r="G45" s="25" t="s">
        <v>49</v>
      </c>
      <c r="H45" s="25" t="s">
        <v>50</v>
      </c>
      <c r="I45" s="25" t="s">
        <v>51</v>
      </c>
    </row>
    <row r="46" customFormat="false" ht="15" hidden="false" customHeight="false" outlineLevel="0" collapsed="false">
      <c r="A46" s="21" t="n">
        <v>3</v>
      </c>
      <c r="B46" s="22" t="s">
        <v>117</v>
      </c>
      <c r="C46" s="23"/>
      <c r="D46" s="24"/>
      <c r="E46" s="25" t="s">
        <v>54</v>
      </c>
      <c r="F46" s="15" t="s">
        <v>118</v>
      </c>
      <c r="G46" s="25" t="s">
        <v>49</v>
      </c>
      <c r="H46" s="25" t="s">
        <v>50</v>
      </c>
      <c r="I46" s="25" t="s">
        <v>51</v>
      </c>
    </row>
    <row r="47" customFormat="false" ht="15" hidden="false" customHeight="false" outlineLevel="0" collapsed="false">
      <c r="A47" s="21" t="n">
        <v>3</v>
      </c>
      <c r="B47" s="22" t="s">
        <v>119</v>
      </c>
      <c r="C47" s="23"/>
      <c r="D47" s="24"/>
      <c r="E47" s="25" t="s">
        <v>54</v>
      </c>
      <c r="F47" s="15" t="s">
        <v>120</v>
      </c>
      <c r="G47" s="25" t="s">
        <v>49</v>
      </c>
      <c r="H47" s="25" t="s">
        <v>50</v>
      </c>
      <c r="I47" s="25" t="s">
        <v>51</v>
      </c>
    </row>
    <row r="48" customFormat="false" ht="15" hidden="false" customHeight="false" outlineLevel="0" collapsed="false">
      <c r="A48" s="21" t="n">
        <v>3</v>
      </c>
      <c r="B48" s="22" t="s">
        <v>121</v>
      </c>
      <c r="C48" s="23"/>
      <c r="D48" s="24"/>
      <c r="E48" s="25" t="s">
        <v>54</v>
      </c>
      <c r="F48" s="15" t="s">
        <v>122</v>
      </c>
      <c r="G48" s="25" t="s">
        <v>49</v>
      </c>
      <c r="H48" s="25" t="s">
        <v>50</v>
      </c>
      <c r="I48" s="25" t="s">
        <v>51</v>
      </c>
    </row>
    <row r="49" customFormat="false" ht="15" hidden="false" customHeight="false" outlineLevel="0" collapsed="false">
      <c r="A49" s="21" t="n">
        <v>3</v>
      </c>
      <c r="B49" s="22" t="s">
        <v>123</v>
      </c>
      <c r="C49" s="23"/>
      <c r="D49" s="24"/>
      <c r="E49" s="25" t="s">
        <v>54</v>
      </c>
      <c r="F49" s="15" t="s">
        <v>124</v>
      </c>
      <c r="G49" s="25" t="s">
        <v>49</v>
      </c>
      <c r="H49" s="25" t="s">
        <v>50</v>
      </c>
      <c r="I49" s="25" t="s">
        <v>51</v>
      </c>
    </row>
    <row r="50" customFormat="false" ht="15" hidden="false" customHeight="false" outlineLevel="0" collapsed="false">
      <c r="A50" s="21" t="n">
        <v>3</v>
      </c>
      <c r="B50" s="22" t="s">
        <v>125</v>
      </c>
      <c r="C50" s="23"/>
      <c r="D50" s="24"/>
      <c r="E50" s="25" t="s">
        <v>54</v>
      </c>
      <c r="F50" s="15" t="s">
        <v>78</v>
      </c>
      <c r="G50" s="25" t="s">
        <v>49</v>
      </c>
      <c r="H50" s="25" t="s">
        <v>50</v>
      </c>
      <c r="I50" s="25" t="s">
        <v>51</v>
      </c>
    </row>
    <row r="51" customFormat="false" ht="24" hidden="false" customHeight="true" outlineLevel="0" collapsed="false">
      <c r="A51" s="19"/>
      <c r="B51" s="20" t="s">
        <v>126</v>
      </c>
      <c r="C51" s="20"/>
      <c r="D51" s="20"/>
      <c r="E51" s="20"/>
      <c r="F51" s="20"/>
      <c r="G51" s="20"/>
      <c r="H51" s="20"/>
      <c r="I51" s="20"/>
    </row>
    <row r="52" customFormat="false" ht="15" hidden="false" customHeight="false" outlineLevel="0" collapsed="false">
      <c r="A52" s="27" t="n">
        <v>4</v>
      </c>
      <c r="B52" s="28" t="s">
        <v>127</v>
      </c>
      <c r="C52" s="23"/>
      <c r="D52" s="24"/>
      <c r="E52" s="25" t="s">
        <v>54</v>
      </c>
      <c r="F52" s="15" t="s">
        <v>128</v>
      </c>
      <c r="G52" s="25" t="s">
        <v>49</v>
      </c>
      <c r="H52" s="25" t="s">
        <v>50</v>
      </c>
      <c r="I52" s="25" t="s">
        <v>51</v>
      </c>
    </row>
    <row r="53" customFormat="false" ht="15" hidden="false" customHeight="false" outlineLevel="0" collapsed="false">
      <c r="A53" s="27" t="n">
        <v>4</v>
      </c>
      <c r="B53" s="28" t="s">
        <v>45</v>
      </c>
      <c r="C53" s="23"/>
      <c r="D53" s="24"/>
      <c r="E53" s="25" t="s">
        <v>54</v>
      </c>
      <c r="F53" s="15" t="s">
        <v>45</v>
      </c>
      <c r="G53" s="25" t="s">
        <v>49</v>
      </c>
      <c r="H53" s="25" t="s">
        <v>50</v>
      </c>
      <c r="I53" s="25" t="s">
        <v>51</v>
      </c>
    </row>
    <row r="54" customFormat="false" ht="15" hidden="false" customHeight="false" outlineLevel="0" collapsed="false">
      <c r="A54" s="27" t="n">
        <v>4</v>
      </c>
      <c r="B54" s="28" t="s">
        <v>129</v>
      </c>
      <c r="C54" s="23"/>
      <c r="D54" s="24"/>
      <c r="E54" s="25" t="s">
        <v>54</v>
      </c>
      <c r="F54" s="15" t="s">
        <v>69</v>
      </c>
      <c r="G54" s="25" t="s">
        <v>49</v>
      </c>
      <c r="H54" s="25" t="s">
        <v>50</v>
      </c>
      <c r="I54" s="25" t="s">
        <v>51</v>
      </c>
    </row>
    <row r="55" customFormat="false" ht="15" hidden="false" customHeight="false" outlineLevel="0" collapsed="false">
      <c r="A55" s="27" t="n">
        <v>4</v>
      </c>
      <c r="B55" s="28" t="s">
        <v>130</v>
      </c>
      <c r="C55" s="23"/>
      <c r="D55" s="24"/>
      <c r="E55" s="25" t="s">
        <v>54</v>
      </c>
      <c r="F55" s="15" t="s">
        <v>131</v>
      </c>
      <c r="G55" s="25" t="s">
        <v>49</v>
      </c>
      <c r="H55" s="25" t="s">
        <v>50</v>
      </c>
      <c r="I55" s="25" t="s">
        <v>51</v>
      </c>
    </row>
    <row r="56" customFormat="false" ht="15" hidden="false" customHeight="false" outlineLevel="0" collapsed="false">
      <c r="A56" s="27" t="n">
        <v>4</v>
      </c>
      <c r="B56" s="28" t="s">
        <v>132</v>
      </c>
      <c r="C56" s="23"/>
      <c r="D56" s="24"/>
      <c r="E56" s="25" t="s">
        <v>54</v>
      </c>
      <c r="F56" s="15" t="s">
        <v>132</v>
      </c>
      <c r="G56" s="25" t="s">
        <v>49</v>
      </c>
      <c r="H56" s="25" t="s">
        <v>50</v>
      </c>
      <c r="I56" s="25" t="s">
        <v>51</v>
      </c>
    </row>
    <row r="57" customFormat="false" ht="15" hidden="false" customHeight="false" outlineLevel="0" collapsed="false">
      <c r="A57" s="27" t="n">
        <v>4</v>
      </c>
      <c r="B57" s="28" t="s">
        <v>133</v>
      </c>
      <c r="C57" s="23"/>
      <c r="D57" s="24"/>
      <c r="E57" s="25" t="s">
        <v>54</v>
      </c>
      <c r="F57" s="15" t="s">
        <v>134</v>
      </c>
      <c r="G57" s="25" t="s">
        <v>49</v>
      </c>
      <c r="H57" s="25" t="s">
        <v>50</v>
      </c>
      <c r="I57" s="25" t="s">
        <v>51</v>
      </c>
    </row>
    <row r="58" customFormat="false" ht="15" hidden="false" customHeight="false" outlineLevel="0" collapsed="false">
      <c r="A58" s="27" t="n">
        <v>4</v>
      </c>
      <c r="B58" s="28" t="s">
        <v>135</v>
      </c>
      <c r="C58" s="23"/>
      <c r="D58" s="24"/>
      <c r="E58" s="25" t="s">
        <v>54</v>
      </c>
      <c r="F58" s="15" t="s">
        <v>136</v>
      </c>
      <c r="G58" s="25" t="s">
        <v>49</v>
      </c>
      <c r="H58" s="25" t="s">
        <v>50</v>
      </c>
      <c r="I58" s="25" t="s">
        <v>51</v>
      </c>
    </row>
    <row r="59" customFormat="false" ht="15" hidden="false" customHeight="false" outlineLevel="0" collapsed="false">
      <c r="A59" s="27" t="n">
        <v>4</v>
      </c>
      <c r="B59" s="28" t="s">
        <v>137</v>
      </c>
      <c r="C59" s="23"/>
      <c r="D59" s="24"/>
      <c r="E59" s="25" t="s">
        <v>54</v>
      </c>
      <c r="F59" s="15" t="s">
        <v>138</v>
      </c>
      <c r="G59" s="25" t="s">
        <v>49</v>
      </c>
      <c r="H59" s="25" t="s">
        <v>50</v>
      </c>
      <c r="I59" s="25" t="s">
        <v>51</v>
      </c>
    </row>
    <row r="60" customFormat="false" ht="15" hidden="false" customHeight="false" outlineLevel="0" collapsed="false">
      <c r="A60" s="27" t="n">
        <v>4</v>
      </c>
      <c r="B60" s="28" t="s">
        <v>139</v>
      </c>
      <c r="C60" s="23"/>
      <c r="D60" s="24"/>
      <c r="E60" s="25" t="s">
        <v>54</v>
      </c>
      <c r="F60" s="15" t="s">
        <v>140</v>
      </c>
      <c r="G60" s="25" t="s">
        <v>49</v>
      </c>
      <c r="H60" s="25" t="s">
        <v>50</v>
      </c>
      <c r="I60" s="25" t="s">
        <v>51</v>
      </c>
    </row>
    <row r="61" customFormat="false" ht="15" hidden="false" customHeight="false" outlineLevel="0" collapsed="false">
      <c r="A61" s="27" t="n">
        <v>4</v>
      </c>
      <c r="B61" s="28" t="s">
        <v>141</v>
      </c>
      <c r="C61" s="23"/>
      <c r="D61" s="24"/>
      <c r="E61" s="25" t="s">
        <v>54</v>
      </c>
      <c r="F61" s="15" t="s">
        <v>90</v>
      </c>
      <c r="G61" s="25" t="s">
        <v>49</v>
      </c>
      <c r="H61" s="25" t="s">
        <v>50</v>
      </c>
      <c r="I61" s="25" t="s">
        <v>51</v>
      </c>
    </row>
    <row r="62" customFormat="false" ht="15" hidden="false" customHeight="false" outlineLevel="0" collapsed="false">
      <c r="A62" s="27" t="n">
        <v>4</v>
      </c>
      <c r="B62" s="28" t="s">
        <v>142</v>
      </c>
      <c r="C62" s="23"/>
      <c r="D62" s="24"/>
      <c r="E62" s="25" t="s">
        <v>54</v>
      </c>
      <c r="F62" s="15" t="s">
        <v>143</v>
      </c>
      <c r="G62" s="25" t="s">
        <v>49</v>
      </c>
      <c r="H62" s="25" t="s">
        <v>50</v>
      </c>
      <c r="I62" s="25" t="s">
        <v>51</v>
      </c>
    </row>
    <row r="63" customFormat="false" ht="15" hidden="false" customHeight="false" outlineLevel="0" collapsed="false">
      <c r="A63" s="27" t="n">
        <v>4</v>
      </c>
      <c r="B63" s="28" t="s">
        <v>144</v>
      </c>
      <c r="C63" s="23"/>
      <c r="D63" s="24"/>
      <c r="E63" s="25" t="s">
        <v>54</v>
      </c>
      <c r="F63" s="15" t="s">
        <v>145</v>
      </c>
      <c r="G63" s="25" t="s">
        <v>49</v>
      </c>
      <c r="H63" s="25" t="s">
        <v>50</v>
      </c>
      <c r="I63" s="25" t="s">
        <v>51</v>
      </c>
    </row>
    <row r="64" customFormat="false" ht="15" hidden="false" customHeight="false" outlineLevel="0" collapsed="false">
      <c r="A64" s="27" t="n">
        <v>4</v>
      </c>
      <c r="B64" s="28" t="s">
        <v>146</v>
      </c>
      <c r="C64" s="23"/>
      <c r="D64" s="24"/>
      <c r="E64" s="25" t="s">
        <v>54</v>
      </c>
      <c r="F64" s="15" t="s">
        <v>145</v>
      </c>
      <c r="G64" s="25" t="s">
        <v>49</v>
      </c>
      <c r="H64" s="25" t="s">
        <v>50</v>
      </c>
      <c r="I64" s="25" t="s">
        <v>51</v>
      </c>
    </row>
    <row r="65" customFormat="false" ht="15" hidden="false" customHeight="false" outlineLevel="0" collapsed="false">
      <c r="A65" s="27" t="n">
        <v>4</v>
      </c>
      <c r="B65" s="28" t="s">
        <v>147</v>
      </c>
      <c r="C65" s="23"/>
      <c r="D65" s="24"/>
      <c r="E65" s="25" t="s">
        <v>54</v>
      </c>
      <c r="F65" s="15" t="s">
        <v>145</v>
      </c>
      <c r="G65" s="25" t="s">
        <v>49</v>
      </c>
      <c r="H65" s="25" t="s">
        <v>50</v>
      </c>
      <c r="I65" s="25" t="s">
        <v>51</v>
      </c>
    </row>
    <row r="66" customFormat="false" ht="15" hidden="false" customHeight="false" outlineLevel="0" collapsed="false">
      <c r="A66" s="27" t="n">
        <v>4</v>
      </c>
      <c r="B66" s="28" t="s">
        <v>148</v>
      </c>
      <c r="C66" s="23"/>
      <c r="D66" s="24"/>
      <c r="E66" s="25" t="s">
        <v>54</v>
      </c>
      <c r="F66" s="15" t="s">
        <v>149</v>
      </c>
      <c r="G66" s="25" t="s">
        <v>49</v>
      </c>
      <c r="H66" s="25" t="s">
        <v>50</v>
      </c>
      <c r="I66" s="25" t="s">
        <v>51</v>
      </c>
    </row>
    <row r="67" customFormat="false" ht="15" hidden="false" customHeight="false" outlineLevel="0" collapsed="false">
      <c r="A67" s="27" t="n">
        <v>4</v>
      </c>
      <c r="B67" s="28" t="s">
        <v>150</v>
      </c>
      <c r="C67" s="23"/>
      <c r="D67" s="24"/>
      <c r="E67" s="25" t="s">
        <v>54</v>
      </c>
      <c r="F67" s="15" t="s">
        <v>150</v>
      </c>
      <c r="G67" s="25" t="s">
        <v>49</v>
      </c>
      <c r="H67" s="25" t="s">
        <v>50</v>
      </c>
      <c r="I67" s="25" t="s">
        <v>51</v>
      </c>
    </row>
    <row r="68" customFormat="false" ht="15" hidden="false" customHeight="false" outlineLevel="0" collapsed="false">
      <c r="A68" s="27" t="n">
        <v>4</v>
      </c>
      <c r="B68" s="28" t="s">
        <v>151</v>
      </c>
      <c r="C68" s="23"/>
      <c r="D68" s="24"/>
      <c r="E68" s="25" t="s">
        <v>54</v>
      </c>
      <c r="F68" s="15" t="s">
        <v>152</v>
      </c>
      <c r="G68" s="25" t="s">
        <v>49</v>
      </c>
      <c r="H68" s="25" t="s">
        <v>50</v>
      </c>
      <c r="I68" s="25" t="s">
        <v>51</v>
      </c>
    </row>
    <row r="69" customFormat="false" ht="15" hidden="false" customHeight="false" outlineLevel="0" collapsed="false">
      <c r="A69" s="27" t="n">
        <v>4</v>
      </c>
      <c r="B69" s="28" t="s">
        <v>93</v>
      </c>
      <c r="C69" s="23"/>
      <c r="D69" s="24"/>
      <c r="E69" s="25" t="s">
        <v>54</v>
      </c>
      <c r="F69" s="15" t="s">
        <v>78</v>
      </c>
      <c r="G69" s="25" t="s">
        <v>49</v>
      </c>
      <c r="H69" s="25" t="s">
        <v>50</v>
      </c>
      <c r="I69" s="25" t="s">
        <v>51</v>
      </c>
    </row>
    <row r="70" customFormat="false" ht="24" hidden="false" customHeight="true" outlineLevel="0" collapsed="false">
      <c r="A70" s="19"/>
      <c r="B70" s="20" t="s">
        <v>153</v>
      </c>
      <c r="C70" s="20"/>
      <c r="D70" s="20"/>
      <c r="E70" s="20"/>
      <c r="F70" s="20"/>
      <c r="G70" s="20"/>
      <c r="H70" s="20"/>
      <c r="I70" s="20"/>
    </row>
    <row r="71" customFormat="false" ht="15" hidden="false" customHeight="false" outlineLevel="0" collapsed="false">
      <c r="A71" s="27" t="n">
        <v>5</v>
      </c>
      <c r="B71" s="28" t="s">
        <v>154</v>
      </c>
      <c r="C71" s="23"/>
      <c r="D71" s="24"/>
      <c r="E71" s="25" t="s">
        <v>54</v>
      </c>
      <c r="F71" s="15" t="s">
        <v>81</v>
      </c>
      <c r="G71" s="25" t="s">
        <v>49</v>
      </c>
      <c r="H71" s="25" t="s">
        <v>50</v>
      </c>
      <c r="I71" s="25" t="s">
        <v>51</v>
      </c>
    </row>
    <row r="72" customFormat="false" ht="15" hidden="false" customHeight="false" outlineLevel="0" collapsed="false">
      <c r="A72" s="27" t="n">
        <v>5</v>
      </c>
      <c r="B72" s="28" t="s">
        <v>155</v>
      </c>
      <c r="C72" s="23"/>
      <c r="D72" s="24"/>
      <c r="E72" s="25" t="s">
        <v>54</v>
      </c>
      <c r="F72" s="15" t="s">
        <v>155</v>
      </c>
      <c r="G72" s="25" t="s">
        <v>49</v>
      </c>
      <c r="H72" s="25" t="s">
        <v>50</v>
      </c>
      <c r="I72" s="25" t="s">
        <v>51</v>
      </c>
    </row>
    <row r="73" customFormat="false" ht="15" hidden="false" customHeight="false" outlineLevel="0" collapsed="false">
      <c r="A73" s="27" t="n">
        <v>5</v>
      </c>
      <c r="B73" s="28" t="s">
        <v>156</v>
      </c>
      <c r="C73" s="23"/>
      <c r="D73" s="24"/>
      <c r="E73" s="25" t="s">
        <v>54</v>
      </c>
      <c r="F73" s="15" t="s">
        <v>157</v>
      </c>
      <c r="G73" s="25" t="s">
        <v>49</v>
      </c>
      <c r="H73" s="25" t="s">
        <v>50</v>
      </c>
      <c r="I73" s="25" t="s">
        <v>51</v>
      </c>
    </row>
    <row r="74" customFormat="false" ht="15" hidden="false" customHeight="false" outlineLevel="0" collapsed="false">
      <c r="A74" s="27" t="n">
        <v>5</v>
      </c>
      <c r="B74" s="28" t="s">
        <v>158</v>
      </c>
      <c r="C74" s="23"/>
      <c r="D74" s="24"/>
      <c r="E74" s="25" t="s">
        <v>54</v>
      </c>
      <c r="F74" s="15" t="s">
        <v>159</v>
      </c>
      <c r="G74" s="25" t="s">
        <v>49</v>
      </c>
      <c r="H74" s="25" t="s">
        <v>50</v>
      </c>
      <c r="I74" s="25" t="s">
        <v>51</v>
      </c>
    </row>
    <row r="75" customFormat="false" ht="15" hidden="false" customHeight="false" outlineLevel="0" collapsed="false">
      <c r="A75" s="27" t="n">
        <v>5</v>
      </c>
      <c r="B75" s="28" t="s">
        <v>160</v>
      </c>
      <c r="C75" s="23"/>
      <c r="D75" s="24"/>
      <c r="E75" s="25" t="s">
        <v>54</v>
      </c>
      <c r="F75" s="15" t="s">
        <v>161</v>
      </c>
      <c r="G75" s="25" t="s">
        <v>49</v>
      </c>
      <c r="H75" s="25" t="s">
        <v>50</v>
      </c>
      <c r="I75" s="25" t="s">
        <v>51</v>
      </c>
    </row>
    <row r="76" customFormat="false" ht="15" hidden="false" customHeight="false" outlineLevel="0" collapsed="false">
      <c r="A76" s="27" t="n">
        <v>5</v>
      </c>
      <c r="B76" s="28" t="s">
        <v>162</v>
      </c>
      <c r="C76" s="23"/>
      <c r="D76" s="24"/>
      <c r="E76" s="25" t="s">
        <v>54</v>
      </c>
      <c r="F76" s="15" t="s">
        <v>163</v>
      </c>
      <c r="G76" s="25" t="s">
        <v>49</v>
      </c>
      <c r="H76" s="25" t="s">
        <v>50</v>
      </c>
      <c r="I76" s="25" t="s">
        <v>51</v>
      </c>
    </row>
    <row r="77" customFormat="false" ht="15" hidden="false" customHeight="false" outlineLevel="0" collapsed="false">
      <c r="A77" s="27" t="n">
        <v>5</v>
      </c>
      <c r="B77" s="28" t="s">
        <v>164</v>
      </c>
      <c r="C77" s="23"/>
      <c r="D77" s="24"/>
      <c r="E77" s="25" t="s">
        <v>54</v>
      </c>
      <c r="F77" s="15" t="s">
        <v>165</v>
      </c>
      <c r="G77" s="25" t="s">
        <v>49</v>
      </c>
      <c r="H77" s="25" t="s">
        <v>50</v>
      </c>
      <c r="I77" s="25" t="s">
        <v>51</v>
      </c>
    </row>
    <row r="78" customFormat="false" ht="15" hidden="false" customHeight="false" outlineLevel="0" collapsed="false">
      <c r="A78" s="27" t="n">
        <v>5</v>
      </c>
      <c r="B78" s="28" t="s">
        <v>166</v>
      </c>
      <c r="C78" s="23"/>
      <c r="D78" s="24"/>
      <c r="E78" s="25" t="s">
        <v>54</v>
      </c>
      <c r="F78" s="15" t="s">
        <v>166</v>
      </c>
      <c r="G78" s="25" t="s">
        <v>49</v>
      </c>
      <c r="H78" s="25" t="s">
        <v>50</v>
      </c>
      <c r="I78" s="25" t="s">
        <v>51</v>
      </c>
    </row>
    <row r="79" customFormat="false" ht="15" hidden="false" customHeight="false" outlineLevel="0" collapsed="false">
      <c r="A79" s="27" t="n">
        <v>5</v>
      </c>
      <c r="B79" s="28" t="s">
        <v>167</v>
      </c>
      <c r="C79" s="23"/>
      <c r="D79" s="24"/>
      <c r="E79" s="25" t="s">
        <v>54</v>
      </c>
      <c r="F79" s="15" t="s">
        <v>168</v>
      </c>
      <c r="G79" s="25" t="s">
        <v>49</v>
      </c>
      <c r="H79" s="25" t="s">
        <v>50</v>
      </c>
      <c r="I79" s="25" t="s">
        <v>51</v>
      </c>
    </row>
    <row r="80" customFormat="false" ht="15" hidden="false" customHeight="false" outlineLevel="0" collapsed="false">
      <c r="A80" s="27" t="n">
        <v>5</v>
      </c>
      <c r="B80" s="28" t="s">
        <v>169</v>
      </c>
      <c r="C80" s="23"/>
      <c r="D80" s="24"/>
      <c r="E80" s="25" t="s">
        <v>54</v>
      </c>
      <c r="F80" s="15" t="s">
        <v>170</v>
      </c>
      <c r="G80" s="25" t="s">
        <v>49</v>
      </c>
      <c r="H80" s="25" t="s">
        <v>50</v>
      </c>
      <c r="I80" s="25" t="s">
        <v>51</v>
      </c>
    </row>
    <row r="81" customFormat="false" ht="15" hidden="false" customHeight="false" outlineLevel="0" collapsed="false">
      <c r="A81" s="27" t="n">
        <v>5</v>
      </c>
      <c r="B81" s="28" t="s">
        <v>171</v>
      </c>
      <c r="C81" s="23"/>
      <c r="D81" s="24"/>
      <c r="E81" s="25" t="s">
        <v>54</v>
      </c>
      <c r="F81" s="15" t="s">
        <v>172</v>
      </c>
      <c r="G81" s="25" t="s">
        <v>49</v>
      </c>
      <c r="H81" s="25" t="s">
        <v>50</v>
      </c>
      <c r="I81" s="25" t="s">
        <v>51</v>
      </c>
    </row>
    <row r="82" customFormat="false" ht="15" hidden="false" customHeight="false" outlineLevel="0" collapsed="false">
      <c r="A82" s="27" t="n">
        <v>5</v>
      </c>
      <c r="B82" s="28" t="s">
        <v>173</v>
      </c>
      <c r="C82" s="23"/>
      <c r="D82" s="24"/>
      <c r="E82" s="25" t="s">
        <v>54</v>
      </c>
      <c r="F82" s="15" t="s">
        <v>173</v>
      </c>
      <c r="G82" s="25" t="s">
        <v>49</v>
      </c>
      <c r="H82" s="25" t="s">
        <v>50</v>
      </c>
      <c r="I82" s="25" t="s">
        <v>51</v>
      </c>
    </row>
    <row r="83" customFormat="false" ht="15" hidden="false" customHeight="false" outlineLevel="0" collapsed="false">
      <c r="A83" s="27" t="n">
        <v>5</v>
      </c>
      <c r="B83" s="28" t="s">
        <v>174</v>
      </c>
      <c r="C83" s="23"/>
      <c r="D83" s="24"/>
      <c r="E83" s="25" t="s">
        <v>54</v>
      </c>
      <c r="F83" s="15" t="s">
        <v>72</v>
      </c>
      <c r="G83" s="25" t="s">
        <v>49</v>
      </c>
      <c r="H83" s="25" t="s">
        <v>50</v>
      </c>
      <c r="I83" s="25" t="s">
        <v>51</v>
      </c>
    </row>
    <row r="84" customFormat="false" ht="24" hidden="false" customHeight="true" outlineLevel="0" collapsed="false">
      <c r="A84" s="19"/>
      <c r="B84" s="20" t="s">
        <v>175</v>
      </c>
      <c r="C84" s="20"/>
      <c r="D84" s="20"/>
      <c r="E84" s="20"/>
      <c r="F84" s="20"/>
      <c r="G84" s="20"/>
      <c r="H84" s="20"/>
      <c r="I84" s="20"/>
    </row>
    <row r="85" customFormat="false" ht="15" hidden="false" customHeight="false" outlineLevel="0" collapsed="false">
      <c r="A85" s="29" t="n">
        <v>6</v>
      </c>
      <c r="B85" s="30" t="s">
        <v>176</v>
      </c>
      <c r="C85" s="23"/>
      <c r="D85" s="24"/>
      <c r="E85" s="25" t="s">
        <v>54</v>
      </c>
      <c r="F85" s="15" t="s">
        <v>177</v>
      </c>
      <c r="G85" s="25" t="s">
        <v>49</v>
      </c>
      <c r="H85" s="25" t="s">
        <v>50</v>
      </c>
      <c r="I85" s="25" t="s">
        <v>51</v>
      </c>
    </row>
    <row r="86" customFormat="false" ht="15" hidden="false" customHeight="false" outlineLevel="0" collapsed="false">
      <c r="A86" s="29" t="n">
        <v>6</v>
      </c>
      <c r="B86" s="30" t="s">
        <v>178</v>
      </c>
      <c r="C86" s="23"/>
      <c r="D86" s="24"/>
      <c r="E86" s="25" t="s">
        <v>54</v>
      </c>
      <c r="F86" s="15" t="s">
        <v>45</v>
      </c>
      <c r="G86" s="25" t="s">
        <v>49</v>
      </c>
      <c r="H86" s="25" t="s">
        <v>50</v>
      </c>
      <c r="I86" s="25" t="s">
        <v>51</v>
      </c>
    </row>
    <row r="87" customFormat="false" ht="15" hidden="false" customHeight="false" outlineLevel="0" collapsed="false">
      <c r="A87" s="29" t="n">
        <v>6</v>
      </c>
      <c r="B87" s="30" t="s">
        <v>179</v>
      </c>
      <c r="C87" s="23"/>
      <c r="D87" s="24"/>
      <c r="E87" s="25" t="s">
        <v>54</v>
      </c>
      <c r="F87" s="15" t="s">
        <v>180</v>
      </c>
      <c r="G87" s="25" t="s">
        <v>49</v>
      </c>
      <c r="H87" s="25" t="s">
        <v>50</v>
      </c>
      <c r="I87" s="25" t="s">
        <v>51</v>
      </c>
    </row>
    <row r="88" customFormat="false" ht="15" hidden="false" customHeight="false" outlineLevel="0" collapsed="false">
      <c r="A88" s="29" t="n">
        <v>6</v>
      </c>
      <c r="B88" s="30" t="s">
        <v>181</v>
      </c>
      <c r="C88" s="23"/>
      <c r="D88" s="24"/>
      <c r="E88" s="25" t="s">
        <v>54</v>
      </c>
      <c r="F88" s="15" t="s">
        <v>181</v>
      </c>
      <c r="G88" s="25" t="s">
        <v>49</v>
      </c>
      <c r="H88" s="25" t="s">
        <v>50</v>
      </c>
      <c r="I88" s="25" t="s">
        <v>51</v>
      </c>
    </row>
    <row r="89" customFormat="false" ht="15" hidden="false" customHeight="false" outlineLevel="0" collapsed="false">
      <c r="A89" s="29" t="n">
        <v>6</v>
      </c>
      <c r="B89" s="30" t="s">
        <v>182</v>
      </c>
      <c r="C89" s="23"/>
      <c r="D89" s="24"/>
      <c r="E89" s="25" t="s">
        <v>54</v>
      </c>
      <c r="F89" s="15" t="s">
        <v>183</v>
      </c>
      <c r="G89" s="25" t="s">
        <v>49</v>
      </c>
      <c r="H89" s="25" t="s">
        <v>50</v>
      </c>
      <c r="I89" s="25" t="s">
        <v>51</v>
      </c>
    </row>
    <row r="90" customFormat="false" ht="15" hidden="false" customHeight="false" outlineLevel="0" collapsed="false">
      <c r="A90" s="29" t="n">
        <v>6</v>
      </c>
      <c r="B90" s="30" t="s">
        <v>184</v>
      </c>
      <c r="C90" s="23"/>
      <c r="D90" s="24"/>
      <c r="E90" s="25" t="s">
        <v>54</v>
      </c>
      <c r="F90" s="15" t="s">
        <v>185</v>
      </c>
      <c r="G90" s="25" t="s">
        <v>49</v>
      </c>
      <c r="H90" s="25" t="s">
        <v>50</v>
      </c>
      <c r="I90" s="25" t="s">
        <v>51</v>
      </c>
    </row>
    <row r="91" customFormat="false" ht="15" hidden="false" customHeight="false" outlineLevel="0" collapsed="false">
      <c r="A91" s="29" t="n">
        <v>6</v>
      </c>
      <c r="B91" s="30" t="s">
        <v>186</v>
      </c>
      <c r="C91" s="23"/>
      <c r="D91" s="24"/>
      <c r="E91" s="25" t="s">
        <v>54</v>
      </c>
      <c r="F91" s="15" t="s">
        <v>187</v>
      </c>
      <c r="G91" s="25" t="s">
        <v>49</v>
      </c>
      <c r="H91" s="25" t="s">
        <v>50</v>
      </c>
      <c r="I91" s="25" t="s">
        <v>51</v>
      </c>
    </row>
    <row r="92" customFormat="false" ht="15" hidden="false" customHeight="false" outlineLevel="0" collapsed="false">
      <c r="A92" s="29" t="n">
        <v>6</v>
      </c>
      <c r="B92" s="30" t="s">
        <v>188</v>
      </c>
      <c r="C92" s="23"/>
      <c r="D92" s="24"/>
      <c r="E92" s="25" t="s">
        <v>54</v>
      </c>
      <c r="F92" s="15" t="s">
        <v>189</v>
      </c>
      <c r="G92" s="25" t="s">
        <v>49</v>
      </c>
      <c r="H92" s="25" t="s">
        <v>50</v>
      </c>
      <c r="I92" s="25" t="s">
        <v>51</v>
      </c>
    </row>
    <row r="93" customFormat="false" ht="15" hidden="false" customHeight="false" outlineLevel="0" collapsed="false">
      <c r="A93" s="29" t="n">
        <v>6</v>
      </c>
      <c r="B93" s="30" t="s">
        <v>167</v>
      </c>
      <c r="C93" s="23"/>
      <c r="D93" s="24"/>
      <c r="E93" s="25" t="s">
        <v>54</v>
      </c>
      <c r="F93" s="15" t="s">
        <v>168</v>
      </c>
      <c r="G93" s="25" t="s">
        <v>49</v>
      </c>
      <c r="H93" s="25" t="s">
        <v>50</v>
      </c>
      <c r="I93" s="25" t="s">
        <v>51</v>
      </c>
    </row>
    <row r="94" customFormat="false" ht="15" hidden="false" customHeight="false" outlineLevel="0" collapsed="false">
      <c r="A94" s="29" t="n">
        <v>6</v>
      </c>
      <c r="B94" s="30" t="s">
        <v>190</v>
      </c>
      <c r="C94" s="23"/>
      <c r="D94" s="24"/>
      <c r="E94" s="25" t="s">
        <v>54</v>
      </c>
      <c r="F94" s="15" t="s">
        <v>145</v>
      </c>
      <c r="G94" s="25" t="s">
        <v>49</v>
      </c>
      <c r="H94" s="25" t="s">
        <v>50</v>
      </c>
      <c r="I94" s="25" t="s">
        <v>51</v>
      </c>
    </row>
    <row r="95" customFormat="false" ht="15" hidden="false" customHeight="false" outlineLevel="0" collapsed="false">
      <c r="A95" s="29" t="n">
        <v>6</v>
      </c>
      <c r="B95" s="30" t="s">
        <v>191</v>
      </c>
      <c r="C95" s="23"/>
      <c r="D95" s="24"/>
      <c r="E95" s="25" t="s">
        <v>54</v>
      </c>
      <c r="F95" s="15" t="s">
        <v>192</v>
      </c>
      <c r="G95" s="25" t="s">
        <v>49</v>
      </c>
      <c r="H95" s="25" t="s">
        <v>50</v>
      </c>
      <c r="I95" s="25" t="s">
        <v>51</v>
      </c>
    </row>
    <row r="96" customFormat="false" ht="15" hidden="false" customHeight="false" outlineLevel="0" collapsed="false">
      <c r="A96" s="29" t="n">
        <v>6</v>
      </c>
      <c r="B96" s="30" t="s">
        <v>193</v>
      </c>
      <c r="C96" s="23"/>
      <c r="D96" s="24"/>
      <c r="E96" s="25" t="s">
        <v>54</v>
      </c>
      <c r="F96" s="15" t="s">
        <v>194</v>
      </c>
      <c r="G96" s="25" t="s">
        <v>49</v>
      </c>
      <c r="H96" s="25" t="s">
        <v>50</v>
      </c>
      <c r="I96" s="25" t="s">
        <v>51</v>
      </c>
    </row>
    <row r="97" customFormat="false" ht="15" hidden="false" customHeight="false" outlineLevel="0" collapsed="false">
      <c r="A97" s="29" t="n">
        <v>6</v>
      </c>
      <c r="B97" s="30" t="s">
        <v>195</v>
      </c>
      <c r="C97" s="23"/>
      <c r="D97" s="24"/>
      <c r="E97" s="25" t="s">
        <v>54</v>
      </c>
      <c r="F97" s="15" t="s">
        <v>196</v>
      </c>
      <c r="G97" s="25" t="s">
        <v>49</v>
      </c>
      <c r="H97" s="25" t="s">
        <v>50</v>
      </c>
      <c r="I97" s="25" t="s">
        <v>51</v>
      </c>
    </row>
    <row r="98" customFormat="false" ht="15" hidden="false" customHeight="false" outlineLevel="0" collapsed="false">
      <c r="A98" s="29" t="n">
        <v>6</v>
      </c>
      <c r="B98" s="30" t="s">
        <v>197</v>
      </c>
      <c r="C98" s="23"/>
      <c r="D98" s="24"/>
      <c r="E98" s="25" t="s">
        <v>54</v>
      </c>
      <c r="F98" s="15" t="s">
        <v>197</v>
      </c>
      <c r="G98" s="25" t="s">
        <v>49</v>
      </c>
      <c r="H98" s="25" t="s">
        <v>50</v>
      </c>
      <c r="I98" s="25" t="s">
        <v>51</v>
      </c>
    </row>
    <row r="99" customFormat="false" ht="15" hidden="false" customHeight="false" outlineLevel="0" collapsed="false">
      <c r="A99" s="29" t="n">
        <v>6</v>
      </c>
      <c r="B99" s="30" t="s">
        <v>198</v>
      </c>
      <c r="C99" s="23"/>
      <c r="D99" s="24"/>
      <c r="E99" s="25" t="s">
        <v>54</v>
      </c>
      <c r="F99" s="15" t="s">
        <v>199</v>
      </c>
      <c r="G99" s="25" t="s">
        <v>49</v>
      </c>
      <c r="H99" s="25" t="s">
        <v>50</v>
      </c>
      <c r="I99" s="25" t="s">
        <v>51</v>
      </c>
    </row>
    <row r="100" customFormat="false" ht="15" hidden="false" customHeight="false" outlineLevel="0" collapsed="false">
      <c r="A100" s="29" t="n">
        <v>6</v>
      </c>
      <c r="B100" s="30" t="s">
        <v>200</v>
      </c>
      <c r="C100" s="23"/>
      <c r="D100" s="24"/>
      <c r="E100" s="25" t="s">
        <v>54</v>
      </c>
      <c r="F100" s="15" t="s">
        <v>201</v>
      </c>
      <c r="G100" s="25" t="s">
        <v>49</v>
      </c>
      <c r="H100" s="25" t="s">
        <v>50</v>
      </c>
      <c r="I100" s="25" t="s">
        <v>51</v>
      </c>
    </row>
    <row r="101" customFormat="false" ht="15" hidden="false" customHeight="false" outlineLevel="0" collapsed="false">
      <c r="A101" s="29" t="n">
        <v>6</v>
      </c>
      <c r="B101" s="30" t="s">
        <v>202</v>
      </c>
      <c r="C101" s="23"/>
      <c r="D101" s="24"/>
      <c r="E101" s="25" t="s">
        <v>54</v>
      </c>
      <c r="F101" s="15" t="s">
        <v>203</v>
      </c>
      <c r="G101" s="25" t="s">
        <v>49</v>
      </c>
      <c r="H101" s="25" t="s">
        <v>50</v>
      </c>
      <c r="I101" s="25" t="s">
        <v>51</v>
      </c>
    </row>
    <row r="102" customFormat="false" ht="24" hidden="false" customHeight="true" outlineLevel="0" collapsed="false">
      <c r="A102" s="19"/>
      <c r="B102" s="20" t="s">
        <v>204</v>
      </c>
      <c r="C102" s="20"/>
      <c r="D102" s="20"/>
      <c r="E102" s="20"/>
      <c r="F102" s="20"/>
      <c r="G102" s="20"/>
      <c r="H102" s="20"/>
      <c r="I102" s="20"/>
    </row>
    <row r="103" customFormat="false" ht="15" hidden="false" customHeight="false" outlineLevel="0" collapsed="false">
      <c r="A103" s="31" t="n">
        <v>7</v>
      </c>
      <c r="B103" s="32" t="s">
        <v>205</v>
      </c>
      <c r="C103" s="23"/>
      <c r="D103" s="24"/>
      <c r="E103" s="25" t="s">
        <v>54</v>
      </c>
      <c r="F103" s="15" t="s">
        <v>205</v>
      </c>
      <c r="G103" s="25" t="s">
        <v>49</v>
      </c>
      <c r="H103" s="25" t="s">
        <v>50</v>
      </c>
      <c r="I103" s="25" t="s">
        <v>51</v>
      </c>
    </row>
    <row r="104" customFormat="false" ht="15" hidden="false" customHeight="false" outlineLevel="0" collapsed="false">
      <c r="A104" s="31" t="n">
        <v>7</v>
      </c>
      <c r="B104" s="32" t="s">
        <v>206</v>
      </c>
      <c r="C104" s="23"/>
      <c r="D104" s="24"/>
      <c r="E104" s="25" t="s">
        <v>54</v>
      </c>
      <c r="F104" s="15" t="s">
        <v>206</v>
      </c>
      <c r="G104" s="25" t="s">
        <v>49</v>
      </c>
      <c r="H104" s="25" t="s">
        <v>50</v>
      </c>
      <c r="I104" s="25" t="s">
        <v>51</v>
      </c>
    </row>
    <row r="105" customFormat="false" ht="15" hidden="false" customHeight="false" outlineLevel="0" collapsed="false">
      <c r="A105" s="31" t="n">
        <v>7</v>
      </c>
      <c r="B105" s="32" t="s">
        <v>179</v>
      </c>
      <c r="C105" s="23"/>
      <c r="D105" s="24"/>
      <c r="E105" s="25" t="s">
        <v>54</v>
      </c>
      <c r="F105" s="15" t="s">
        <v>180</v>
      </c>
      <c r="G105" s="25" t="s">
        <v>49</v>
      </c>
      <c r="H105" s="25" t="s">
        <v>50</v>
      </c>
      <c r="I105" s="25" t="s">
        <v>51</v>
      </c>
    </row>
    <row r="106" customFormat="false" ht="15" hidden="false" customHeight="false" outlineLevel="0" collapsed="false">
      <c r="A106" s="31" t="n">
        <v>7</v>
      </c>
      <c r="B106" s="32" t="s">
        <v>207</v>
      </c>
      <c r="C106" s="23"/>
      <c r="D106" s="24"/>
      <c r="E106" s="25" t="s">
        <v>54</v>
      </c>
      <c r="F106" s="15" t="s">
        <v>163</v>
      </c>
      <c r="G106" s="25" t="s">
        <v>49</v>
      </c>
      <c r="H106" s="25" t="s">
        <v>50</v>
      </c>
      <c r="I106" s="25" t="s">
        <v>51</v>
      </c>
    </row>
    <row r="107" customFormat="false" ht="15" hidden="false" customHeight="false" outlineLevel="0" collapsed="false">
      <c r="A107" s="31" t="n">
        <v>7</v>
      </c>
      <c r="B107" s="32" t="s">
        <v>208</v>
      </c>
      <c r="C107" s="23"/>
      <c r="D107" s="24"/>
      <c r="E107" s="25" t="s">
        <v>54</v>
      </c>
      <c r="F107" s="15" t="s">
        <v>161</v>
      </c>
      <c r="G107" s="25" t="s">
        <v>49</v>
      </c>
      <c r="H107" s="25" t="s">
        <v>50</v>
      </c>
      <c r="I107" s="25" t="s">
        <v>51</v>
      </c>
    </row>
    <row r="108" customFormat="false" ht="15" hidden="false" customHeight="false" outlineLevel="0" collapsed="false">
      <c r="A108" s="31" t="n">
        <v>7</v>
      </c>
      <c r="B108" s="32" t="s">
        <v>209</v>
      </c>
      <c r="C108" s="23"/>
      <c r="D108" s="24"/>
      <c r="E108" s="25" t="s">
        <v>54</v>
      </c>
      <c r="F108" s="15" t="s">
        <v>209</v>
      </c>
      <c r="G108" s="25" t="s">
        <v>49</v>
      </c>
      <c r="H108" s="25" t="s">
        <v>50</v>
      </c>
      <c r="I108" s="25" t="s">
        <v>51</v>
      </c>
    </row>
    <row r="109" customFormat="false" ht="15" hidden="false" customHeight="false" outlineLevel="0" collapsed="false">
      <c r="A109" s="31" t="n">
        <v>7</v>
      </c>
      <c r="B109" s="32" t="s">
        <v>210</v>
      </c>
      <c r="C109" s="23"/>
      <c r="D109" s="24"/>
      <c r="E109" s="25" t="s">
        <v>54</v>
      </c>
      <c r="F109" s="15" t="s">
        <v>159</v>
      </c>
      <c r="G109" s="25" t="s">
        <v>49</v>
      </c>
      <c r="H109" s="25" t="s">
        <v>50</v>
      </c>
      <c r="I109" s="25" t="s">
        <v>51</v>
      </c>
    </row>
    <row r="110" customFormat="false" ht="15" hidden="false" customHeight="false" outlineLevel="0" collapsed="false">
      <c r="A110" s="31" t="n">
        <v>7</v>
      </c>
      <c r="B110" s="32" t="s">
        <v>211</v>
      </c>
      <c r="C110" s="23"/>
      <c r="D110" s="24"/>
      <c r="E110" s="25" t="s">
        <v>54</v>
      </c>
      <c r="F110" s="15" t="s">
        <v>212</v>
      </c>
      <c r="G110" s="25" t="s">
        <v>49</v>
      </c>
      <c r="H110" s="25" t="s">
        <v>50</v>
      </c>
      <c r="I110" s="25" t="s">
        <v>51</v>
      </c>
    </row>
    <row r="111" customFormat="false" ht="15" hidden="false" customHeight="false" outlineLevel="0" collapsed="false">
      <c r="A111" s="31" t="n">
        <v>7</v>
      </c>
      <c r="B111" s="32" t="s">
        <v>213</v>
      </c>
      <c r="C111" s="23"/>
      <c r="D111" s="24"/>
      <c r="E111" s="25" t="s">
        <v>54</v>
      </c>
      <c r="F111" s="15" t="s">
        <v>214</v>
      </c>
      <c r="G111" s="25" t="s">
        <v>49</v>
      </c>
      <c r="H111" s="25" t="s">
        <v>50</v>
      </c>
      <c r="I111" s="25" t="s">
        <v>51</v>
      </c>
    </row>
    <row r="112" customFormat="false" ht="15" hidden="false" customHeight="false" outlineLevel="0" collapsed="false">
      <c r="A112" s="31" t="n">
        <v>7</v>
      </c>
      <c r="B112" s="32" t="s">
        <v>215</v>
      </c>
      <c r="C112" s="23"/>
      <c r="D112" s="24"/>
      <c r="E112" s="25" t="s">
        <v>54</v>
      </c>
      <c r="F112" s="15" t="s">
        <v>214</v>
      </c>
      <c r="G112" s="25" t="s">
        <v>49</v>
      </c>
      <c r="H112" s="25" t="s">
        <v>50</v>
      </c>
      <c r="I112" s="25" t="s">
        <v>51</v>
      </c>
    </row>
    <row r="113" customFormat="false" ht="15" hidden="false" customHeight="false" outlineLevel="0" collapsed="false">
      <c r="A113" s="31" t="n">
        <v>7</v>
      </c>
      <c r="B113" s="32" t="s">
        <v>216</v>
      </c>
      <c r="C113" s="23"/>
      <c r="D113" s="24"/>
      <c r="E113" s="25" t="s">
        <v>54</v>
      </c>
      <c r="F113" s="15" t="s">
        <v>214</v>
      </c>
      <c r="G113" s="25" t="s">
        <v>49</v>
      </c>
      <c r="H113" s="25" t="s">
        <v>50</v>
      </c>
      <c r="I113" s="25" t="s">
        <v>51</v>
      </c>
    </row>
    <row r="114" customFormat="false" ht="15" hidden="false" customHeight="false" outlineLevel="0" collapsed="false">
      <c r="A114" s="31" t="n">
        <v>7</v>
      </c>
      <c r="B114" s="32" t="s">
        <v>217</v>
      </c>
      <c r="C114" s="23"/>
      <c r="D114" s="24"/>
      <c r="E114" s="25" t="s">
        <v>54</v>
      </c>
      <c r="F114" s="15" t="s">
        <v>218</v>
      </c>
      <c r="G114" s="25" t="s">
        <v>49</v>
      </c>
      <c r="H114" s="25" t="s">
        <v>50</v>
      </c>
      <c r="I114" s="25" t="s">
        <v>51</v>
      </c>
    </row>
    <row r="115" customFormat="false" ht="15" hidden="false" customHeight="false" outlineLevel="0" collapsed="false">
      <c r="A115" s="31" t="n">
        <v>7</v>
      </c>
      <c r="B115" s="32" t="s">
        <v>219</v>
      </c>
      <c r="C115" s="23"/>
      <c r="D115" s="24"/>
      <c r="E115" s="25" t="s">
        <v>54</v>
      </c>
      <c r="F115" s="15" t="s">
        <v>201</v>
      </c>
      <c r="G115" s="25" t="s">
        <v>49</v>
      </c>
      <c r="H115" s="25" t="s">
        <v>50</v>
      </c>
      <c r="I115" s="25" t="s">
        <v>51</v>
      </c>
    </row>
    <row r="116" customFormat="false" ht="15" hidden="false" customHeight="false" outlineLevel="0" collapsed="false">
      <c r="A116" s="31" t="n">
        <v>7</v>
      </c>
      <c r="B116" s="32" t="s">
        <v>220</v>
      </c>
      <c r="C116" s="23"/>
      <c r="D116" s="24"/>
      <c r="E116" s="25" t="s">
        <v>54</v>
      </c>
      <c r="F116" s="15" t="s">
        <v>220</v>
      </c>
      <c r="G116" s="25" t="s">
        <v>49</v>
      </c>
      <c r="H116" s="25" t="s">
        <v>50</v>
      </c>
      <c r="I116" s="25" t="s">
        <v>51</v>
      </c>
    </row>
    <row r="117" customFormat="false" ht="15" hidden="false" customHeight="false" outlineLevel="0" collapsed="false">
      <c r="A117" s="31" t="n">
        <v>7</v>
      </c>
      <c r="B117" s="32" t="s">
        <v>221</v>
      </c>
      <c r="C117" s="23"/>
      <c r="D117" s="24"/>
      <c r="E117" s="25" t="s">
        <v>54</v>
      </c>
      <c r="F117" s="15" t="s">
        <v>221</v>
      </c>
      <c r="G117" s="25" t="s">
        <v>49</v>
      </c>
      <c r="H117" s="25" t="s">
        <v>50</v>
      </c>
      <c r="I117" s="25" t="s">
        <v>51</v>
      </c>
    </row>
    <row r="118" customFormat="false" ht="24" hidden="false" customHeight="true" outlineLevel="0" collapsed="false">
      <c r="A118" s="19"/>
      <c r="B118" s="20" t="s">
        <v>222</v>
      </c>
      <c r="C118" s="20"/>
      <c r="D118" s="20"/>
      <c r="E118" s="20"/>
      <c r="F118" s="20"/>
      <c r="G118" s="20"/>
      <c r="H118" s="20"/>
      <c r="I118" s="20"/>
    </row>
    <row r="119" customFormat="false" ht="15" hidden="false" customHeight="false" outlineLevel="0" collapsed="false">
      <c r="A119" s="31" t="n">
        <v>8</v>
      </c>
      <c r="B119" s="32" t="s">
        <v>223</v>
      </c>
      <c r="C119" s="23"/>
      <c r="D119" s="24"/>
      <c r="E119" s="25" t="s">
        <v>54</v>
      </c>
      <c r="F119" s="15" t="s">
        <v>166</v>
      </c>
      <c r="G119" s="25" t="s">
        <v>49</v>
      </c>
      <c r="H119" s="25" t="s">
        <v>50</v>
      </c>
      <c r="I119" s="25" t="s">
        <v>51</v>
      </c>
    </row>
    <row r="120" customFormat="false" ht="15" hidden="false" customHeight="false" outlineLevel="0" collapsed="false">
      <c r="A120" s="31" t="n">
        <v>8</v>
      </c>
      <c r="B120" s="32" t="s">
        <v>224</v>
      </c>
      <c r="C120" s="23"/>
      <c r="D120" s="24"/>
      <c r="E120" s="25" t="s">
        <v>54</v>
      </c>
      <c r="F120" s="15" t="s">
        <v>225</v>
      </c>
      <c r="G120" s="25" t="s">
        <v>49</v>
      </c>
      <c r="H120" s="25" t="s">
        <v>50</v>
      </c>
      <c r="I120" s="25" t="s">
        <v>51</v>
      </c>
    </row>
    <row r="121" customFormat="false" ht="15" hidden="false" customHeight="false" outlineLevel="0" collapsed="false">
      <c r="A121" s="31" t="n">
        <v>8</v>
      </c>
      <c r="B121" s="32" t="s">
        <v>226</v>
      </c>
      <c r="C121" s="23"/>
      <c r="D121" s="24"/>
      <c r="E121" s="25" t="s">
        <v>54</v>
      </c>
      <c r="F121" s="15" t="s">
        <v>227</v>
      </c>
      <c r="G121" s="25" t="s">
        <v>49</v>
      </c>
      <c r="H121" s="25" t="s">
        <v>50</v>
      </c>
      <c r="I121" s="25" t="s">
        <v>51</v>
      </c>
    </row>
    <row r="122" customFormat="false" ht="15" hidden="false" customHeight="false" outlineLevel="0" collapsed="false">
      <c r="A122" s="31" t="n">
        <v>8</v>
      </c>
      <c r="B122" s="32" t="s">
        <v>228</v>
      </c>
      <c r="C122" s="23"/>
      <c r="D122" s="24"/>
      <c r="E122" s="25" t="s">
        <v>54</v>
      </c>
      <c r="F122" s="15" t="s">
        <v>229</v>
      </c>
      <c r="G122" s="25" t="s">
        <v>49</v>
      </c>
      <c r="H122" s="25" t="s">
        <v>50</v>
      </c>
      <c r="I122" s="25" t="s">
        <v>51</v>
      </c>
    </row>
    <row r="123" customFormat="false" ht="15" hidden="false" customHeight="false" outlineLevel="0" collapsed="false">
      <c r="A123" s="31" t="n">
        <v>8</v>
      </c>
      <c r="B123" s="32" t="s">
        <v>230</v>
      </c>
      <c r="C123" s="23"/>
      <c r="D123" s="24"/>
      <c r="E123" s="25" t="s">
        <v>54</v>
      </c>
      <c r="F123" s="15" t="s">
        <v>231</v>
      </c>
      <c r="G123" s="25" t="s">
        <v>49</v>
      </c>
      <c r="H123" s="25" t="s">
        <v>50</v>
      </c>
      <c r="I123" s="25" t="s">
        <v>51</v>
      </c>
    </row>
    <row r="124" customFormat="false" ht="15" hidden="false" customHeight="false" outlineLevel="0" collapsed="false">
      <c r="A124" s="31" t="n">
        <v>8</v>
      </c>
      <c r="B124" s="32" t="s">
        <v>232</v>
      </c>
      <c r="C124" s="23"/>
      <c r="D124" s="24"/>
      <c r="E124" s="25" t="s">
        <v>54</v>
      </c>
      <c r="F124" s="15" t="s">
        <v>232</v>
      </c>
      <c r="G124" s="25" t="s">
        <v>49</v>
      </c>
      <c r="H124" s="25" t="s">
        <v>50</v>
      </c>
      <c r="I124" s="25" t="s">
        <v>51</v>
      </c>
    </row>
    <row r="125" customFormat="false" ht="15" hidden="false" customHeight="false" outlineLevel="0" collapsed="false">
      <c r="A125" s="31" t="n">
        <v>8</v>
      </c>
      <c r="B125" s="32" t="s">
        <v>233</v>
      </c>
      <c r="C125" s="23"/>
      <c r="D125" s="24"/>
      <c r="E125" s="25" t="s">
        <v>54</v>
      </c>
      <c r="F125" s="15" t="s">
        <v>136</v>
      </c>
      <c r="G125" s="25" t="s">
        <v>49</v>
      </c>
      <c r="H125" s="25" t="s">
        <v>50</v>
      </c>
      <c r="I125" s="25" t="s">
        <v>51</v>
      </c>
    </row>
    <row r="126" customFormat="false" ht="15" hidden="false" customHeight="false" outlineLevel="0" collapsed="false">
      <c r="A126" s="31" t="n">
        <v>8</v>
      </c>
      <c r="B126" s="32" t="s">
        <v>234</v>
      </c>
      <c r="C126" s="23"/>
      <c r="D126" s="24"/>
      <c r="E126" s="25" t="s">
        <v>54</v>
      </c>
      <c r="F126" s="15" t="s">
        <v>62</v>
      </c>
      <c r="G126" s="26"/>
      <c r="H126" s="26"/>
      <c r="I126" s="26"/>
    </row>
    <row r="127" customFormat="false" ht="15" hidden="false" customHeight="false" outlineLevel="0" collapsed="false">
      <c r="A127" s="31" t="n">
        <v>8</v>
      </c>
      <c r="B127" s="32" t="s">
        <v>235</v>
      </c>
      <c r="C127" s="23"/>
      <c r="D127" s="24"/>
      <c r="E127" s="25" t="s">
        <v>54</v>
      </c>
      <c r="F127" s="15" t="s">
        <v>236</v>
      </c>
      <c r="G127" s="25" t="s">
        <v>49</v>
      </c>
      <c r="H127" s="25" t="s">
        <v>50</v>
      </c>
      <c r="I127" s="25" t="s">
        <v>51</v>
      </c>
    </row>
    <row r="128" customFormat="false" ht="15" hidden="false" customHeight="false" outlineLevel="0" collapsed="false">
      <c r="A128" s="31" t="n">
        <v>8</v>
      </c>
      <c r="B128" s="32" t="s">
        <v>237</v>
      </c>
      <c r="C128" s="23"/>
      <c r="D128" s="24"/>
      <c r="E128" s="25" t="s">
        <v>54</v>
      </c>
      <c r="F128" s="15" t="s">
        <v>238</v>
      </c>
      <c r="G128" s="25" t="s">
        <v>49</v>
      </c>
      <c r="H128" s="25" t="s">
        <v>50</v>
      </c>
      <c r="I128" s="25" t="s">
        <v>51</v>
      </c>
    </row>
  </sheetData>
  <conditionalFormatting sqref="C2:C128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C3:C14 C16:C31 C33:C50 C52:C69 C71:C83 C85:C101 C103:C117 C119:C128" type="list">
      <formula1>"R,A,G"</formula1>
      <formula2>0</formula2>
    </dataValidation>
  </dataValidations>
  <hyperlinks>
    <hyperlink ref="E3" r:id="rId1" display="open"/>
    <hyperlink ref="G3" r:id="rId2" display="QP"/>
    <hyperlink ref="H3" r:id="rId3" display="MS"/>
    <hyperlink ref="I3" r:id="rId4" display="Ans"/>
    <hyperlink ref="E4" r:id="rId5" display="open"/>
    <hyperlink ref="G4" r:id="rId6" display="QP"/>
    <hyperlink ref="H4" r:id="rId7" display="MS"/>
    <hyperlink ref="I4" r:id="rId8" display="Ans"/>
    <hyperlink ref="E5" r:id="rId9" display="open"/>
    <hyperlink ref="G5" r:id="rId10" display="QP"/>
    <hyperlink ref="H5" r:id="rId11" display="MS"/>
    <hyperlink ref="I5" r:id="rId12" display="Ans"/>
    <hyperlink ref="E6" r:id="rId13" display="open"/>
    <hyperlink ref="G6" r:id="rId14" display="QP"/>
    <hyperlink ref="H6" r:id="rId15" display="MS"/>
    <hyperlink ref="I6" r:id="rId16" display="Ans"/>
    <hyperlink ref="E7" r:id="rId17" display="open"/>
    <hyperlink ref="E8" r:id="rId18" display="open"/>
    <hyperlink ref="G8" r:id="rId19" display="QP"/>
    <hyperlink ref="H8" r:id="rId20" display="MS"/>
    <hyperlink ref="I8" r:id="rId21" display="Ans"/>
    <hyperlink ref="E9" r:id="rId22" display="open"/>
    <hyperlink ref="G9" r:id="rId23" display="QP"/>
    <hyperlink ref="H9" r:id="rId24" display="MS"/>
    <hyperlink ref="I9" r:id="rId25" display="Ans"/>
    <hyperlink ref="E10" r:id="rId26" display="open"/>
    <hyperlink ref="G10" r:id="rId27" display="QP"/>
    <hyperlink ref="H10" r:id="rId28" display="MS"/>
    <hyperlink ref="I10" r:id="rId29" display="Ans"/>
    <hyperlink ref="E11" r:id="rId30" display="open"/>
    <hyperlink ref="G11" r:id="rId31" display="QP"/>
    <hyperlink ref="H11" r:id="rId32" display="MS"/>
    <hyperlink ref="I11" r:id="rId33" display="Ans"/>
    <hyperlink ref="E12" r:id="rId34" display="open"/>
    <hyperlink ref="G12" r:id="rId35" display="QP"/>
    <hyperlink ref="H12" r:id="rId36" display="MS"/>
    <hyperlink ref="I12" r:id="rId37" display="Ans"/>
    <hyperlink ref="E13" r:id="rId38" display="open"/>
    <hyperlink ref="G13" r:id="rId39" display="QP"/>
    <hyperlink ref="H13" r:id="rId40" display="MS"/>
    <hyperlink ref="I13" r:id="rId41" display="Ans"/>
    <hyperlink ref="E14" r:id="rId42" display="open"/>
    <hyperlink ref="G14" r:id="rId43" display="QP"/>
    <hyperlink ref="H14" r:id="rId44" display="MS"/>
    <hyperlink ref="I14" r:id="rId45" display="Ans"/>
    <hyperlink ref="E16" r:id="rId46" display="open"/>
    <hyperlink ref="G16" r:id="rId47" display="QP"/>
    <hyperlink ref="H16" r:id="rId48" display="MS"/>
    <hyperlink ref="I16" r:id="rId49" display="Ans"/>
    <hyperlink ref="E17" r:id="rId50" display="open"/>
    <hyperlink ref="E18" r:id="rId51" display="open"/>
    <hyperlink ref="G18" r:id="rId52" display="QP"/>
    <hyperlink ref="H18" r:id="rId53" display="MS"/>
    <hyperlink ref="I18" r:id="rId54" display="Ans"/>
    <hyperlink ref="E19" r:id="rId55" display="open"/>
    <hyperlink ref="G19" r:id="rId56" display="QP"/>
    <hyperlink ref="H19" r:id="rId57" display="MS"/>
    <hyperlink ref="I19" r:id="rId58" display="Ans"/>
    <hyperlink ref="E20" r:id="rId59" display="open"/>
    <hyperlink ref="G20" r:id="rId60" display="QP"/>
    <hyperlink ref="H20" r:id="rId61" display="MS"/>
    <hyperlink ref="I20" r:id="rId62" display="Ans"/>
    <hyperlink ref="E21" r:id="rId63" display="open"/>
    <hyperlink ref="G21" r:id="rId64" display="QP"/>
    <hyperlink ref="H21" r:id="rId65" display="MS"/>
    <hyperlink ref="I21" r:id="rId66" display="Ans"/>
    <hyperlink ref="E22" r:id="rId67" display="open"/>
    <hyperlink ref="G22" r:id="rId68" display="QP"/>
    <hyperlink ref="H22" r:id="rId69" display="MS"/>
    <hyperlink ref="I22" r:id="rId70" display="Ans"/>
    <hyperlink ref="E23" r:id="rId71" display="open"/>
    <hyperlink ref="E24" r:id="rId72" display="open"/>
    <hyperlink ref="G24" r:id="rId73" display="QP"/>
    <hyperlink ref="H24" r:id="rId74" display="MS"/>
    <hyperlink ref="I24" r:id="rId75" display="Ans"/>
    <hyperlink ref="E25" r:id="rId76" display="open"/>
    <hyperlink ref="G25" r:id="rId77" display="QP"/>
    <hyperlink ref="H25" r:id="rId78" display="MS"/>
    <hyperlink ref="I25" r:id="rId79" display="Ans"/>
    <hyperlink ref="E26" r:id="rId80" display="open"/>
    <hyperlink ref="G26" r:id="rId81" display="QP"/>
    <hyperlink ref="H26" r:id="rId82" display="MS"/>
    <hyperlink ref="I26" r:id="rId83" display="Ans"/>
    <hyperlink ref="E27" r:id="rId84" display="open"/>
    <hyperlink ref="G27" r:id="rId85" display="QP"/>
    <hyperlink ref="H27" r:id="rId86" display="MS"/>
    <hyperlink ref="I27" r:id="rId87" display="Ans"/>
    <hyperlink ref="E28" r:id="rId88" display="open"/>
    <hyperlink ref="G28" r:id="rId89" display="QP"/>
    <hyperlink ref="H28" r:id="rId90" display="MS"/>
    <hyperlink ref="I28" r:id="rId91" display="Ans"/>
    <hyperlink ref="E29" r:id="rId92" display="open"/>
    <hyperlink ref="G29" r:id="rId93" display="QP"/>
    <hyperlink ref="H29" r:id="rId94" display="MS"/>
    <hyperlink ref="I29" r:id="rId95" display="Ans"/>
    <hyperlink ref="E30" r:id="rId96" display="open"/>
    <hyperlink ref="G30" r:id="rId97" display="QP"/>
    <hyperlink ref="H30" r:id="rId98" display="MS"/>
    <hyperlink ref="I30" r:id="rId99" display="Ans"/>
    <hyperlink ref="E31" r:id="rId100" display="open"/>
    <hyperlink ref="G31" r:id="rId101" display="QP"/>
    <hyperlink ref="H31" r:id="rId102" display="MS"/>
    <hyperlink ref="I31" r:id="rId103" display="Ans"/>
    <hyperlink ref="E33" r:id="rId104" display="open"/>
    <hyperlink ref="G33" r:id="rId105" display="QP"/>
    <hyperlink ref="H33" r:id="rId106" display="MS"/>
    <hyperlink ref="I33" r:id="rId107" display="Ans"/>
    <hyperlink ref="E34" r:id="rId108" display="open"/>
    <hyperlink ref="G34" r:id="rId109" display="QP"/>
    <hyperlink ref="H34" r:id="rId110" display="MS"/>
    <hyperlink ref="I34" r:id="rId111" display="Ans"/>
    <hyperlink ref="E35" r:id="rId112" display="open"/>
    <hyperlink ref="G35" r:id="rId113" display="QP"/>
    <hyperlink ref="H35" r:id="rId114" display="MS"/>
    <hyperlink ref="I35" r:id="rId115" display="Ans"/>
    <hyperlink ref="E36" r:id="rId116" display="open"/>
    <hyperlink ref="G36" r:id="rId117" display="QP"/>
    <hyperlink ref="H36" r:id="rId118" display="MS"/>
    <hyperlink ref="I36" r:id="rId119" display="Ans"/>
    <hyperlink ref="E37" r:id="rId120" display="open"/>
    <hyperlink ref="G37" r:id="rId121" display="QP"/>
    <hyperlink ref="H37" r:id="rId122" display="MS"/>
    <hyperlink ref="I37" r:id="rId123" display="Ans"/>
    <hyperlink ref="E38" r:id="rId124" display="open"/>
    <hyperlink ref="G38" r:id="rId125" display="QP"/>
    <hyperlink ref="H38" r:id="rId126" display="MS"/>
    <hyperlink ref="I38" r:id="rId127" display="Ans"/>
    <hyperlink ref="E39" r:id="rId128" display="open"/>
    <hyperlink ref="G39" r:id="rId129" display="QP"/>
    <hyperlink ref="H39" r:id="rId130" display="MS"/>
    <hyperlink ref="I39" r:id="rId131" display="Ans"/>
    <hyperlink ref="E40" r:id="rId132" display="open"/>
    <hyperlink ref="G40" r:id="rId133" display="QP"/>
    <hyperlink ref="H40" r:id="rId134" display="MS"/>
    <hyperlink ref="I40" r:id="rId135" display="Ans"/>
    <hyperlink ref="E41" r:id="rId136" display="open"/>
    <hyperlink ref="G41" r:id="rId137" display="QP"/>
    <hyperlink ref="H41" r:id="rId138" display="MS"/>
    <hyperlink ref="I41" r:id="rId139" display="Ans"/>
    <hyperlink ref="E42" r:id="rId140" display="open"/>
    <hyperlink ref="G42" r:id="rId141" display="QP"/>
    <hyperlink ref="H42" r:id="rId142" display="MS"/>
    <hyperlink ref="I42" r:id="rId143" display="Ans"/>
    <hyperlink ref="E43" r:id="rId144" display="open"/>
    <hyperlink ref="G43" r:id="rId145" display="QP"/>
    <hyperlink ref="H43" r:id="rId146" display="MS"/>
    <hyperlink ref="I43" r:id="rId147" display="Ans"/>
    <hyperlink ref="E44" r:id="rId148" display="open"/>
    <hyperlink ref="G44" r:id="rId149" display="QP"/>
    <hyperlink ref="H44" r:id="rId150" display="MS"/>
    <hyperlink ref="I44" r:id="rId151" display="Ans"/>
    <hyperlink ref="E45" r:id="rId152" display="open"/>
    <hyperlink ref="G45" r:id="rId153" display="QP"/>
    <hyperlink ref="H45" r:id="rId154" display="MS"/>
    <hyperlink ref="I45" r:id="rId155" display="Ans"/>
    <hyperlink ref="E46" r:id="rId156" display="open"/>
    <hyperlink ref="G46" r:id="rId157" display="QP"/>
    <hyperlink ref="H46" r:id="rId158" display="MS"/>
    <hyperlink ref="I46" r:id="rId159" display="Ans"/>
    <hyperlink ref="E47" r:id="rId160" display="open"/>
    <hyperlink ref="G47" r:id="rId161" display="QP"/>
    <hyperlink ref="H47" r:id="rId162" display="MS"/>
    <hyperlink ref="I47" r:id="rId163" display="Ans"/>
    <hyperlink ref="E48" r:id="rId164" display="open"/>
    <hyperlink ref="G48" r:id="rId165" display="QP"/>
    <hyperlink ref="H48" r:id="rId166" display="MS"/>
    <hyperlink ref="I48" r:id="rId167" display="Ans"/>
    <hyperlink ref="E49" r:id="rId168" display="open"/>
    <hyperlink ref="G49" r:id="rId169" display="QP"/>
    <hyperlink ref="H49" r:id="rId170" display="MS"/>
    <hyperlink ref="I49" r:id="rId171" display="Ans"/>
    <hyperlink ref="E50" r:id="rId172" display="open"/>
    <hyperlink ref="G50" r:id="rId173" display="QP"/>
    <hyperlink ref="H50" r:id="rId174" display="MS"/>
    <hyperlink ref="I50" r:id="rId175" display="Ans"/>
    <hyperlink ref="E52" r:id="rId176" display="open"/>
    <hyperlink ref="G52" r:id="rId177" display="QP"/>
    <hyperlink ref="H52" r:id="rId178" display="MS"/>
    <hyperlink ref="I52" r:id="rId179" display="Ans"/>
    <hyperlink ref="E53" r:id="rId180" display="open"/>
    <hyperlink ref="G53" r:id="rId181" display="QP"/>
    <hyperlink ref="H53" r:id="rId182" display="MS"/>
    <hyperlink ref="I53" r:id="rId183" display="Ans"/>
    <hyperlink ref="E54" r:id="rId184" display="open"/>
    <hyperlink ref="G54" r:id="rId185" display="QP"/>
    <hyperlink ref="H54" r:id="rId186" display="MS"/>
    <hyperlink ref="I54" r:id="rId187" display="Ans"/>
    <hyperlink ref="E55" r:id="rId188" display="open"/>
    <hyperlink ref="G55" r:id="rId189" display="QP"/>
    <hyperlink ref="H55" r:id="rId190" display="MS"/>
    <hyperlink ref="I55" r:id="rId191" display="Ans"/>
    <hyperlink ref="E56" r:id="rId192" display="open"/>
    <hyperlink ref="G56" r:id="rId193" display="QP"/>
    <hyperlink ref="H56" r:id="rId194" display="MS"/>
    <hyperlink ref="I56" r:id="rId195" display="Ans"/>
    <hyperlink ref="E57" r:id="rId196" display="open"/>
    <hyperlink ref="G57" r:id="rId197" display="QP"/>
    <hyperlink ref="H57" r:id="rId198" display="MS"/>
    <hyperlink ref="I57" r:id="rId199" display="Ans"/>
    <hyperlink ref="E58" r:id="rId200" display="open"/>
    <hyperlink ref="G58" r:id="rId201" display="QP"/>
    <hyperlink ref="H58" r:id="rId202" display="MS"/>
    <hyperlink ref="I58" r:id="rId203" display="Ans"/>
    <hyperlink ref="E59" r:id="rId204" display="open"/>
    <hyperlink ref="G59" r:id="rId205" display="QP"/>
    <hyperlink ref="H59" r:id="rId206" display="MS"/>
    <hyperlink ref="I59" r:id="rId207" display="Ans"/>
    <hyperlink ref="E60" r:id="rId208" display="open"/>
    <hyperlink ref="G60" r:id="rId209" display="QP"/>
    <hyperlink ref="H60" r:id="rId210" display="MS"/>
    <hyperlink ref="I60" r:id="rId211" display="Ans"/>
    <hyperlink ref="E61" r:id="rId212" display="open"/>
    <hyperlink ref="G61" r:id="rId213" display="QP"/>
    <hyperlink ref="H61" r:id="rId214" display="MS"/>
    <hyperlink ref="I61" r:id="rId215" display="Ans"/>
    <hyperlink ref="E62" r:id="rId216" display="open"/>
    <hyperlink ref="G62" r:id="rId217" display="QP"/>
    <hyperlink ref="H62" r:id="rId218" display="MS"/>
    <hyperlink ref="I62" r:id="rId219" display="Ans"/>
    <hyperlink ref="E63" r:id="rId220" display="open"/>
    <hyperlink ref="G63" r:id="rId221" display="QP"/>
    <hyperlink ref="H63" r:id="rId222" display="MS"/>
    <hyperlink ref="I63" r:id="rId223" display="Ans"/>
    <hyperlink ref="E64" r:id="rId224" display="open"/>
    <hyperlink ref="G64" r:id="rId225" display="QP"/>
    <hyperlink ref="H64" r:id="rId226" display="MS"/>
    <hyperlink ref="I64" r:id="rId227" display="Ans"/>
    <hyperlink ref="E65" r:id="rId228" display="open"/>
    <hyperlink ref="G65" r:id="rId229" display="QP"/>
    <hyperlink ref="H65" r:id="rId230" display="MS"/>
    <hyperlink ref="I65" r:id="rId231" display="Ans"/>
    <hyperlink ref="E66" r:id="rId232" display="open"/>
    <hyperlink ref="G66" r:id="rId233" display="QP"/>
    <hyperlink ref="H66" r:id="rId234" display="MS"/>
    <hyperlink ref="I66" r:id="rId235" display="Ans"/>
    <hyperlink ref="E67" r:id="rId236" display="open"/>
    <hyperlink ref="G67" r:id="rId237" display="QP"/>
    <hyperlink ref="H67" r:id="rId238" display="MS"/>
    <hyperlink ref="I67" r:id="rId239" display="Ans"/>
    <hyperlink ref="E68" r:id="rId240" display="open"/>
    <hyperlink ref="G68" r:id="rId241" display="QP"/>
    <hyperlink ref="H68" r:id="rId242" display="MS"/>
    <hyperlink ref="I68" r:id="rId243" display="Ans"/>
    <hyperlink ref="E69" r:id="rId244" display="open"/>
    <hyperlink ref="G69" r:id="rId245" display="QP"/>
    <hyperlink ref="H69" r:id="rId246" display="MS"/>
    <hyperlink ref="I69" r:id="rId247" display="Ans"/>
    <hyperlink ref="E71" r:id="rId248" display="open"/>
    <hyperlink ref="G71" r:id="rId249" display="QP"/>
    <hyperlink ref="H71" r:id="rId250" display="MS"/>
    <hyperlink ref="I71" r:id="rId251" display="Ans"/>
    <hyperlink ref="E72" r:id="rId252" display="open"/>
    <hyperlink ref="G72" r:id="rId253" display="QP"/>
    <hyperlink ref="H72" r:id="rId254" display="MS"/>
    <hyperlink ref="I72" r:id="rId255" display="Ans"/>
    <hyperlink ref="E73" r:id="rId256" display="open"/>
    <hyperlink ref="G73" r:id="rId257" display="QP"/>
    <hyperlink ref="H73" r:id="rId258" display="MS"/>
    <hyperlink ref="I73" r:id="rId259" display="Ans"/>
    <hyperlink ref="E74" r:id="rId260" display="open"/>
    <hyperlink ref="G74" r:id="rId261" display="QP"/>
    <hyperlink ref="H74" r:id="rId262" display="MS"/>
    <hyperlink ref="I74" r:id="rId263" display="Ans"/>
    <hyperlink ref="E75" r:id="rId264" display="open"/>
    <hyperlink ref="G75" r:id="rId265" display="QP"/>
    <hyperlink ref="H75" r:id="rId266" display="MS"/>
    <hyperlink ref="I75" r:id="rId267" display="Ans"/>
    <hyperlink ref="E76" r:id="rId268" display="open"/>
    <hyperlink ref="G76" r:id="rId269" display="QP"/>
    <hyperlink ref="H76" r:id="rId270" display="MS"/>
    <hyperlink ref="I76" r:id="rId271" display="Ans"/>
    <hyperlink ref="E77" r:id="rId272" display="open"/>
    <hyperlink ref="G77" r:id="rId273" display="QP"/>
    <hyperlink ref="H77" r:id="rId274" display="MS"/>
    <hyperlink ref="I77" r:id="rId275" display="Ans"/>
    <hyperlink ref="E78" r:id="rId276" display="open"/>
    <hyperlink ref="G78" r:id="rId277" display="QP"/>
    <hyperlink ref="H78" r:id="rId278" display="MS"/>
    <hyperlink ref="I78" r:id="rId279" display="Ans"/>
    <hyperlink ref="E79" r:id="rId280" display="open"/>
    <hyperlink ref="G79" r:id="rId281" display="QP"/>
    <hyperlink ref="H79" r:id="rId282" display="MS"/>
    <hyperlink ref="I79" r:id="rId283" display="Ans"/>
    <hyperlink ref="E80" r:id="rId284" display="open"/>
    <hyperlink ref="G80" r:id="rId285" display="QP"/>
    <hyperlink ref="H80" r:id="rId286" display="MS"/>
    <hyperlink ref="I80" r:id="rId287" display="Ans"/>
    <hyperlink ref="E81" r:id="rId288" display="open"/>
    <hyperlink ref="G81" r:id="rId289" display="QP"/>
    <hyperlink ref="H81" r:id="rId290" display="MS"/>
    <hyperlink ref="I81" r:id="rId291" display="Ans"/>
    <hyperlink ref="E82" r:id="rId292" display="open"/>
    <hyperlink ref="G82" r:id="rId293" display="QP"/>
    <hyperlink ref="H82" r:id="rId294" display="MS"/>
    <hyperlink ref="I82" r:id="rId295" display="Ans"/>
    <hyperlink ref="E83" r:id="rId296" display="open"/>
    <hyperlink ref="G83" r:id="rId297" display="QP"/>
    <hyperlink ref="H83" r:id="rId298" display="MS"/>
    <hyperlink ref="I83" r:id="rId299" display="Ans"/>
    <hyperlink ref="E85" r:id="rId300" display="open"/>
    <hyperlink ref="G85" r:id="rId301" display="QP"/>
    <hyperlink ref="H85" r:id="rId302" display="MS"/>
    <hyperlink ref="I85" r:id="rId303" display="Ans"/>
    <hyperlink ref="E86" r:id="rId304" display="open"/>
    <hyperlink ref="G86" r:id="rId305" display="QP"/>
    <hyperlink ref="H86" r:id="rId306" display="MS"/>
    <hyperlink ref="I86" r:id="rId307" display="Ans"/>
    <hyperlink ref="E87" r:id="rId308" display="open"/>
    <hyperlink ref="G87" r:id="rId309" display="QP"/>
    <hyperlink ref="H87" r:id="rId310" display="MS"/>
    <hyperlink ref="I87" r:id="rId311" display="Ans"/>
    <hyperlink ref="E88" r:id="rId312" display="open"/>
    <hyperlink ref="G88" r:id="rId313" display="QP"/>
    <hyperlink ref="H88" r:id="rId314" display="MS"/>
    <hyperlink ref="I88" r:id="rId315" display="Ans"/>
    <hyperlink ref="E89" r:id="rId316" display="open"/>
    <hyperlink ref="G89" r:id="rId317" display="QP"/>
    <hyperlink ref="H89" r:id="rId318" display="MS"/>
    <hyperlink ref="I89" r:id="rId319" display="Ans"/>
    <hyperlink ref="E90" r:id="rId320" display="open"/>
    <hyperlink ref="G90" r:id="rId321" display="QP"/>
    <hyperlink ref="H90" r:id="rId322" display="MS"/>
    <hyperlink ref="I90" r:id="rId323" display="Ans"/>
    <hyperlink ref="E91" r:id="rId324" display="open"/>
    <hyperlink ref="G91" r:id="rId325" display="QP"/>
    <hyperlink ref="H91" r:id="rId326" display="MS"/>
    <hyperlink ref="I91" r:id="rId327" display="Ans"/>
    <hyperlink ref="E92" r:id="rId328" display="open"/>
    <hyperlink ref="G92" r:id="rId329" display="QP"/>
    <hyperlink ref="H92" r:id="rId330" display="MS"/>
    <hyperlink ref="I92" r:id="rId331" display="Ans"/>
    <hyperlink ref="E93" r:id="rId332" display="open"/>
    <hyperlink ref="G93" r:id="rId333" display="QP"/>
    <hyperlink ref="H93" r:id="rId334" display="MS"/>
    <hyperlink ref="I93" r:id="rId335" display="Ans"/>
    <hyperlink ref="E94" r:id="rId336" display="open"/>
    <hyperlink ref="G94" r:id="rId337" display="QP"/>
    <hyperlink ref="H94" r:id="rId338" display="MS"/>
    <hyperlink ref="I94" r:id="rId339" display="Ans"/>
    <hyperlink ref="E95" r:id="rId340" display="open"/>
    <hyperlink ref="G95" r:id="rId341" display="QP"/>
    <hyperlink ref="H95" r:id="rId342" display="MS"/>
    <hyperlink ref="I95" r:id="rId343" display="Ans"/>
    <hyperlink ref="E96" r:id="rId344" display="open"/>
    <hyperlink ref="G96" r:id="rId345" display="QP"/>
    <hyperlink ref="H96" r:id="rId346" display="MS"/>
    <hyperlink ref="I96" r:id="rId347" display="Ans"/>
    <hyperlink ref="E97" r:id="rId348" display="open"/>
    <hyperlink ref="G97" r:id="rId349" display="QP"/>
    <hyperlink ref="H97" r:id="rId350" display="MS"/>
    <hyperlink ref="I97" r:id="rId351" display="Ans"/>
    <hyperlink ref="E98" r:id="rId352" display="open"/>
    <hyperlink ref="G98" r:id="rId353" display="QP"/>
    <hyperlink ref="H98" r:id="rId354" display="MS"/>
    <hyperlink ref="I98" r:id="rId355" display="Ans"/>
    <hyperlink ref="E99" r:id="rId356" display="open"/>
    <hyperlink ref="G99" r:id="rId357" display="QP"/>
    <hyperlink ref="H99" r:id="rId358" display="MS"/>
    <hyperlink ref="I99" r:id="rId359" display="Ans"/>
    <hyperlink ref="E100" r:id="rId360" display="open"/>
    <hyperlink ref="G100" r:id="rId361" display="QP"/>
    <hyperlink ref="H100" r:id="rId362" display="MS"/>
    <hyperlink ref="I100" r:id="rId363" display="Ans"/>
    <hyperlink ref="E101" r:id="rId364" display="open"/>
    <hyperlink ref="G101" r:id="rId365" display="QP"/>
    <hyperlink ref="H101" r:id="rId366" display="MS"/>
    <hyperlink ref="I101" r:id="rId367" display="Ans"/>
    <hyperlink ref="E103" r:id="rId368" display="open"/>
    <hyperlink ref="G103" r:id="rId369" display="QP"/>
    <hyperlink ref="H103" r:id="rId370" display="MS"/>
    <hyperlink ref="I103" r:id="rId371" display="Ans"/>
    <hyperlink ref="E104" r:id="rId372" display="open"/>
    <hyperlink ref="G104" r:id="rId373" display="QP"/>
    <hyperlink ref="H104" r:id="rId374" display="MS"/>
    <hyperlink ref="I104" r:id="rId375" display="Ans"/>
    <hyperlink ref="E105" r:id="rId376" display="open"/>
    <hyperlink ref="G105" r:id="rId377" display="QP"/>
    <hyperlink ref="H105" r:id="rId378" display="MS"/>
    <hyperlink ref="I105" r:id="rId379" display="Ans"/>
    <hyperlink ref="E106" r:id="rId380" display="open"/>
    <hyperlink ref="G106" r:id="rId381" display="QP"/>
    <hyperlink ref="H106" r:id="rId382" display="MS"/>
    <hyperlink ref="I106" r:id="rId383" display="Ans"/>
    <hyperlink ref="E107" r:id="rId384" display="open"/>
    <hyperlink ref="G107" r:id="rId385" display="QP"/>
    <hyperlink ref="H107" r:id="rId386" display="MS"/>
    <hyperlink ref="I107" r:id="rId387" display="Ans"/>
    <hyperlink ref="E108" r:id="rId388" display="open"/>
    <hyperlink ref="G108" r:id="rId389" display="QP"/>
    <hyperlink ref="H108" r:id="rId390" display="MS"/>
    <hyperlink ref="I108" r:id="rId391" display="Ans"/>
    <hyperlink ref="E109" r:id="rId392" display="open"/>
    <hyperlink ref="G109" r:id="rId393" display="QP"/>
    <hyperlink ref="H109" r:id="rId394" display="MS"/>
    <hyperlink ref="I109" r:id="rId395" display="Ans"/>
    <hyperlink ref="E110" r:id="rId396" display="open"/>
    <hyperlink ref="G110" r:id="rId397" display="QP"/>
    <hyperlink ref="H110" r:id="rId398" display="MS"/>
    <hyperlink ref="I110" r:id="rId399" display="Ans"/>
    <hyperlink ref="E111" r:id="rId400" display="open"/>
    <hyperlink ref="G111" r:id="rId401" display="QP"/>
    <hyperlink ref="H111" r:id="rId402" display="MS"/>
    <hyperlink ref="I111" r:id="rId403" display="Ans"/>
    <hyperlink ref="E112" r:id="rId404" display="open"/>
    <hyperlink ref="G112" r:id="rId405" display="QP"/>
    <hyperlink ref="H112" r:id="rId406" display="MS"/>
    <hyperlink ref="I112" r:id="rId407" display="Ans"/>
    <hyperlink ref="E113" r:id="rId408" display="open"/>
    <hyperlink ref="G113" r:id="rId409" display="QP"/>
    <hyperlink ref="H113" r:id="rId410" display="MS"/>
    <hyperlink ref="I113" r:id="rId411" display="Ans"/>
    <hyperlink ref="E114" r:id="rId412" display="open"/>
    <hyperlink ref="G114" r:id="rId413" display="QP"/>
    <hyperlink ref="H114" r:id="rId414" display="MS"/>
    <hyperlink ref="I114" r:id="rId415" display="Ans"/>
    <hyperlink ref="E115" r:id="rId416" display="open"/>
    <hyperlink ref="G115" r:id="rId417" display="QP"/>
    <hyperlink ref="H115" r:id="rId418" display="MS"/>
    <hyperlink ref="I115" r:id="rId419" display="Ans"/>
    <hyperlink ref="E116" r:id="rId420" display="open"/>
    <hyperlink ref="G116" r:id="rId421" display="QP"/>
    <hyperlink ref="H116" r:id="rId422" display="MS"/>
    <hyperlink ref="I116" r:id="rId423" display="Ans"/>
    <hyperlink ref="E117" r:id="rId424" display="open"/>
    <hyperlink ref="G117" r:id="rId425" display="QP"/>
    <hyperlink ref="H117" r:id="rId426" display="MS"/>
    <hyperlink ref="I117" r:id="rId427" display="Ans"/>
    <hyperlink ref="E119" r:id="rId428" display="open"/>
    <hyperlink ref="G119" r:id="rId429" display="QP"/>
    <hyperlink ref="H119" r:id="rId430" display="MS"/>
    <hyperlink ref="I119" r:id="rId431" display="Ans"/>
    <hyperlink ref="E120" r:id="rId432" display="open"/>
    <hyperlink ref="G120" r:id="rId433" display="QP"/>
    <hyperlink ref="H120" r:id="rId434" display="MS"/>
    <hyperlink ref="I120" r:id="rId435" display="Ans"/>
    <hyperlink ref="E121" r:id="rId436" display="open"/>
    <hyperlink ref="G121" r:id="rId437" display="QP"/>
    <hyperlink ref="H121" r:id="rId438" display="MS"/>
    <hyperlink ref="I121" r:id="rId439" display="Ans"/>
    <hyperlink ref="E122" r:id="rId440" display="open"/>
    <hyperlink ref="G122" r:id="rId441" display="QP"/>
    <hyperlink ref="H122" r:id="rId442" display="MS"/>
    <hyperlink ref="I122" r:id="rId443" display="Ans"/>
    <hyperlink ref="E123" r:id="rId444" display="open"/>
    <hyperlink ref="G123" r:id="rId445" display="QP"/>
    <hyperlink ref="H123" r:id="rId446" display="MS"/>
    <hyperlink ref="I123" r:id="rId447" display="Ans"/>
    <hyperlink ref="E124" r:id="rId448" display="open"/>
    <hyperlink ref="G124" r:id="rId449" display="QP"/>
    <hyperlink ref="H124" r:id="rId450" display="MS"/>
    <hyperlink ref="I124" r:id="rId451" display="Ans"/>
    <hyperlink ref="E125" r:id="rId452" display="open"/>
    <hyperlink ref="G125" r:id="rId453" display="QP"/>
    <hyperlink ref="H125" r:id="rId454" display="MS"/>
    <hyperlink ref="I125" r:id="rId455" display="Ans"/>
    <hyperlink ref="E126" r:id="rId456" display="open"/>
    <hyperlink ref="E127" r:id="rId457" display="open"/>
    <hyperlink ref="G127" r:id="rId458" display="QP"/>
    <hyperlink ref="H127" r:id="rId459" display="MS"/>
    <hyperlink ref="I127" r:id="rId460" display="Ans"/>
    <hyperlink ref="E128" r:id="rId461" display="open"/>
    <hyperlink ref="G128" r:id="rId462" display="QP"/>
    <hyperlink ref="H128" r:id="rId463" display="MS"/>
    <hyperlink ref="I128" r:id="rId464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2026-09-21T17:01:48Z</dcterms:created>
  <dc:creator>openpyxl</dc:creator>
  <dc:description/>
  <dc:language>en-US</dc:language>
  <cp:lastModifiedBy/>
  <dcterms:modified xsi:type="dcterms:W3CDTF">2026-09-21T17:01:48Z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