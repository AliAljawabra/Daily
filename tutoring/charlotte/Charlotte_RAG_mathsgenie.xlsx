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tart here" sheetId="2" state="visible" r:id="rId4"/>
    <sheet name="RAG tracker" sheetId="3" state="visible" r:id="rId5"/>
    <sheet name="Spec che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<sst xmlns="http://schemas.openxmlformats.org/spreadsheetml/2006/main" count="1062" uniqueCount="380">
  <si>
    <t xml:space="preserve">Summary</t>
  </si>
  <si>
    <t xml:space="preserve">Fills in automatically once the RAG tracker is completed.</t>
  </si>
  <si>
    <t xml:space="preserve">Rating</t>
  </si>
  <si>
    <t xml:space="preserve">Topics in scope</t>
  </si>
  <si>
    <t xml:space="preserve">What we do</t>
  </si>
  <si>
    <t xml:space="preserve">Questions each</t>
  </si>
  <si>
    <t xml:space="preserve">Questions total</t>
  </si>
  <si>
    <t xml:space="preserve">R</t>
  </si>
  <si>
    <t xml:space="preserve">Full worksheet, taught first</t>
  </si>
  <si>
    <t xml:space="preserve">A</t>
  </si>
  <si>
    <t xml:space="preserve">Work until 3 right in a row</t>
  </si>
  <si>
    <t xml:space="preserve">G</t>
  </si>
  <si>
    <t xml:space="preserve">2 question spot check</t>
  </si>
  <si>
    <t xml:space="preserve">Not yet rated</t>
  </si>
  <si>
    <t xml:space="preserve">Counts every row, including the ones we are not scheduling</t>
  </si>
  <si>
    <t xml:space="preserve">Total questions</t>
  </si>
  <si>
    <t xml:space="preserve">Hours at about 2.5 min a question</t>
  </si>
  <si>
    <t xml:space="preserve">Hours per week over six weeks</t>
  </si>
  <si>
    <t xml:space="preserve">By grade</t>
  </si>
  <si>
    <t xml:space="preserve">Grade</t>
  </si>
  <si>
    <t xml:space="preserve">Topics</t>
  </si>
  <si>
    <t xml:space="preserve">In our plan</t>
  </si>
  <si>
    <t xml:space="preserve">Red</t>
  </si>
  <si>
    <t xml:space="preserve">Amber</t>
  </si>
  <si>
    <t xml:space="preserve">Green</t>
  </si>
  <si>
    <t xml:space="preserve">Core</t>
  </si>
  <si>
    <t xml:space="preserve">Stretch</t>
  </si>
  <si>
    <t xml:space="preserve">Not this time</t>
  </si>
  <si>
    <t xml:space="preserve">Total</t>
  </si>
  <si>
    <t xml:space="preserve">Charlotte: maths topic check</t>
  </si>
  <si>
    <t xml:space="preserve">Edexcel International GCSE Maths, Higher Tier. 119 topics, listed in grade order.</t>
  </si>
  <si>
    <t xml:space="preserve">What to do</t>
  </si>
  <si>
    <t xml:space="preserve">Go to the RAG tracker tab and put R, A or G in the 'Your rating' column for each topic. That is the only column to fill in, plus Notes if you want.</t>
  </si>
  <si>
    <t xml:space="preserve">I could not start this, or I would get it wrong.</t>
  </si>
  <si>
    <t xml:space="preserve">I can do it but slowly, or I get some right and some wrong.</t>
  </si>
  <si>
    <t xml:space="preserve">I can do this confidently and quickly.</t>
  </si>
  <si>
    <t xml:space="preserve">Be honest rather than kind</t>
  </si>
  <si>
    <t xml:space="preserve">A topic marked G gets almost no time from us. If you are torn between two, pick the lower one.</t>
  </si>
  <si>
    <t xml:space="preserve">The early grades matter most</t>
  </si>
  <si>
    <t xml:space="preserve">Grades 1 to 3 will look easy. Do not skim them. A topic you rate R there is the most useful thing you can tell me, because those marks appear on every paper.</t>
  </si>
  <si>
    <t xml:space="preserve">Topic link</t>
  </si>
  <si>
    <t xml:space="preserve">Each row links to the Maths Genie page for that topic, which has a video, questions and worked solutions if you want to check before rating.</t>
  </si>
  <si>
    <t xml:space="preserve">How long</t>
  </si>
  <si>
    <t xml:space="preserve">About 119 rows, mostly one glance each. Roughly 30 minutes.</t>
  </si>
  <si>
    <t xml:space="preserve">Example of a filled row</t>
  </si>
  <si>
    <t xml:space="preserve">Topic</t>
  </si>
  <si>
    <t xml:space="preserve">Your rating</t>
  </si>
  <si>
    <t xml:space="preserve">Notes</t>
  </si>
  <si>
    <t xml:space="preserve">Indices</t>
  </si>
  <si>
    <t xml:space="preserve">Fine with x and divide, never sure about power of 0</t>
  </si>
  <si>
    <t xml:space="preserve">No.</t>
  </si>
  <si>
    <t xml:space="preserve">What we do about it</t>
  </si>
  <si>
    <t xml:space="preserve">Maths Genie</t>
  </si>
  <si>
    <t xml:space="preserve">PMT worksheet</t>
  </si>
  <si>
    <t xml:space="preserve">QP</t>
  </si>
  <si>
    <t xml:space="preserve">MS</t>
  </si>
  <si>
    <t xml:space="preserve">Ans</t>
  </si>
  <si>
    <t xml:space="preserve">1</t>
  </si>
  <si>
    <t xml:space="preserve">Addition And Subtraction</t>
  </si>
  <si>
    <t xml:space="preserve">open</t>
  </si>
  <si>
    <t xml:space="preserve">Four Operations</t>
  </si>
  <si>
    <t xml:space="preserve">2</t>
  </si>
  <si>
    <t xml:space="preserve">Multiplication And Division</t>
  </si>
  <si>
    <t xml:space="preserve">3</t>
  </si>
  <si>
    <t xml:space="preserve">Time</t>
  </si>
  <si>
    <t xml:space="preserve">Using Measures</t>
  </si>
  <si>
    <t xml:space="preserve">4</t>
  </si>
  <si>
    <t xml:space="preserve">Writing Simplifying And Ordering Fractions</t>
  </si>
  <si>
    <t xml:space="preserve">Fractions</t>
  </si>
  <si>
    <t xml:space="preserve">5</t>
  </si>
  <si>
    <t xml:space="preserve">Place Value</t>
  </si>
  <si>
    <t xml:space="preserve">no PMT sheet</t>
  </si>
  <si>
    <t xml:space="preserve">6</t>
  </si>
  <si>
    <t xml:space="preserve">Rounding</t>
  </si>
  <si>
    <t xml:space="preserve">7</t>
  </si>
  <si>
    <t xml:space="preserve">Negative Numbers</t>
  </si>
  <si>
    <t xml:space="preserve">8</t>
  </si>
  <si>
    <t xml:space="preserve">Powers And Roots</t>
  </si>
  <si>
    <t xml:space="preserve">Roots and Powers</t>
  </si>
  <si>
    <t xml:space="preserve">9</t>
  </si>
  <si>
    <t xml:space="preserve">Bidmas</t>
  </si>
  <si>
    <t xml:space="preserve">10</t>
  </si>
  <si>
    <t xml:space="preserve">Factors And Multiples</t>
  </si>
  <si>
    <t xml:space="preserve">Primes, Factors and Multiples</t>
  </si>
  <si>
    <t xml:space="preserve">11</t>
  </si>
  <si>
    <t xml:space="preserve">Coordinates</t>
  </si>
  <si>
    <t xml:space="preserve">12</t>
  </si>
  <si>
    <t xml:space="preserve">Pictograms</t>
  </si>
  <si>
    <t xml:space="preserve">Interpreting Data</t>
  </si>
  <si>
    <t xml:space="preserve">Calculation Problems</t>
  </si>
  <si>
    <t xml:space="preserve">Calculating Problems</t>
  </si>
  <si>
    <t xml:space="preserve">Using A Calculator</t>
  </si>
  <si>
    <t xml:space="preserve">Systematic Listing</t>
  </si>
  <si>
    <t xml:space="preserve">Probability of Events</t>
  </si>
  <si>
    <t xml:space="preserve">Fractions Of An Amount</t>
  </si>
  <si>
    <t xml:space="preserve">Fractions Decimals And Percentages</t>
  </si>
  <si>
    <t xml:space="preserve">Percentages</t>
  </si>
  <si>
    <t xml:space="preserve">Simplifying Algebra</t>
  </si>
  <si>
    <t xml:space="preserve">Simplifying Expressions</t>
  </si>
  <si>
    <t xml:space="preserve">Writing An Expression</t>
  </si>
  <si>
    <t xml:space="preserve">Deriving Expressions</t>
  </si>
  <si>
    <t xml:space="preserve">Function Machines</t>
  </si>
  <si>
    <t xml:space="preserve">Solving One Step Equations</t>
  </si>
  <si>
    <t xml:space="preserve">Solving Linear Equations</t>
  </si>
  <si>
    <t xml:space="preserve">Angles</t>
  </si>
  <si>
    <t xml:space="preserve">Properties of Angles</t>
  </si>
  <si>
    <t xml:space="preserve">Area And Perimeter</t>
  </si>
  <si>
    <t xml:space="preserve">Area; Perimeter</t>
  </si>
  <si>
    <t xml:space="preserve">Probability</t>
  </si>
  <si>
    <t xml:space="preserve">13</t>
  </si>
  <si>
    <t xml:space="preserve">Frequency Polygons</t>
  </si>
  <si>
    <t xml:space="preserve">14</t>
  </si>
  <si>
    <t xml:space="preserve">Averages</t>
  </si>
  <si>
    <t xml:space="preserve">Mean, Median, Mode, Range</t>
  </si>
  <si>
    <t xml:space="preserve">15</t>
  </si>
  <si>
    <t xml:space="preserve">Bar Charts</t>
  </si>
  <si>
    <t xml:space="preserve">16</t>
  </si>
  <si>
    <t xml:space="preserve">Pie Charts</t>
  </si>
  <si>
    <t xml:space="preserve">Estimating</t>
  </si>
  <si>
    <t xml:space="preserve">Approximation and Estimation</t>
  </si>
  <si>
    <t xml:space="preserve">Writing And Simplifying Ratio</t>
  </si>
  <si>
    <t xml:space="preserve">Ratio</t>
  </si>
  <si>
    <t xml:space="preserve">Proportion</t>
  </si>
  <si>
    <t xml:space="preserve">Percentage Change</t>
  </si>
  <si>
    <t xml:space="preserve">Percentage Increase or Decrease</t>
  </si>
  <si>
    <t xml:space="preserve">Exchange Rates</t>
  </si>
  <si>
    <t xml:space="preserve">Units of Measure</t>
  </si>
  <si>
    <t xml:space="preserve">Conversions And Units</t>
  </si>
  <si>
    <t xml:space="preserve">Scale Drawings</t>
  </si>
  <si>
    <t xml:space="preserve">Maps and Scale Drawings</t>
  </si>
  <si>
    <t xml:space="preserve">Best Buy Questions</t>
  </si>
  <si>
    <t xml:space="preserve">Compound Measures</t>
  </si>
  <si>
    <t xml:space="preserve">Substitution</t>
  </si>
  <si>
    <t xml:space="preserve">Substitution into Equations</t>
  </si>
  <si>
    <t xml:space="preserve">Solving Equations</t>
  </si>
  <si>
    <t xml:space="preserve">Drawing Graphs</t>
  </si>
  <si>
    <t xml:space="preserve">Graphs of Linear Equations</t>
  </si>
  <si>
    <t xml:space="preserve">Area And Circumference Of Circles</t>
  </si>
  <si>
    <t xml:space="preserve">Area</t>
  </si>
  <si>
    <t xml:space="preserve">Transformations</t>
  </si>
  <si>
    <t xml:space="preserve">Transformations of Shapes</t>
  </si>
  <si>
    <t xml:space="preserve">17</t>
  </si>
  <si>
    <t xml:space="preserve">Area Of Compound Shapes</t>
  </si>
  <si>
    <t xml:space="preserve">Compound Area</t>
  </si>
  <si>
    <t xml:space="preserve">18</t>
  </si>
  <si>
    <t xml:space="preserve">Frequency Trees</t>
  </si>
  <si>
    <t xml:space="preserve">Compound Interest And Depreciation</t>
  </si>
  <si>
    <t xml:space="preserve">Compound Interest</t>
  </si>
  <si>
    <t xml:space="preserve">Prime Factors Hcf And Lcm</t>
  </si>
  <si>
    <t xml:space="preserve">Real Life And Distance Time Graphs</t>
  </si>
  <si>
    <t xml:space="preserve">Interpreting Gradients</t>
  </si>
  <si>
    <t xml:space="preserve">Inequalities</t>
  </si>
  <si>
    <t xml:space="preserve">Forming And Solving Equations</t>
  </si>
  <si>
    <t xml:space="preserve">Forming Equations</t>
  </si>
  <si>
    <t xml:space="preserve">Sequences Nth Term</t>
  </si>
  <si>
    <t xml:space="preserve">Sequences</t>
  </si>
  <si>
    <t xml:space="preserve">Expanding And Factorising</t>
  </si>
  <si>
    <t xml:space="preserve">Expanding Equations; Factorising Equations</t>
  </si>
  <si>
    <t xml:space="preserve">Pythagoras</t>
  </si>
  <si>
    <t xml:space="preserve">Pythagoras' Theorem</t>
  </si>
  <si>
    <t xml:space="preserve">Angles In Parallel Lines</t>
  </si>
  <si>
    <t xml:space="preserve">Angles In Polygons</t>
  </si>
  <si>
    <t xml:space="preserve">Properties of Polygons</t>
  </si>
  <si>
    <t xml:space="preserve">Surface Area</t>
  </si>
  <si>
    <t xml:space="preserve">Volume and Surface Area</t>
  </si>
  <si>
    <t xml:space="preserve">Volume Of A Prism</t>
  </si>
  <si>
    <t xml:space="preserve">Cylinders</t>
  </si>
  <si>
    <t xml:space="preserve">Construction</t>
  </si>
  <si>
    <t xml:space="preserve">Constructions</t>
  </si>
  <si>
    <t xml:space="preserve">Bearings</t>
  </si>
  <si>
    <t xml:space="preserve">Averages From Frequency Tables</t>
  </si>
  <si>
    <t xml:space="preserve">Frequency Tables</t>
  </si>
  <si>
    <t xml:space="preserve">Reverse Percentages</t>
  </si>
  <si>
    <t xml:space="preserve">Standard Form</t>
  </si>
  <si>
    <t xml:space="preserve">Speed And Density</t>
  </si>
  <si>
    <t xml:space="preserve">Speed; Compound Measures</t>
  </si>
  <si>
    <t xml:space="preserve">Changing The Subject Of A Formula</t>
  </si>
  <si>
    <t xml:space="preserve">Manipulation of Formulae</t>
  </si>
  <si>
    <t xml:space="preserve">Expanding And Factorising Quadratics</t>
  </si>
  <si>
    <t xml:space="preserve">Factorising Equations</t>
  </si>
  <si>
    <t xml:space="preserve">Solving Quadratics</t>
  </si>
  <si>
    <t xml:space="preserve">Solving Quadratic Equations</t>
  </si>
  <si>
    <t xml:space="preserve">Drawing Quadratic Graphs</t>
  </si>
  <si>
    <t xml:space="preserve">Graphs of Quadratic Equations</t>
  </si>
  <si>
    <t xml:space="preserve">Simultaneous Equations</t>
  </si>
  <si>
    <t xml:space="preserve">Inequalities On Graphs</t>
  </si>
  <si>
    <t xml:space="preserve">Inequalities on Graphs</t>
  </si>
  <si>
    <t xml:space="preserve">Similar Shapes Lengths</t>
  </si>
  <si>
    <t xml:space="preserve">Congruence and Similarity</t>
  </si>
  <si>
    <t xml:space="preserve">Sohcahtoa Trigonometry</t>
  </si>
  <si>
    <t xml:space="preserve">Trig Ratios and Exact Values</t>
  </si>
  <si>
    <t xml:space="preserve">Venn Diagrams</t>
  </si>
  <si>
    <t xml:space="preserve">Data</t>
  </si>
  <si>
    <t xml:space="preserve">Recurring Decimals To Fractions</t>
  </si>
  <si>
    <t xml:space="preserve">Recurring Decimals into Fractions</t>
  </si>
  <si>
    <t xml:space="preserve">Fractional And Negative Indices</t>
  </si>
  <si>
    <t xml:space="preserve">Direct And Inverse Proportion</t>
  </si>
  <si>
    <t xml:space="preserve">Direct and Inverse Proportion</t>
  </si>
  <si>
    <t xml:space="preserve">Expanding Triple Brackets</t>
  </si>
  <si>
    <t xml:space="preserve">Drawing Other Graphs Cubic Reciprocal</t>
  </si>
  <si>
    <t xml:space="preserve">Cubic and Reciprocal Graphs</t>
  </si>
  <si>
    <t xml:space="preserve">Solving Simultaneous Equations Graphically</t>
  </si>
  <si>
    <t xml:space="preserve">Simultaneous Equations on Graphs</t>
  </si>
  <si>
    <t xml:space="preserve">Gradient Of A Line</t>
  </si>
  <si>
    <t xml:space="preserve">Gradients of Straight lines</t>
  </si>
  <si>
    <t xml:space="preserve">Equation Of A Line</t>
  </si>
  <si>
    <t xml:space="preserve">Equations of Straight Lines</t>
  </si>
  <si>
    <t xml:space="preserve">Spheres And Cones</t>
  </si>
  <si>
    <t xml:space="preserve">Sector Areas And Arc Lengths</t>
  </si>
  <si>
    <t xml:space="preserve">Sectors, Segments and Arcs</t>
  </si>
  <si>
    <t xml:space="preserve">Parallel And Perpendicular Lines</t>
  </si>
  <si>
    <t xml:space="preserve">Parallel or Perpendicular Lines</t>
  </si>
  <si>
    <t xml:space="preserve">Similar Shapes Area And Volume</t>
  </si>
  <si>
    <t xml:space="preserve">Similar (2D or 3D)</t>
  </si>
  <si>
    <t xml:space="preserve">Circle Theorems</t>
  </si>
  <si>
    <t xml:space="preserve">Cumulative Frequency</t>
  </si>
  <si>
    <t xml:space="preserve">Cumulative Frequency Graphs</t>
  </si>
  <si>
    <t xml:space="preserve">Vectors</t>
  </si>
  <si>
    <t xml:space="preserve">Manipulating Vectors</t>
  </si>
  <si>
    <t xml:space="preserve">Probability Trees</t>
  </si>
  <si>
    <t xml:space="preserve">Tree Diagrams</t>
  </si>
  <si>
    <t xml:space="preserve">Surds</t>
  </si>
  <si>
    <t xml:space="preserve">Bounds</t>
  </si>
  <si>
    <t xml:space="preserve">Quadratic Formula</t>
  </si>
  <si>
    <t xml:space="preserve">Factorising Harder Quadratics</t>
  </si>
  <si>
    <t xml:space="preserve">Algebraic Fractions</t>
  </si>
  <si>
    <t xml:space="preserve">Rearranging Harder Formulae</t>
  </si>
  <si>
    <t xml:space="preserve">Trigonometric And Exponential Graphs</t>
  </si>
  <si>
    <t xml:space="preserve">Exponential and Trigonometric Graphs</t>
  </si>
  <si>
    <t xml:space="preserve">Finding The Area Of Any Triangle</t>
  </si>
  <si>
    <t xml:space="preserve">Sine Rule, Cosine Rule and Area</t>
  </si>
  <si>
    <t xml:space="preserve">The Sine Rule</t>
  </si>
  <si>
    <t xml:space="preserve">The Cosine Rule</t>
  </si>
  <si>
    <t xml:space="preserve">3D Pythagoras And Trigonometry</t>
  </si>
  <si>
    <t xml:space="preserve">Pythagoras and trig (3D)</t>
  </si>
  <si>
    <t xml:space="preserve">The Magnitude Of A Vector</t>
  </si>
  <si>
    <t xml:space="preserve">Histograms</t>
  </si>
  <si>
    <t xml:space="preserve">Conditional Probability</t>
  </si>
  <si>
    <t xml:space="preserve">8.1</t>
  </si>
  <si>
    <t xml:space="preserve">Quadratic Simultaneous Equations</t>
  </si>
  <si>
    <t xml:space="preserve">8.2</t>
  </si>
  <si>
    <t xml:space="preserve">Transforming Graphs Y F X</t>
  </si>
  <si>
    <t xml:space="preserve">Translations and Reflections of Functions</t>
  </si>
  <si>
    <t xml:space="preserve">8.3</t>
  </si>
  <si>
    <t xml:space="preserve">Proof</t>
  </si>
  <si>
    <t xml:space="preserve">Algebraic Proof</t>
  </si>
  <si>
    <t xml:space="preserve">8.4</t>
  </si>
  <si>
    <t xml:space="preserve">Completing The Square</t>
  </si>
  <si>
    <t xml:space="preserve">Completing the square</t>
  </si>
  <si>
    <t xml:space="preserve">8.5</t>
  </si>
  <si>
    <t xml:space="preserve">Inverse And Composite Functions</t>
  </si>
  <si>
    <t xml:space="preserve">Functions (Composite or Inverse)</t>
  </si>
  <si>
    <t xml:space="preserve">8.6</t>
  </si>
  <si>
    <t xml:space="preserve">Quadratic Inequalities</t>
  </si>
  <si>
    <t xml:space="preserve">8.7</t>
  </si>
  <si>
    <t xml:space="preserve">Sequences Higher</t>
  </si>
  <si>
    <t xml:space="preserve">8.8</t>
  </si>
  <si>
    <t xml:space="preserve">Differentiation</t>
  </si>
  <si>
    <t xml:space="preserve">8.9</t>
  </si>
  <si>
    <t xml:space="preserve">Vectors Proof Questions</t>
  </si>
  <si>
    <t xml:space="preserve">Vector Proof</t>
  </si>
  <si>
    <t xml:space="preserve">8.10</t>
  </si>
  <si>
    <t xml:space="preserve">Probability Equation Questions</t>
  </si>
  <si>
    <t xml:space="preserve">Probability Equations</t>
  </si>
  <si>
    <t xml:space="preserve">Cross-check against the Pearson 4MA1 specification</t>
  </si>
  <si>
    <t xml:space="preserve">Every subsection of the specification, and the Maths Genie topics that cover it. Built so nothing is lost by using Maths Genie as the spine.</t>
  </si>
  <si>
    <t xml:space="preserve">Spec ref</t>
  </si>
  <si>
    <t xml:space="preserve">Specification topic</t>
  </si>
  <si>
    <t xml:space="preserve">Covered by</t>
  </si>
  <si>
    <t xml:space="preserve">Status</t>
  </si>
  <si>
    <t xml:space="preserve">1.1</t>
  </si>
  <si>
    <t xml:space="preserve">Integers</t>
  </si>
  <si>
    <t xml:space="preserve">Addition And Subtraction, Multiplication And Division, Place Value, Negative Numbers, Bidmas, Factors And Multiples</t>
  </si>
  <si>
    <t xml:space="preserve">Covered</t>
  </si>
  <si>
    <t xml:space="preserve">1.2</t>
  </si>
  <si>
    <t xml:space="preserve">Writing Simplifying And Ordering Fractions, Fractions Of An Amount, Fractions</t>
  </si>
  <si>
    <t xml:space="preserve">1.3</t>
  </si>
  <si>
    <t xml:space="preserve">Decimals</t>
  </si>
  <si>
    <t xml:space="preserve">Place Value, Fractions Decimals And Percentages, Recurring Decimals To Fractions</t>
  </si>
  <si>
    <t xml:space="preserve">1.4</t>
  </si>
  <si>
    <t xml:space="preserve">Powers and roots</t>
  </si>
  <si>
    <t xml:space="preserve">Powers And Roots, Indices, Prime Factors Hcf And Lcm, Fractional And Negative Indices, Surds</t>
  </si>
  <si>
    <t xml:space="preserve">1.5</t>
  </si>
  <si>
    <t xml:space="preserve">Set language and notation</t>
  </si>
  <si>
    <t xml:space="preserve">1.6</t>
  </si>
  <si>
    <t xml:space="preserve">Percentages, Percentage Change, Reverse Percentages, Compound Interest And Depreciation, Fractions Decimals And Percentages</t>
  </si>
  <si>
    <t xml:space="preserve">1.7</t>
  </si>
  <si>
    <t xml:space="preserve">Ratio and proportion</t>
  </si>
  <si>
    <t xml:space="preserve">Writing And Simplifying Ratio, Ratio, Proportion, Best Buy Questions, Scale Drawings</t>
  </si>
  <si>
    <t xml:space="preserve">1.8</t>
  </si>
  <si>
    <t xml:space="preserve">Degree of accuracy</t>
  </si>
  <si>
    <t xml:space="preserve">Rounding, Estimating, Bounds</t>
  </si>
  <si>
    <t xml:space="preserve">1.9</t>
  </si>
  <si>
    <t xml:space="preserve">Standard form</t>
  </si>
  <si>
    <t xml:space="preserve">1.10</t>
  </si>
  <si>
    <t xml:space="preserve">Applying number</t>
  </si>
  <si>
    <t xml:space="preserve">Conversions And Units, Time, Calculation Problems, Exchange Rates</t>
  </si>
  <si>
    <t xml:space="preserve">1.11</t>
  </si>
  <si>
    <t xml:space="preserve">Electronic calculators</t>
  </si>
  <si>
    <t xml:space="preserve">2.1</t>
  </si>
  <si>
    <t xml:space="preserve">Use of symbols</t>
  </si>
  <si>
    <t xml:space="preserve">Simplifying Algebra, Indices, Fractional And Negative Indices</t>
  </si>
  <si>
    <t xml:space="preserve">2.2</t>
  </si>
  <si>
    <t xml:space="preserve">Algebraic manipulation</t>
  </si>
  <si>
    <t xml:space="preserve">Simplifying Algebra, Writing An Expression, Expanding And Factorising, Expanding And Factorising Quadratics, Expanding Triple Brackets, Factorising Harder Quadratics, Algebraic Fractions, Completing The Square, Proof</t>
  </si>
  <si>
    <t xml:space="preserve">2.3</t>
  </si>
  <si>
    <t xml:space="preserve">Expressions and formulae</t>
  </si>
  <si>
    <t xml:space="preserve">Substitution, Changing The Subject Of A Formula, Rearranging Harder Formulae, Writing An Expression</t>
  </si>
  <si>
    <t xml:space="preserve">2.4</t>
  </si>
  <si>
    <t xml:space="preserve">Linear equations</t>
  </si>
  <si>
    <t xml:space="preserve">Solving One Step Equations, Solving Equations, Forming And Solving Equations</t>
  </si>
  <si>
    <t xml:space="preserve">2.5</t>
  </si>
  <si>
    <t xml:space="preserve">2.6</t>
  </si>
  <si>
    <t xml:space="preserve">Simultaneous linear equations</t>
  </si>
  <si>
    <t xml:space="preserve">Simultaneous Equations, Solving Simultaneous Equations Graphically, Quadratic Simultaneous Equations</t>
  </si>
  <si>
    <t xml:space="preserve">2.7</t>
  </si>
  <si>
    <t xml:space="preserve">Quadratic equations</t>
  </si>
  <si>
    <t xml:space="preserve">Solving Quadratics, Quadratic Formula, Expanding And Factorising Quadratics</t>
  </si>
  <si>
    <t xml:space="preserve">2.8</t>
  </si>
  <si>
    <t xml:space="preserve">Inequalities, Inequalities On Graphs, Quadratic Inequalities</t>
  </si>
  <si>
    <t xml:space="preserve">3.1</t>
  </si>
  <si>
    <t xml:space="preserve">Sequences Nth Term, Sequences Higher</t>
  </si>
  <si>
    <t xml:space="preserve">3.2</t>
  </si>
  <si>
    <t xml:space="preserve">Function notation</t>
  </si>
  <si>
    <t xml:space="preserve">Function Machines, Inverse And Composite Functions</t>
  </si>
  <si>
    <t xml:space="preserve">3.3</t>
  </si>
  <si>
    <t xml:space="preserve">Graphs</t>
  </si>
  <si>
    <t xml:space="preserve">Coordinates, Drawing Graphs, Real Life And Distance Time Graphs, Drawing Quadratic Graphs, Drawing Other Graphs Cubic Reciprocal, Gradient Of A Line, Equation Of A Line, Parallel And Perpendicular Lines, Trigonometric And Exponential Graphs, Transforming Graphs Y F X</t>
  </si>
  <si>
    <t xml:space="preserve">3.4</t>
  </si>
  <si>
    <t xml:space="preserve">Calculus</t>
  </si>
  <si>
    <t xml:space="preserve">4.1</t>
  </si>
  <si>
    <t xml:space="preserve">Angles, lines and triangles</t>
  </si>
  <si>
    <t xml:space="preserve">Angles, Angles In Parallel Lines</t>
  </si>
  <si>
    <t xml:space="preserve">4.2</t>
  </si>
  <si>
    <t xml:space="preserve">Polygons</t>
  </si>
  <si>
    <t xml:space="preserve">Angles In Polygons, Angles</t>
  </si>
  <si>
    <t xml:space="preserve">4.3</t>
  </si>
  <si>
    <t xml:space="preserve">Symmetry</t>
  </si>
  <si>
    <t xml:space="preserve">NOTHING</t>
  </si>
  <si>
    <t xml:space="preserve">GAP</t>
  </si>
  <si>
    <t xml:space="preserve">4.4</t>
  </si>
  <si>
    <t xml:space="preserve">Measures</t>
  </si>
  <si>
    <t xml:space="preserve">Time, Conversions And Units, Bearings, Speed And Density, Best Buy Questions</t>
  </si>
  <si>
    <t xml:space="preserve">4.5</t>
  </si>
  <si>
    <t xml:space="preserve">4.6</t>
  </si>
  <si>
    <t xml:space="preserve">Circle properties</t>
  </si>
  <si>
    <t xml:space="preserve">Area And Circumference Of Circles, Circle Theorems</t>
  </si>
  <si>
    <t xml:space="preserve">4.7</t>
  </si>
  <si>
    <t xml:space="preserve">Geometrical reasoning</t>
  </si>
  <si>
    <t xml:space="preserve">Angles, Angles In Parallel Lines, Angles In Polygons</t>
  </si>
  <si>
    <t xml:space="preserve">4.8</t>
  </si>
  <si>
    <t xml:space="preserve">Trigonometry and Pythagoras</t>
  </si>
  <si>
    <t xml:space="preserve">Pythagoras, Sohcahtoa Trigonometry, The Sine Rule, The Cosine Rule, Finding The Area Of Any Triangle, 3D Pythagoras And Trigonometry</t>
  </si>
  <si>
    <t xml:space="preserve">4.9</t>
  </si>
  <si>
    <t xml:space="preserve">Mensuration</t>
  </si>
  <si>
    <t xml:space="preserve">Area And Perimeter, Area Of Compound Shapes, Area And Circumference Of Circles, Sector Areas And Arc Lengths</t>
  </si>
  <si>
    <t xml:space="preserve">4.10</t>
  </si>
  <si>
    <t xml:space="preserve">3D shapes and volume</t>
  </si>
  <si>
    <t xml:space="preserve">Surface Area, Volume Of A Prism, Cylinders, Spheres And Cones</t>
  </si>
  <si>
    <t xml:space="preserve">4.11</t>
  </si>
  <si>
    <t xml:space="preserve">Similarity</t>
  </si>
  <si>
    <t xml:space="preserve">Similar Shapes Lengths, Similar Shapes Area And Volume</t>
  </si>
  <si>
    <t xml:space="preserve">5.1</t>
  </si>
  <si>
    <t xml:space="preserve">Vectors, The Magnitude Of A Vector, Vectors Proof Questions</t>
  </si>
  <si>
    <t xml:space="preserve">5.2</t>
  </si>
  <si>
    <t xml:space="preserve">Transformation geometry</t>
  </si>
  <si>
    <t xml:space="preserve">6.1</t>
  </si>
  <si>
    <t xml:space="preserve">Graphical representation of data</t>
  </si>
  <si>
    <t xml:space="preserve">Pictograms, Bar Charts, Pie Charts, Frequency Polygons, Cumulative Frequency, Histograms, Data</t>
  </si>
  <si>
    <t xml:space="preserve">6.2</t>
  </si>
  <si>
    <t xml:space="preserve">Statistical measures</t>
  </si>
  <si>
    <t xml:space="preserve">Averages, Averages From Frequency Tables, Data, Cumulative Frequency</t>
  </si>
  <si>
    <t xml:space="preserve">6.3</t>
  </si>
  <si>
    <t xml:space="preserve">Probability, Frequency Trees, Venn Diagrams, Probability Trees, Conditional Probability, Probability Equation Questions, Systematic Listing</t>
  </si>
  <si>
    <t xml:space="preserve">4.3 Symmetry has no Maths Genie topic. Lines of symmetry and order of rotational symmetry are on the specification. Cover it inside Transformations.</t>
  </si>
  <si>
    <t xml:space="preserve">Congruence (4.2 F and G) has no topic of its own. It sits inside Similar Shapes Lengths and Transformations.</t>
  </si>
  <si>
    <t xml:space="preserve">Set notation beyond Venn diagrams (union, intersection, complement, n(A), subsets) sits only inside Venn Diagrams. Check she has seen the symbols.</t>
  </si>
  <si>
    <t xml:space="preserve">Everything else on the specification maps to at least one Maths Genie topic.</t>
  </si>
  <si>
    <t xml:space="preserve">Grade 7 and above rows say 'Not scheduled' whatever the rating, and are excluded from the question totals above.</t>
  </si>
  <si>
    <t xml:space="preserve">Grades shown are Maths Genie's estimates, not Pearson's. Boundaries move each series.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</si>
</sst>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947"/>
      <name val="Arial"/>
      <family val="0"/>
      <charset val="1"/>
    </font>
    <font>
      <i val="true"/>
      <sz val="10"/>
      <color rgb="FF5D6471"/>
      <name val="Arial"/>
      <family val="0"/>
      <charset val="1"/>
    </font>
    <font>
      <b val="true"/>
      <sz val="10"/>
      <color rgb="FFF6F4E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62947"/>
      <name val="Arial"/>
      <family val="0"/>
      <charset val="1"/>
    </font>
    <font>
      <b val="true"/>
      <sz val="10"/>
      <color rgb="FF162947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162947"/>
      <name val="Arial"/>
      <family val="0"/>
      <charset val="1"/>
    </font>
    <font>
      <sz val="10"/>
      <color rgb="FF5D647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62947"/>
        <bgColor rgb="FF333333"/>
      </patternFill>
    </fill>
    <fill>
      <patternFill patternType="solid">
        <fgColor rgb="FFF4CCCC"/>
        <bgColor rgb="FFD8D3C6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FEBE1"/>
      </patternFill>
    </fill>
    <fill>
      <patternFill patternType="solid">
        <fgColor rgb="FFEFEBE1"/>
        <bgColor rgb="FFEDEDED"/>
      </patternFill>
    </fill>
    <fill>
      <patternFill patternType="solid">
        <fgColor rgb="FFF2F2F2"/>
        <bgColor rgb="FFF6F4EF"/>
      </patternFill>
    </fill>
    <fill>
      <patternFill patternType="solid">
        <fgColor rgb="FFFFF2CC"/>
        <bgColor rgb="FFFCE5CD"/>
      </patternFill>
    </fill>
    <fill>
      <patternFill patternType="solid">
        <fgColor rgb="FFFFFFFF"/>
        <bgColor rgb="FFF6F4EF"/>
      </patternFill>
    </fill>
    <fill>
      <patternFill patternType="solid">
        <fgColor rgb="FFEDEDED"/>
        <bgColor rgb="FFEFEBE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3C6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EFEB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EAD3"/>
      <rgbColor rgb="FFFCE5CD"/>
      <rgbColor rgb="FFF6F4E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D6471"/>
      <rgbColor rgb="FF969696"/>
      <rgbColor rgb="FF16294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athsgenie.co.uk/igcse/maths/edexcel/grade-1-1-1-addition-and-subtraction" TargetMode="External"/><Relationship Id="rId2" Type="http://schemas.openxmlformats.org/officeDocument/2006/relationships/hyperlink" Target="https://pmt.physicsandmathstutor.com/download/Maths/GCSE/Topic-Qs/Edexcel-IGCSE/Number/QP/Higher/Structure-and-Calculation/Four%20Operations%20(H)%20QP.pdf" TargetMode="External"/><Relationship Id="rId3" Type="http://schemas.openxmlformats.org/officeDocument/2006/relationships/hyperlink" Target="https://pmt.physicsandmathstutor.com/download/Maths/GCSE/Topic-Qs/Edexcel-IGCSE/Number/MS/Higher/Structure-and-Calculation/Four%20Operations%20(H)%20MS.pdf" TargetMode="External"/><Relationship Id="rId4" Type="http://schemas.openxmlformats.org/officeDocument/2006/relationships/hyperlink" Target="https://pmt.physicsandmathstutor.com/download/Maths/GCSE/Topic-Qs/Edexcel-IGCSE/Number/MA/Higher/Structure-and-Calculation/Four%20Operations%20(H)%20MA.pdf" TargetMode="External"/><Relationship Id="rId5" Type="http://schemas.openxmlformats.org/officeDocument/2006/relationships/hyperlink" Target="https://mathsgenie.co.uk/igcse/maths/edexcel/grade-1-1-2-multiplication-and-division" TargetMode="External"/><Relationship Id="rId6" Type="http://schemas.openxmlformats.org/officeDocument/2006/relationships/hyperlink" Target="https://pmt.physicsandmathstutor.com/download/Maths/GCSE/Topic-Qs/Edexcel-IGCSE/Number/QP/Higher/Structure-and-Calculation/Four%20Operations%20(H)%20QP.pdf" TargetMode="External"/><Relationship Id="rId7" Type="http://schemas.openxmlformats.org/officeDocument/2006/relationships/hyperlink" Target="https://pmt.physicsandmathstutor.com/download/Maths/GCSE/Topic-Qs/Edexcel-IGCSE/Number/MS/Higher/Structure-and-Calculation/Four%20Operations%20(H)%20MS.pdf" TargetMode="External"/><Relationship Id="rId8" Type="http://schemas.openxmlformats.org/officeDocument/2006/relationships/hyperlink" Target="https://pmt.physicsandmathstutor.com/download/Maths/GCSE/Topic-Qs/Edexcel-IGCSE/Number/MA/Higher/Structure-and-Calculation/Four%20Operations%20(H)%20MA.pdf" TargetMode="External"/><Relationship Id="rId9" Type="http://schemas.openxmlformats.org/officeDocument/2006/relationships/hyperlink" Target="https://mathsgenie.co.uk/igcse/maths/edexcel/grade-1-1-3-time" TargetMode="External"/><Relationship Id="rId10" Type="http://schemas.openxmlformats.org/officeDocument/2006/relationships/hyperlink" Target="https://pmt.physicsandmathstutor.com/download/Maths/GCSE/Topic-Qs/Edexcel-IGCSE/Number/QP/Higher/Measures-and-Accuracy/Using%20Measures%20(H)%20QP.pdf" TargetMode="External"/><Relationship Id="rId11" Type="http://schemas.openxmlformats.org/officeDocument/2006/relationships/hyperlink" Target="https://pmt.physicsandmathstutor.com/download/Maths/GCSE/Topic-Qs/Edexcel-IGCSE/Number/MS/Higher/Measures-and-Accuracy/Using%20Measures%20(H)%20MS.pdf" TargetMode="External"/><Relationship Id="rId12" Type="http://schemas.openxmlformats.org/officeDocument/2006/relationships/hyperlink" Target="https://pmt.physicsandmathstutor.com/download/Maths/GCSE/Topic-Qs/Edexcel-IGCSE/Number/MA/Higher/Measures-and-Accuracy/Using%20Measures%20(H)%20MA.pdf" TargetMode="External"/><Relationship Id="rId13" Type="http://schemas.openxmlformats.org/officeDocument/2006/relationships/hyperlink" Target="https://mathsgenie.co.uk/igcse/maths/edexcel/grade-1-1-4-writing-simplifying-and-ordering-fractions" TargetMode="External"/><Relationship Id="rId14" Type="http://schemas.openxmlformats.org/officeDocument/2006/relationships/hyperlink" Target="https://pmt.physicsandmathstutor.com/download/Maths/GCSE/Topic-Qs/Edexcel-IGCSE/Number/QP/Higher/Fractions-Decimals-and-Percentages/Fractions%20(H)%20QP.pdf" TargetMode="External"/><Relationship Id="rId15" Type="http://schemas.openxmlformats.org/officeDocument/2006/relationships/hyperlink" Target="https://pmt.physicsandmathstutor.com/download/Maths/GCSE/Topic-Qs/Edexcel-IGCSE/Number/MS/Higher/Fractions-Decimals-and-Percentages/Fractions%20(H)%20MS.pdf" TargetMode="External"/><Relationship Id="rId16" Type="http://schemas.openxmlformats.org/officeDocument/2006/relationships/hyperlink" Target="https://pmt.physicsandmathstutor.com/download/Maths/GCSE/Topic-Qs/Edexcel-IGCSE/Number/MA/Higher/Fractions-Decimals-and-Percentages/Fractions%20(H)%20MA.pdf" TargetMode="External"/><Relationship Id="rId17" Type="http://schemas.openxmlformats.org/officeDocument/2006/relationships/hyperlink" Target="https://mathsgenie.co.uk/igcse/maths/edexcel/grade-1-1-5-place-value" TargetMode="External"/><Relationship Id="rId18" Type="http://schemas.openxmlformats.org/officeDocument/2006/relationships/hyperlink" Target="https://mathsgenie.co.uk/igcse/maths/edexcel/grade-1-1-6-rounding" TargetMode="External"/><Relationship Id="rId19" Type="http://schemas.openxmlformats.org/officeDocument/2006/relationships/hyperlink" Target="https://pmt.physicsandmathstutor.com/download/Maths/GCSE/Topic-Qs/Edexcel-IGCSE/Number/QP/Higher/Measures-and-Accuracy/Rounding%20(H)%20QP.pdf" TargetMode="External"/><Relationship Id="rId20" Type="http://schemas.openxmlformats.org/officeDocument/2006/relationships/hyperlink" Target="https://pmt.physicsandmathstutor.com/download/Maths/GCSE/Topic-Qs/Edexcel-IGCSE/Number/MS/Higher/Measures-and-Accuracy/Rounding%20(H)%20MS.pdf" TargetMode="External"/><Relationship Id="rId21" Type="http://schemas.openxmlformats.org/officeDocument/2006/relationships/hyperlink" Target="https://pmt.physicsandmathstutor.com/download/Maths/GCSE/Topic-Qs/Edexcel-IGCSE/Number/MA/Higher/Measures-and-Accuracy/Rounding%20(H)%20MA.pdf" TargetMode="External"/><Relationship Id="rId22" Type="http://schemas.openxmlformats.org/officeDocument/2006/relationships/hyperlink" Target="https://mathsgenie.co.uk/igcse/maths/edexcel/grade-1-1-7-negative-numbers" TargetMode="External"/><Relationship Id="rId23" Type="http://schemas.openxmlformats.org/officeDocument/2006/relationships/hyperlink" Target="https://pmt.physicsandmathstutor.com/download/Maths/GCSE/Topic-Qs/Edexcel-IGCSE/Number/QP/Higher/Structure-and-Calculation/Four%20Operations%20(H)%20QP.pdf" TargetMode="External"/><Relationship Id="rId24" Type="http://schemas.openxmlformats.org/officeDocument/2006/relationships/hyperlink" Target="https://pmt.physicsandmathstutor.com/download/Maths/GCSE/Topic-Qs/Edexcel-IGCSE/Number/MS/Higher/Structure-and-Calculation/Four%20Operations%20(H)%20MS.pdf" TargetMode="External"/><Relationship Id="rId25" Type="http://schemas.openxmlformats.org/officeDocument/2006/relationships/hyperlink" Target="https://pmt.physicsandmathstutor.com/download/Maths/GCSE/Topic-Qs/Edexcel-IGCSE/Number/MA/Higher/Structure-and-Calculation/Four%20Operations%20(H)%20MA.pdf" TargetMode="External"/><Relationship Id="rId26" Type="http://schemas.openxmlformats.org/officeDocument/2006/relationships/hyperlink" Target="https://mathsgenie.co.uk/igcse/maths/edexcel/grade-1-1-8-powers-and-roots" TargetMode="External"/><Relationship Id="rId27" Type="http://schemas.openxmlformats.org/officeDocument/2006/relationships/hyperlink" Target="https://pmt.physicsandmathstutor.com/download/Maths/GCSE/Topic-Qs/Edexcel-IGCSE/Number/QP/Higher/Structure-and-Calculation/Roots%20and%20Powers%20(H)%20QP.pdf" TargetMode="External"/><Relationship Id="rId28" Type="http://schemas.openxmlformats.org/officeDocument/2006/relationships/hyperlink" Target="https://pmt.physicsandmathstutor.com/download/Maths/GCSE/Topic-Qs/Edexcel-IGCSE/Number/MS/Higher/Structure-and-Calculation/Roots%20and%20Powers%20(H)%20MS.pdf" TargetMode="External"/><Relationship Id="rId29" Type="http://schemas.openxmlformats.org/officeDocument/2006/relationships/hyperlink" Target="https://pmt.physicsandmathstutor.com/download/Maths/GCSE/Topic-Qs/Edexcel-IGCSE/Number/MA/Higher/Structure-and-Calculation/Roots%20and%20Powers%20(H)%20MA.pdf" TargetMode="External"/><Relationship Id="rId30" Type="http://schemas.openxmlformats.org/officeDocument/2006/relationships/hyperlink" Target="https://mathsgenie.co.uk/igcse/maths/edexcel/grade-1-1-9-bidmas" TargetMode="External"/><Relationship Id="rId31" Type="http://schemas.openxmlformats.org/officeDocument/2006/relationships/hyperlink" Target="https://pmt.physicsandmathstutor.com/download/Maths/GCSE/Topic-Qs/Edexcel-IGCSE/Number/QP/Higher/Structure-and-Calculation/Four%20Operations%20(H)%20QP.pdf" TargetMode="External"/><Relationship Id="rId32" Type="http://schemas.openxmlformats.org/officeDocument/2006/relationships/hyperlink" Target="https://pmt.physicsandmathstutor.com/download/Maths/GCSE/Topic-Qs/Edexcel-IGCSE/Number/MS/Higher/Structure-and-Calculation/Four%20Operations%20(H)%20MS.pdf" TargetMode="External"/><Relationship Id="rId33" Type="http://schemas.openxmlformats.org/officeDocument/2006/relationships/hyperlink" Target="https://pmt.physicsandmathstutor.com/download/Maths/GCSE/Topic-Qs/Edexcel-IGCSE/Number/MA/Higher/Structure-and-Calculation/Four%20Operations%20(H)%20MA.pdf" TargetMode="External"/><Relationship Id="rId34" Type="http://schemas.openxmlformats.org/officeDocument/2006/relationships/hyperlink" Target="https://mathsgenie.co.uk/igcse/maths/edexcel/grade-1-1-10-factors-and-multiples" TargetMode="External"/><Relationship Id="rId35" Type="http://schemas.openxmlformats.org/officeDocument/2006/relationships/hyperlink" Target="https://pmt.physicsandmathstutor.com/download/Maths/GCSE/Topic-Qs/Edexcel-IGCSE/Number/QP/Higher/Structure-and-Calculation/Primes,%20Factors%20and%20Multiples%20(H)%20QP.pdf" TargetMode="External"/><Relationship Id="rId36" Type="http://schemas.openxmlformats.org/officeDocument/2006/relationships/hyperlink" Target="https://pmt.physicsandmathstutor.com/download/Maths/GCSE/Topic-Qs/Edexcel-IGCSE/Number/MS/Higher/Structure-and-Calculation/Primes,%20Factors%20and%20Multiples%20(H)%20MS.pdf" TargetMode="External"/><Relationship Id="rId37" Type="http://schemas.openxmlformats.org/officeDocument/2006/relationships/hyperlink" Target="https://pmt.physicsandmathstutor.com/download/Maths/GCSE/Topic-Qs/Edexcel-IGCSE/Number/MA/Higher/Structure-and-Calculation/Primes,%20Factors%20and%20Multiples%20(H)%20MA.pdf" TargetMode="External"/><Relationship Id="rId38" Type="http://schemas.openxmlformats.org/officeDocument/2006/relationships/hyperlink" Target="https://mathsgenie.co.uk/igcse/maths/edexcel/grade-1-1-11-coordinates" TargetMode="External"/><Relationship Id="rId39" Type="http://schemas.openxmlformats.org/officeDocument/2006/relationships/hyperlink" Target="https://pmt.physicsandmathstutor.com/download/Maths/GCSE/Topic-Qs/Edexcel-IGCSE/Algebra/QP/Higher/Graphs/Coordinates%20(H)%20QP.pdf" TargetMode="External"/><Relationship Id="rId40" Type="http://schemas.openxmlformats.org/officeDocument/2006/relationships/hyperlink" Target="https://pmt.physicsandmathstutor.com/download/Maths/GCSE/Topic-Qs/Edexcel-IGCSE/Algebra/MS/Higher/Graphs/Coordinates%20(H)%20MS.pdf" TargetMode="External"/><Relationship Id="rId41" Type="http://schemas.openxmlformats.org/officeDocument/2006/relationships/hyperlink" Target="https://pmt.physicsandmathstutor.com/download/Maths/GCSE/Topic-Qs/Edexcel-IGCSE/Algebra/MA/Higher/Graphs/Coordinates%20(H)%20MA.pdf" TargetMode="External"/><Relationship Id="rId42" Type="http://schemas.openxmlformats.org/officeDocument/2006/relationships/hyperlink" Target="https://mathsgenie.co.uk/igcse/maths/edexcel/grade-1-1-12-pictograms" TargetMode="External"/><Relationship Id="rId43" Type="http://schemas.openxmlformats.org/officeDocument/2006/relationships/hyperlink" Target="https://pmt.physicsandmathstutor.com/download/Maths/GCSE/Topic-Qs/Edexcel-IGCSE/Statistics/QP/Higher/Interpreting%20Data%20(H)%20QP.pdf" TargetMode="External"/><Relationship Id="rId44" Type="http://schemas.openxmlformats.org/officeDocument/2006/relationships/hyperlink" Target="https://pmt.physicsandmathstutor.com/download/Maths/GCSE/Topic-Qs/Edexcel-IGCSE/Statistics/MS/Higher/Interpreting%20Data%20(H)%20MS.pdf" TargetMode="External"/><Relationship Id="rId45" Type="http://schemas.openxmlformats.org/officeDocument/2006/relationships/hyperlink" Target="https://pmt.physicsandmathstutor.com/download/Maths/GCSE/Topic-Qs/Edexcel-IGCSE/Statistics/MA/Higher/Interpreting%20Data%20(H)%20MA.pdf" TargetMode="External"/><Relationship Id="rId46" Type="http://schemas.openxmlformats.org/officeDocument/2006/relationships/hyperlink" Target="https://mathsgenie.co.uk/igcse/maths/edexcel/grade-2-2-1-calculation-problems" TargetMode="External"/><Relationship Id="rId47" Type="http://schemas.openxmlformats.org/officeDocument/2006/relationships/hyperlink" Target="https://pmt.physicsandmathstutor.com/download/Maths/GCSE/Topic-Qs/Edexcel-IGCSE/Number/QP/Higher/Structure-and-Calculation/Calculating%20Problems%20(H)%20QP.pdf" TargetMode="External"/><Relationship Id="rId48" Type="http://schemas.openxmlformats.org/officeDocument/2006/relationships/hyperlink" Target="https://pmt.physicsandmathstutor.com/download/Maths/GCSE/Topic-Qs/Edexcel-IGCSE/Number/MS/Higher/Structure-and-Calculation/Calculating%20Problems%20(H)%20MS.pdf" TargetMode="External"/><Relationship Id="rId49" Type="http://schemas.openxmlformats.org/officeDocument/2006/relationships/hyperlink" Target="https://pmt.physicsandmathstutor.com/download/Maths/GCSE/Topic-Qs/Edexcel-IGCSE/Number/MA/Higher/Structure-and-Calculation/Calculating%20Problems%20(H)%20MA.pdf" TargetMode="External"/><Relationship Id="rId50" Type="http://schemas.openxmlformats.org/officeDocument/2006/relationships/hyperlink" Target="https://mathsgenie.co.uk/igcse/maths/edexcel/grade-2-2-2-using-a-calculator" TargetMode="External"/><Relationship Id="rId51" Type="http://schemas.openxmlformats.org/officeDocument/2006/relationships/hyperlink" Target="https://mathsgenie.co.uk/igcse/maths/edexcel/grade-2-2-3-systematic-listing" TargetMode="External"/><Relationship Id="rId52" Type="http://schemas.openxmlformats.org/officeDocument/2006/relationships/hyperlink" Target="https://pmt.physicsandmathstutor.com/download/Maths/GCSE/Topic-Qs/Edexcel-IGCSE/Probability/QP/Higher/Probability%20of%20Events%20(H)%20QP.pdf" TargetMode="External"/><Relationship Id="rId53" Type="http://schemas.openxmlformats.org/officeDocument/2006/relationships/hyperlink" Target="https://pmt.physicsandmathstutor.com/download/Maths/GCSE/Topic-Qs/Edexcel-IGCSE/Probability/MS/Higher/Probability%20of%20Events%20(H)%20MS.pdf" TargetMode="External"/><Relationship Id="rId54" Type="http://schemas.openxmlformats.org/officeDocument/2006/relationships/hyperlink" Target="https://pmt.physicsandmathstutor.com/download/Maths/GCSE/Topic-Qs/Edexcel-IGCSE/Probability/MA/Higher/Probability%20of%20Events%20(H)%20MA.pdf" TargetMode="External"/><Relationship Id="rId55" Type="http://schemas.openxmlformats.org/officeDocument/2006/relationships/hyperlink" Target="https://mathsgenie.co.uk/igcse/maths/edexcel/grade-2-2-4-fractions-of-an-amount" TargetMode="External"/><Relationship Id="rId56" Type="http://schemas.openxmlformats.org/officeDocument/2006/relationships/hyperlink" Target="https://pmt.physicsandmathstutor.com/download/Maths/GCSE/Topic-Qs/Edexcel-IGCSE/Number/QP/Higher/Fractions-Decimals-and-Percentages/Fractions%20(H)%20QP.pdf" TargetMode="External"/><Relationship Id="rId57" Type="http://schemas.openxmlformats.org/officeDocument/2006/relationships/hyperlink" Target="https://pmt.physicsandmathstutor.com/download/Maths/GCSE/Topic-Qs/Edexcel-IGCSE/Number/MS/Higher/Fractions-Decimals-and-Percentages/Fractions%20(H)%20MS.pdf" TargetMode="External"/><Relationship Id="rId58" Type="http://schemas.openxmlformats.org/officeDocument/2006/relationships/hyperlink" Target="https://pmt.physicsandmathstutor.com/download/Maths/GCSE/Topic-Qs/Edexcel-IGCSE/Number/MA/Higher/Fractions-Decimals-and-Percentages/Fractions%20(H)%20MA.pdf" TargetMode="External"/><Relationship Id="rId59" Type="http://schemas.openxmlformats.org/officeDocument/2006/relationships/hyperlink" Target="https://mathsgenie.co.uk/igcse/maths/edexcel/grade-2-2-5-fractions-decimals-and-percentages" TargetMode="External"/><Relationship Id="rId60" Type="http://schemas.openxmlformats.org/officeDocument/2006/relationships/hyperlink" Target="https://pmt.physicsandmathstutor.com/download/Maths/GCSE/Topic-Qs/Edexcel-IGCSE/Number/QP/Higher/Fractions-Decimals-and-Percentages/Percentages%20(H)%20QP.pdf" TargetMode="External"/><Relationship Id="rId61" Type="http://schemas.openxmlformats.org/officeDocument/2006/relationships/hyperlink" Target="https://pmt.physicsandmathstutor.com/download/Maths/GCSE/Topic-Qs/Edexcel-IGCSE/Number/MS/Higher/Fractions-Decimals-and-Percentages/Percentages%20(H)%20MS.pdf" TargetMode="External"/><Relationship Id="rId62" Type="http://schemas.openxmlformats.org/officeDocument/2006/relationships/hyperlink" Target="https://pmt.physicsandmathstutor.com/download/Maths/GCSE/Topic-Qs/Edexcel-IGCSE/Number/MA/Higher/Fractions-Decimals-and-Percentages/Percentages%20(H)%20MA.pdf" TargetMode="External"/><Relationship Id="rId63" Type="http://schemas.openxmlformats.org/officeDocument/2006/relationships/hyperlink" Target="https://mathsgenie.co.uk/igcse/maths/edexcel/grade-2-2-6-simplifying-algebra" TargetMode="External"/><Relationship Id="rId64" Type="http://schemas.openxmlformats.org/officeDocument/2006/relationships/hyperlink" Target="https://pmt.physicsandmathstutor.com/download/Maths/GCSE/Topic-Qs/Edexcel-IGCSE/Algebra/QP/Higher/Notation-Vocabulary-and-Manipulation/Simplifying%20Expressions%20(H)%20QP.pdf" TargetMode="External"/><Relationship Id="rId65" Type="http://schemas.openxmlformats.org/officeDocument/2006/relationships/hyperlink" Target="https://pmt.physicsandmathstutor.com/download/Maths/GCSE/Topic-Qs/Edexcel-IGCSE/Algebra/MS/Higher/Notation-Vocabulary-and-Manipulation/Simplifying%20Expressions%20(H)%20MS.pdf" TargetMode="External"/><Relationship Id="rId66" Type="http://schemas.openxmlformats.org/officeDocument/2006/relationships/hyperlink" Target="https://pmt.physicsandmathstutor.com/download/Maths/GCSE/Topic-Qs/Edexcel-IGCSE/Algebra/MA/Higher/Notation-Vocabulary-and-Manipulation/Simplifying%20Expressions%20(H)%20MA.pdf" TargetMode="External"/><Relationship Id="rId67" Type="http://schemas.openxmlformats.org/officeDocument/2006/relationships/hyperlink" Target="https://mathsgenie.co.uk/igcse/maths/edexcel/grade-2-2-7-writing-an-expression" TargetMode="External"/><Relationship Id="rId68" Type="http://schemas.openxmlformats.org/officeDocument/2006/relationships/hyperlink" Target="https://pmt.physicsandmathstutor.com/download/Maths/GCSE/Topic-Qs/Edexcel-IGCSE/Algebra/QP/Higher/Notation-Vocabulary-and-Manipulation/Deriving%20Expressions%20(H)%20QP.pdf" TargetMode="External"/><Relationship Id="rId69" Type="http://schemas.openxmlformats.org/officeDocument/2006/relationships/hyperlink" Target="https://pmt.physicsandmathstutor.com/download/Maths/GCSE/Topic-Qs/Edexcel-IGCSE/Algebra/MS/Higher/Notation-Vocabulary-and-Manipulation/Deriving%20Expressions%20(H)%20MS.pdf" TargetMode="External"/><Relationship Id="rId70" Type="http://schemas.openxmlformats.org/officeDocument/2006/relationships/hyperlink" Target="https://pmt.physicsandmathstutor.com/download/Maths/GCSE/Topic-Qs/Edexcel-IGCSE/Algebra/MA/Higher/Notation-Vocabulary-and-Manipulation/Deriving%20Expressions%20(H)%20MA.pdf" TargetMode="External"/><Relationship Id="rId71" Type="http://schemas.openxmlformats.org/officeDocument/2006/relationships/hyperlink" Target="https://mathsgenie.co.uk/igcse/maths/edexcel/grade-2-2-8-function-machines" TargetMode="External"/><Relationship Id="rId72" Type="http://schemas.openxmlformats.org/officeDocument/2006/relationships/hyperlink" Target="https://mathsgenie.co.uk/igcse/maths/edexcel/grade-2-2-9-solving-one-step-equations" TargetMode="External"/><Relationship Id="rId73" Type="http://schemas.openxmlformats.org/officeDocument/2006/relationships/hyperlink" Target="https://pmt.physicsandmathstutor.com/download/Maths/GCSE/Topic-Qs/Edexcel-IGCSE/Algebra/QP/Higher/Solving-Equations-and-Inequalities/Solving%20Linear%20Equations%20(H)%20QP.pdf" TargetMode="External"/><Relationship Id="rId74" Type="http://schemas.openxmlformats.org/officeDocument/2006/relationships/hyperlink" Target="https://pmt.physicsandmathstutor.com/download/Maths/GCSE/Topic-Qs/Edexcel-IGCSE/Algebra/MS/Higher/Solving-Equations-and-Inequalities/Solving%20Linear%20Equations%20(H)%20MS.pdf" TargetMode="External"/><Relationship Id="rId75" Type="http://schemas.openxmlformats.org/officeDocument/2006/relationships/hyperlink" Target="https://pmt.physicsandmathstutor.com/download/Maths/GCSE/Topic-Qs/Edexcel-IGCSE/Algebra/MA/Higher/Solving-Equations-and-Inequalities/Solving%20Linear%20Equations%20(H)%20MA.pdf" TargetMode="External"/><Relationship Id="rId76" Type="http://schemas.openxmlformats.org/officeDocument/2006/relationships/hyperlink" Target="https://mathsgenie.co.uk/igcse/maths/edexcel/grade-2-2-10-angles" TargetMode="External"/><Relationship Id="rId77" Type="http://schemas.openxmlformats.org/officeDocument/2006/relationships/hyperlink" Target="https://pmt.physicsandmathstutor.com/download/Maths/GCSE/Topic-Qs/Edexcel-IGCSE/Geometry-and-Measures/QP/Higher/Properties-and-Constructions/Properties%20of%20Angles%20(H)%20QP.pdf" TargetMode="External"/><Relationship Id="rId78" Type="http://schemas.openxmlformats.org/officeDocument/2006/relationships/hyperlink" Target="https://pmt.physicsandmathstutor.com/download/Maths/GCSE/Topic-Qs/Edexcel-IGCSE/Geometry-and-Measures/MS/Higher/Properties-and-Constructions/Properties%20of%20Angles%20(H)%20MS.pdf" TargetMode="External"/><Relationship Id="rId79" Type="http://schemas.openxmlformats.org/officeDocument/2006/relationships/hyperlink" Target="https://pmt.physicsandmathstutor.com/download/Maths/GCSE/Topic-Qs/Edexcel-IGCSE/Geometry-and-Measures/MA/Higher/Properties-and-Constructions/Properties%20of%20Angles%20(H)%20MA.pdf" TargetMode="External"/><Relationship Id="rId80" Type="http://schemas.openxmlformats.org/officeDocument/2006/relationships/hyperlink" Target="https://mathsgenie.co.uk/igcse/maths/edexcel/grade-2-2-11-area-and-perimeter" TargetMode="External"/><Relationship Id="rId81" Type="http://schemas.openxmlformats.org/officeDocument/2006/relationships/hyperlink" Target="https://pmt.physicsandmathstutor.com/download/Maths/GCSE/Topic-Qs/Edexcel-IGCSE/Geometry-and-Measures/QP/Higher/Mensuration-and-Calculation/Area%20(H)%20QP.pdf" TargetMode="External"/><Relationship Id="rId82" Type="http://schemas.openxmlformats.org/officeDocument/2006/relationships/hyperlink" Target="https://pmt.physicsandmathstutor.com/download/Maths/GCSE/Topic-Qs/Edexcel-IGCSE/Geometry-and-Measures/MS/Higher/Mensuration-and-Calculation/Area%20(H)%20MS.pdf" TargetMode="External"/><Relationship Id="rId83" Type="http://schemas.openxmlformats.org/officeDocument/2006/relationships/hyperlink" Target="https://pmt.physicsandmathstutor.com/download/Maths/GCSE/Topic-Qs/Edexcel-IGCSE/Geometry-and-Measures/MA/Higher/Mensuration-and-Calculation/Area%20(H)%20MA.pdf" TargetMode="External"/><Relationship Id="rId84" Type="http://schemas.openxmlformats.org/officeDocument/2006/relationships/hyperlink" Target="https://mathsgenie.co.uk/igcse/maths/edexcel/grade-2-2-12-probability" TargetMode="External"/><Relationship Id="rId85" Type="http://schemas.openxmlformats.org/officeDocument/2006/relationships/hyperlink" Target="https://pmt.physicsandmathstutor.com/download/Maths/GCSE/Topic-Qs/Edexcel-IGCSE/Probability/QP/Higher/Probability%20of%20Events%20(H)%20QP.pdf" TargetMode="External"/><Relationship Id="rId86" Type="http://schemas.openxmlformats.org/officeDocument/2006/relationships/hyperlink" Target="https://pmt.physicsandmathstutor.com/download/Maths/GCSE/Topic-Qs/Edexcel-IGCSE/Probability/MS/Higher/Probability%20of%20Events%20(H)%20MS.pdf" TargetMode="External"/><Relationship Id="rId87" Type="http://schemas.openxmlformats.org/officeDocument/2006/relationships/hyperlink" Target="https://pmt.physicsandmathstutor.com/download/Maths/GCSE/Topic-Qs/Edexcel-IGCSE/Probability/MA/Higher/Probability%20of%20Events%20(H)%20MA.pdf" TargetMode="External"/><Relationship Id="rId88" Type="http://schemas.openxmlformats.org/officeDocument/2006/relationships/hyperlink" Target="https://mathsgenie.co.uk/igcse/maths/edexcel/grade-2-2-13-frequency-polygons" TargetMode="External"/><Relationship Id="rId89" Type="http://schemas.openxmlformats.org/officeDocument/2006/relationships/hyperlink" Target="https://pmt.physicsandmathstutor.com/download/Maths/GCSE/Topic-Qs/Edexcel-IGCSE/Statistics/QP/Higher/Interpreting%20Data%20(H)%20QP.pdf" TargetMode="External"/><Relationship Id="rId90" Type="http://schemas.openxmlformats.org/officeDocument/2006/relationships/hyperlink" Target="https://pmt.physicsandmathstutor.com/download/Maths/GCSE/Topic-Qs/Edexcel-IGCSE/Statistics/MS/Higher/Interpreting%20Data%20(H)%20MS.pdf" TargetMode="External"/><Relationship Id="rId91" Type="http://schemas.openxmlformats.org/officeDocument/2006/relationships/hyperlink" Target="https://pmt.physicsandmathstutor.com/download/Maths/GCSE/Topic-Qs/Edexcel-IGCSE/Statistics/MA/Higher/Interpreting%20Data%20(H)%20MA.pdf" TargetMode="External"/><Relationship Id="rId92" Type="http://schemas.openxmlformats.org/officeDocument/2006/relationships/hyperlink" Target="https://mathsgenie.co.uk/igcse/maths/edexcel/grade-2-2-14-averages" TargetMode="External"/><Relationship Id="rId93" Type="http://schemas.openxmlformats.org/officeDocument/2006/relationships/hyperlink" Target="https://pmt.physicsandmathstutor.com/download/Maths/GCSE/Topic-Qs/Edexcel-IGCSE/Statistics/QP/Higher/Mean,%20Median,%20Mode,%20Range%20(H)%20QP.pdf" TargetMode="External"/><Relationship Id="rId94" Type="http://schemas.openxmlformats.org/officeDocument/2006/relationships/hyperlink" Target="https://pmt.physicsandmathstutor.com/download/Maths/GCSE/Topic-Qs/Edexcel-IGCSE/Statistics/MS/Higher/Mean,%20Median,%20Mode,%20Range%20(H)%20MS.pdf" TargetMode="External"/><Relationship Id="rId95" Type="http://schemas.openxmlformats.org/officeDocument/2006/relationships/hyperlink" Target="https://pmt.physicsandmathstutor.com/download/Maths/GCSE/Topic-Qs/Edexcel-IGCSE/Statistics/MA/Higher/Mean,%20Median,%20Mode,%20Range%20(H)%20MA.pdf" TargetMode="External"/><Relationship Id="rId96" Type="http://schemas.openxmlformats.org/officeDocument/2006/relationships/hyperlink" Target="https://mathsgenie.co.uk/igcse/maths/edexcel/grade-2-2-15-bar-charts" TargetMode="External"/><Relationship Id="rId97" Type="http://schemas.openxmlformats.org/officeDocument/2006/relationships/hyperlink" Target="https://pmt.physicsandmathstutor.com/download/Maths/GCSE/Topic-Qs/Edexcel-IGCSE/Statistics/QP/Higher/Interpreting%20Data%20(H)%20QP.pdf" TargetMode="External"/><Relationship Id="rId98" Type="http://schemas.openxmlformats.org/officeDocument/2006/relationships/hyperlink" Target="https://pmt.physicsandmathstutor.com/download/Maths/GCSE/Topic-Qs/Edexcel-IGCSE/Statistics/MS/Higher/Interpreting%20Data%20(H)%20MS.pdf" TargetMode="External"/><Relationship Id="rId99" Type="http://schemas.openxmlformats.org/officeDocument/2006/relationships/hyperlink" Target="https://pmt.physicsandmathstutor.com/download/Maths/GCSE/Topic-Qs/Edexcel-IGCSE/Statistics/MA/Higher/Interpreting%20Data%20(H)%20MA.pdf" TargetMode="External"/><Relationship Id="rId100" Type="http://schemas.openxmlformats.org/officeDocument/2006/relationships/hyperlink" Target="https://mathsgenie.co.uk/igcse/maths/edexcel/grade-2-2-16-pie-charts" TargetMode="External"/><Relationship Id="rId101" Type="http://schemas.openxmlformats.org/officeDocument/2006/relationships/hyperlink" Target="https://pmt.physicsandmathstutor.com/download/Maths/GCSE/Topic-Qs/Edexcel-IGCSE/Statistics/QP/Higher/Interpreting%20Data%20(H)%20QP.pdf" TargetMode="External"/><Relationship Id="rId102" Type="http://schemas.openxmlformats.org/officeDocument/2006/relationships/hyperlink" Target="https://pmt.physicsandmathstutor.com/download/Maths/GCSE/Topic-Qs/Edexcel-IGCSE/Statistics/MS/Higher/Interpreting%20Data%20(H)%20MS.pdf" TargetMode="External"/><Relationship Id="rId103" Type="http://schemas.openxmlformats.org/officeDocument/2006/relationships/hyperlink" Target="https://pmt.physicsandmathstutor.com/download/Maths/GCSE/Topic-Qs/Edexcel-IGCSE/Statistics/MA/Higher/Interpreting%20Data%20(H)%20MA.pdf" TargetMode="External"/><Relationship Id="rId104" Type="http://schemas.openxmlformats.org/officeDocument/2006/relationships/hyperlink" Target="https://mathsgenie.co.uk/igcse/maths/edexcel/grade-3-3-1-fractions" TargetMode="External"/><Relationship Id="rId105" Type="http://schemas.openxmlformats.org/officeDocument/2006/relationships/hyperlink" Target="https://pmt.physicsandmathstutor.com/download/Maths/GCSE/Topic-Qs/Edexcel-IGCSE/Number/QP/Higher/Fractions-Decimals-and-Percentages/Fractions%20(H)%20QP.pdf" TargetMode="External"/><Relationship Id="rId106" Type="http://schemas.openxmlformats.org/officeDocument/2006/relationships/hyperlink" Target="https://pmt.physicsandmathstutor.com/download/Maths/GCSE/Topic-Qs/Edexcel-IGCSE/Number/MS/Higher/Fractions-Decimals-and-Percentages/Fractions%20(H)%20MS.pdf" TargetMode="External"/><Relationship Id="rId107" Type="http://schemas.openxmlformats.org/officeDocument/2006/relationships/hyperlink" Target="https://pmt.physicsandmathstutor.com/download/Maths/GCSE/Topic-Qs/Edexcel-IGCSE/Number/MA/Higher/Fractions-Decimals-and-Percentages/Fractions%20(H)%20MA.pdf" TargetMode="External"/><Relationship Id="rId108" Type="http://schemas.openxmlformats.org/officeDocument/2006/relationships/hyperlink" Target="https://mathsgenie.co.uk/igcse/maths/edexcel/grade-3-3-2-estimating" TargetMode="External"/><Relationship Id="rId109" Type="http://schemas.openxmlformats.org/officeDocument/2006/relationships/hyperlink" Target="https://pmt.physicsandmathstutor.com/download/Maths/GCSE/Topic-Qs/Edexcel-IGCSE/Number/QP/Higher/Measures-and-Accuracy/Approximation%20and%20Estimation%20(H)%20QP.pdf" TargetMode="External"/><Relationship Id="rId110" Type="http://schemas.openxmlformats.org/officeDocument/2006/relationships/hyperlink" Target="https://pmt.physicsandmathstutor.com/download/Maths/GCSE/Topic-Qs/Edexcel-IGCSE/Number/MS/Higher/Measures-and-Accuracy/Approximation%20and%20Estimation%20(H)%20MS.pdf" TargetMode="External"/><Relationship Id="rId111" Type="http://schemas.openxmlformats.org/officeDocument/2006/relationships/hyperlink" Target="https://pmt.physicsandmathstutor.com/download/Maths/GCSE/Topic-Qs/Edexcel-IGCSE/Number/MA/Higher/Measures-and-Accuracy/Approximation%20and%20Estimation%20(H)%20MA.pdf" TargetMode="External"/><Relationship Id="rId112" Type="http://schemas.openxmlformats.org/officeDocument/2006/relationships/hyperlink" Target="https://mathsgenie.co.uk/igcse/maths/edexcel/grade-3-3-3-writing-and-simplifying-ratio" TargetMode="External"/><Relationship Id="rId113" Type="http://schemas.openxmlformats.org/officeDocument/2006/relationships/hyperlink" Target="https://pmt.physicsandmathstutor.com/download/Maths/GCSE/Topic-Qs/Edexcel-IGCSE/Ratio-Proportion-and-Rates-of-Change/QP/Higher/Ratio%20(H)%20QP.pdf" TargetMode="External"/><Relationship Id="rId114" Type="http://schemas.openxmlformats.org/officeDocument/2006/relationships/hyperlink" Target="https://pmt.physicsandmathstutor.com/download/Maths/GCSE/Topic-Qs/Edexcel-IGCSE/Ratio-Proportion-and-Rates-of-Change/MS/Higher/Ratio%20(H)%20MS.pdf" TargetMode="External"/><Relationship Id="rId115" Type="http://schemas.openxmlformats.org/officeDocument/2006/relationships/hyperlink" Target="https://pmt.physicsandmathstutor.com/download/Maths/GCSE/Topic-Qs/Edexcel-IGCSE/Ratio-Proportion-and-Rates-of-Change/MA/Higher/Ratio%20(H)%20MA.pdf" TargetMode="External"/><Relationship Id="rId116" Type="http://schemas.openxmlformats.org/officeDocument/2006/relationships/hyperlink" Target="https://mathsgenie.co.uk/igcse/maths/edexcel/grade-3-3-4-ratio" TargetMode="External"/><Relationship Id="rId117" Type="http://schemas.openxmlformats.org/officeDocument/2006/relationships/hyperlink" Target="https://pmt.physicsandmathstutor.com/download/Maths/GCSE/Topic-Qs/Edexcel-IGCSE/Ratio-Proportion-and-Rates-of-Change/QP/Higher/Ratio%20(H)%20QP.pdf" TargetMode="External"/><Relationship Id="rId118" Type="http://schemas.openxmlformats.org/officeDocument/2006/relationships/hyperlink" Target="https://pmt.physicsandmathstutor.com/download/Maths/GCSE/Topic-Qs/Edexcel-IGCSE/Ratio-Proportion-and-Rates-of-Change/MS/Higher/Ratio%20(H)%20MS.pdf" TargetMode="External"/><Relationship Id="rId119" Type="http://schemas.openxmlformats.org/officeDocument/2006/relationships/hyperlink" Target="https://pmt.physicsandmathstutor.com/download/Maths/GCSE/Topic-Qs/Edexcel-IGCSE/Ratio-Proportion-and-Rates-of-Change/MA/Higher/Ratio%20(H)%20MA.pdf" TargetMode="External"/><Relationship Id="rId120" Type="http://schemas.openxmlformats.org/officeDocument/2006/relationships/hyperlink" Target="https://mathsgenie.co.uk/igcse/maths/edexcel/grade-3-3-5-proportion" TargetMode="External"/><Relationship Id="rId121" Type="http://schemas.openxmlformats.org/officeDocument/2006/relationships/hyperlink" Target="https://pmt.physicsandmathstutor.com/download/Maths/GCSE/Topic-Qs/Edexcel-IGCSE/Ratio-Proportion-and-Rates-of-Change/QP/Higher/Proportion%20(H)%20QP.pdf" TargetMode="External"/><Relationship Id="rId122" Type="http://schemas.openxmlformats.org/officeDocument/2006/relationships/hyperlink" Target="https://pmt.physicsandmathstutor.com/download/Maths/GCSE/Topic-Qs/Edexcel-IGCSE/Ratio-Proportion-and-Rates-of-Change/MS/Higher/Proportion%20(H)%20MS.pdf" TargetMode="External"/><Relationship Id="rId123" Type="http://schemas.openxmlformats.org/officeDocument/2006/relationships/hyperlink" Target="https://pmt.physicsandmathstutor.com/download/Maths/GCSE/Topic-Qs/Edexcel-IGCSE/Ratio-Proportion-and-Rates-of-Change/MA/Higher/Proportion%20(H)%20MA.pdf" TargetMode="External"/><Relationship Id="rId124" Type="http://schemas.openxmlformats.org/officeDocument/2006/relationships/hyperlink" Target="https://mathsgenie.co.uk/igcse/maths/edexcel/grade-3-3-6-percentages" TargetMode="External"/><Relationship Id="rId125" Type="http://schemas.openxmlformats.org/officeDocument/2006/relationships/hyperlink" Target="https://pmt.physicsandmathstutor.com/download/Maths/GCSE/Topic-Qs/Edexcel-IGCSE/Number/QP/Higher/Fractions-Decimals-and-Percentages/Percentages%20(H)%20QP.pdf" TargetMode="External"/><Relationship Id="rId126" Type="http://schemas.openxmlformats.org/officeDocument/2006/relationships/hyperlink" Target="https://pmt.physicsandmathstutor.com/download/Maths/GCSE/Topic-Qs/Edexcel-IGCSE/Number/MS/Higher/Fractions-Decimals-and-Percentages/Percentages%20(H)%20MS.pdf" TargetMode="External"/><Relationship Id="rId127" Type="http://schemas.openxmlformats.org/officeDocument/2006/relationships/hyperlink" Target="https://pmt.physicsandmathstutor.com/download/Maths/GCSE/Topic-Qs/Edexcel-IGCSE/Number/MA/Higher/Fractions-Decimals-and-Percentages/Percentages%20(H)%20MA.pdf" TargetMode="External"/><Relationship Id="rId128" Type="http://schemas.openxmlformats.org/officeDocument/2006/relationships/hyperlink" Target="https://mathsgenie.co.uk/igcse/maths/edexcel/grade-3-3-7-percentage-change" TargetMode="External"/><Relationship Id="rId129" Type="http://schemas.openxmlformats.org/officeDocument/2006/relationships/hyperlink" Target="https://pmt.physicsandmathstutor.com/download/Maths/GCSE/Topic-Qs/Edexcel-IGCSE/Ratio-Proportion-and-Rates-of-Change/QP/Higher/Percentage%20Increase%20or%20Decrease%20(H)%20QP.pdf" TargetMode="External"/><Relationship Id="rId130" Type="http://schemas.openxmlformats.org/officeDocument/2006/relationships/hyperlink" Target="https://pmt.physicsandmathstutor.com/download/Maths/GCSE/Topic-Qs/Edexcel-IGCSE/Ratio-Proportion-and-Rates-of-Change/MS/Higher/Percentage%20Increase%20or%20Decrease%20(H)%20MS.pdf" TargetMode="External"/><Relationship Id="rId131" Type="http://schemas.openxmlformats.org/officeDocument/2006/relationships/hyperlink" Target="https://pmt.physicsandmathstutor.com/download/Maths/GCSE/Topic-Qs/Edexcel-IGCSE/Ratio-Proportion-and-Rates-of-Change/MA/Higher/Percentage%20Increase%20or%20Decrease%20(H)%20MA.pdf" TargetMode="External"/><Relationship Id="rId132" Type="http://schemas.openxmlformats.org/officeDocument/2006/relationships/hyperlink" Target="https://mathsgenie.co.uk/igcse/maths/edexcel/grade-3-3-8-exchange-rates" TargetMode="External"/><Relationship Id="rId133" Type="http://schemas.openxmlformats.org/officeDocument/2006/relationships/hyperlink" Target="https://pmt.physicsandmathstutor.com/download/Maths/GCSE/Topic-Qs/Edexcel-IGCSE/Ratio-Proportion-and-Rates-of-Change/QP/Higher/Units%20of%20Measure%20(H)%20QP.pdf" TargetMode="External"/><Relationship Id="rId134" Type="http://schemas.openxmlformats.org/officeDocument/2006/relationships/hyperlink" Target="https://pmt.physicsandmathstutor.com/download/Maths/GCSE/Topic-Qs/Edexcel-IGCSE/Ratio-Proportion-and-Rates-of-Change/MS/Higher/Units%20of%20Measure%20(H)%20MS.pdf" TargetMode="External"/><Relationship Id="rId135" Type="http://schemas.openxmlformats.org/officeDocument/2006/relationships/hyperlink" Target="https://pmt.physicsandmathstutor.com/download/Maths/GCSE/Topic-Qs/Edexcel-IGCSE/Ratio-Proportion-and-Rates-of-Change/MA/Higher/Units%20of%20Measure%20(H)%20MA.pdf" TargetMode="External"/><Relationship Id="rId136" Type="http://schemas.openxmlformats.org/officeDocument/2006/relationships/hyperlink" Target="https://mathsgenie.co.uk/igcse/maths/edexcel/grade-3-3-9-conversions-and-units" TargetMode="External"/><Relationship Id="rId137" Type="http://schemas.openxmlformats.org/officeDocument/2006/relationships/hyperlink" Target="https://pmt.physicsandmathstutor.com/download/Maths/GCSE/Topic-Qs/Edexcel-IGCSE/Ratio-Proportion-and-Rates-of-Change/QP/Higher/Units%20of%20Measure%20(H)%20QP.pdf" TargetMode="External"/><Relationship Id="rId138" Type="http://schemas.openxmlformats.org/officeDocument/2006/relationships/hyperlink" Target="https://pmt.physicsandmathstutor.com/download/Maths/GCSE/Topic-Qs/Edexcel-IGCSE/Ratio-Proportion-and-Rates-of-Change/MS/Higher/Units%20of%20Measure%20(H)%20MS.pdf" TargetMode="External"/><Relationship Id="rId139" Type="http://schemas.openxmlformats.org/officeDocument/2006/relationships/hyperlink" Target="https://pmt.physicsandmathstutor.com/download/Maths/GCSE/Topic-Qs/Edexcel-IGCSE/Ratio-Proportion-and-Rates-of-Change/MA/Higher/Units%20of%20Measure%20(H)%20MA.pdf" TargetMode="External"/><Relationship Id="rId140" Type="http://schemas.openxmlformats.org/officeDocument/2006/relationships/hyperlink" Target="https://mathsgenie.co.uk/igcse/maths/edexcel/grade-3-3-10-scale-drawings" TargetMode="External"/><Relationship Id="rId141" Type="http://schemas.openxmlformats.org/officeDocument/2006/relationships/hyperlink" Target="https://pmt.physicsandmathstutor.com/download/Maths/GCSE/Topic-Qs/Edexcel-IGCSE/Geometry-and-Measures/QP/Higher/Properties-and-Constructions/Maps%20and%20Scale%20Drawings%20(H)%20QP.pdf" TargetMode="External"/><Relationship Id="rId142" Type="http://schemas.openxmlformats.org/officeDocument/2006/relationships/hyperlink" Target="https://pmt.physicsandmathstutor.com/download/Maths/GCSE/Topic-Qs/Edexcel-IGCSE/Geometry-and-Measures/MS/Higher/Properties-and-Constructions/Maps%20and%20Scale%20Drawings%20(H)%20MS.pdf" TargetMode="External"/><Relationship Id="rId143" Type="http://schemas.openxmlformats.org/officeDocument/2006/relationships/hyperlink" Target="https://pmt.physicsandmathstutor.com/download/Maths/GCSE/Topic-Qs/Edexcel-IGCSE/Geometry-and-Measures/MA/Higher/Properties-and-Constructions/Maps%20and%20Scale%20Drawings%20(H)%20MA.pdf" TargetMode="External"/><Relationship Id="rId144" Type="http://schemas.openxmlformats.org/officeDocument/2006/relationships/hyperlink" Target="https://mathsgenie.co.uk/igcse/maths/edexcel/grade-3-3-11-best-buy-questions" TargetMode="External"/><Relationship Id="rId145" Type="http://schemas.openxmlformats.org/officeDocument/2006/relationships/hyperlink" Target="https://pmt.physicsandmathstutor.com/download/Maths/GCSE/Topic-Qs/Edexcel-IGCSE/Ratio-Proportion-and-Rates-of-Change/QP/Higher/Compound%20Measures%20(H)%20QP.pdf" TargetMode="External"/><Relationship Id="rId146" Type="http://schemas.openxmlformats.org/officeDocument/2006/relationships/hyperlink" Target="https://pmt.physicsandmathstutor.com/download/Maths/GCSE/Topic-Qs/Edexcel-IGCSE/Ratio-Proportion-and-Rates-of-Change/MS/Higher/Compound%20Measures%20(H)%20MS.pdf" TargetMode="External"/><Relationship Id="rId147" Type="http://schemas.openxmlformats.org/officeDocument/2006/relationships/hyperlink" Target="https://pmt.physicsandmathstutor.com/download/Maths/GCSE/Topic-Qs/Edexcel-IGCSE/Ratio-Proportion-and-Rates-of-Change/MA/Higher/Compound%20Measures%20(H)%20MA.pdf" TargetMode="External"/><Relationship Id="rId148" Type="http://schemas.openxmlformats.org/officeDocument/2006/relationships/hyperlink" Target="https://mathsgenie.co.uk/igcse/maths/edexcel/grade-3-3-12-substitution" TargetMode="External"/><Relationship Id="rId149" Type="http://schemas.openxmlformats.org/officeDocument/2006/relationships/hyperlink" Target="https://pmt.physicsandmathstutor.com/download/Maths/GCSE/Topic-Qs/Edexcel-IGCSE/Algebra/QP/Higher/Notation-Vocabulary-and-Manipulation/Substitution%20into%20Equations%20(H)%20QP.pdf" TargetMode="External"/><Relationship Id="rId150" Type="http://schemas.openxmlformats.org/officeDocument/2006/relationships/hyperlink" Target="https://pmt.physicsandmathstutor.com/download/Maths/GCSE/Topic-Qs/Edexcel-IGCSE/Algebra/MS/Higher/Notation-Vocabulary-and-Manipulation/Substitution%20into%20Equations%20(H)%20MS.pdf" TargetMode="External"/><Relationship Id="rId151" Type="http://schemas.openxmlformats.org/officeDocument/2006/relationships/hyperlink" Target="https://pmt.physicsandmathstutor.com/download/Maths/GCSE/Topic-Qs/Edexcel-IGCSE/Algebra/MA/Higher/Notation-Vocabulary-and-Manipulation/Substitution%20into%20Equations%20(H)%20MA.pdf" TargetMode="External"/><Relationship Id="rId152" Type="http://schemas.openxmlformats.org/officeDocument/2006/relationships/hyperlink" Target="https://mathsgenie.co.uk/igcse/maths/edexcel/grade-3-3-13-solving-equations" TargetMode="External"/><Relationship Id="rId153" Type="http://schemas.openxmlformats.org/officeDocument/2006/relationships/hyperlink" Target="https://pmt.physicsandmathstutor.com/download/Maths/GCSE/Topic-Qs/Edexcel-IGCSE/Algebra/QP/Higher/Solving-Equations-and-Inequalities/Solving%20Linear%20Equations%20(H)%20QP.pdf" TargetMode="External"/><Relationship Id="rId154" Type="http://schemas.openxmlformats.org/officeDocument/2006/relationships/hyperlink" Target="https://pmt.physicsandmathstutor.com/download/Maths/GCSE/Topic-Qs/Edexcel-IGCSE/Algebra/MS/Higher/Solving-Equations-and-Inequalities/Solving%20Linear%20Equations%20(H)%20MS.pdf" TargetMode="External"/><Relationship Id="rId155" Type="http://schemas.openxmlformats.org/officeDocument/2006/relationships/hyperlink" Target="https://pmt.physicsandmathstutor.com/download/Maths/GCSE/Topic-Qs/Edexcel-IGCSE/Algebra/MA/Higher/Solving-Equations-and-Inequalities/Solving%20Linear%20Equations%20(H)%20MA.pdf" TargetMode="External"/><Relationship Id="rId156" Type="http://schemas.openxmlformats.org/officeDocument/2006/relationships/hyperlink" Target="https://mathsgenie.co.uk/igcse/maths/edexcel/grade-3-3-14-drawing-graphs" TargetMode="External"/><Relationship Id="rId157" Type="http://schemas.openxmlformats.org/officeDocument/2006/relationships/hyperlink" Target="https://pmt.physicsandmathstutor.com/download/Maths/GCSE/Topic-Qs/Edexcel-IGCSE/Algebra/QP/Higher/Graphs/Graphs%20of%20Linear%20Equations%20(H)%20QP.pdf" TargetMode="External"/><Relationship Id="rId158" Type="http://schemas.openxmlformats.org/officeDocument/2006/relationships/hyperlink" Target="https://pmt.physicsandmathstutor.com/download/Maths/GCSE/Topic-Qs/Edexcel-IGCSE/Algebra/MS/Higher/Graphs/Graphs%20of%20Linear%20Equations%20(H)%20MS.pdf" TargetMode="External"/><Relationship Id="rId159" Type="http://schemas.openxmlformats.org/officeDocument/2006/relationships/hyperlink" Target="https://pmt.physicsandmathstutor.com/download/Maths/GCSE/Topic-Qs/Edexcel-IGCSE/Algebra/MA/Higher/Graphs/Graphs%20of%20Linear%20Equations%20(H)%20MA.pdf" TargetMode="External"/><Relationship Id="rId160" Type="http://schemas.openxmlformats.org/officeDocument/2006/relationships/hyperlink" Target="https://mathsgenie.co.uk/igcse/maths/edexcel/grade-3-3-15-area-and-circumference-of-circles" TargetMode="External"/><Relationship Id="rId161" Type="http://schemas.openxmlformats.org/officeDocument/2006/relationships/hyperlink" Target="https://pmt.physicsandmathstutor.com/download/Maths/GCSE/Topic-Qs/Edexcel-IGCSE/Geometry-and-Measures/QP/Higher/Mensuration-and-Calculation/Area%20(H)%20QP.pdf" TargetMode="External"/><Relationship Id="rId162" Type="http://schemas.openxmlformats.org/officeDocument/2006/relationships/hyperlink" Target="https://pmt.physicsandmathstutor.com/download/Maths/GCSE/Topic-Qs/Edexcel-IGCSE/Geometry-and-Measures/MS/Higher/Mensuration-and-Calculation/Area%20(H)%20MS.pdf" TargetMode="External"/><Relationship Id="rId163" Type="http://schemas.openxmlformats.org/officeDocument/2006/relationships/hyperlink" Target="https://pmt.physicsandmathstutor.com/download/Maths/GCSE/Topic-Qs/Edexcel-IGCSE/Geometry-and-Measures/MA/Higher/Mensuration-and-Calculation/Area%20(H)%20MA.pdf" TargetMode="External"/><Relationship Id="rId164" Type="http://schemas.openxmlformats.org/officeDocument/2006/relationships/hyperlink" Target="https://mathsgenie.co.uk/igcse/maths/edexcel/grade-3-3-16-transformations" TargetMode="External"/><Relationship Id="rId165" Type="http://schemas.openxmlformats.org/officeDocument/2006/relationships/hyperlink" Target="https://pmt.physicsandmathstutor.com/download/Maths/GCSE/Topic-Qs/Edexcel-IGCSE/Geometry-and-Measures/QP/Higher/Properties-and-Constructions/Transformations%20of%20Shapes%20(H)%20QP.pdf" TargetMode="External"/><Relationship Id="rId166" Type="http://schemas.openxmlformats.org/officeDocument/2006/relationships/hyperlink" Target="https://pmt.physicsandmathstutor.com/download/Maths/GCSE/Topic-Qs/Edexcel-IGCSE/Geometry-and-Measures/MS/Higher/Properties-and-Constructions/Transformations%20of%20Shapes%20(H)%20MS.pdf" TargetMode="External"/><Relationship Id="rId167" Type="http://schemas.openxmlformats.org/officeDocument/2006/relationships/hyperlink" Target="https://pmt.physicsandmathstutor.com/download/Maths/GCSE/Topic-Qs/Edexcel-IGCSE/Geometry-and-Measures/MA/Higher/Properties-and-Constructions/Transformations%20of%20Shapes%20(H)%20MA.pdf" TargetMode="External"/><Relationship Id="rId168" Type="http://schemas.openxmlformats.org/officeDocument/2006/relationships/hyperlink" Target="https://mathsgenie.co.uk/igcse/maths/edexcel/grade-3-3-17-area-of-compound-shapes" TargetMode="External"/><Relationship Id="rId169" Type="http://schemas.openxmlformats.org/officeDocument/2006/relationships/hyperlink" Target="https://pmt.physicsandmathstutor.com/download/Maths/GCSE/Topic-Qs/Edexcel-IGCSE/Geometry-and-Measures/QP/Higher/Mensuration-and-Calculation/Compound%20Area%20(H)%20QP.pdf" TargetMode="External"/><Relationship Id="rId170" Type="http://schemas.openxmlformats.org/officeDocument/2006/relationships/hyperlink" Target="https://pmt.physicsandmathstutor.com/download/Maths/GCSE/Topic-Qs/Edexcel-IGCSE/Geometry-and-Measures/MS/Higher/Mensuration-and-Calculation/Compound%20Area%20(H)%20MS.pdf" TargetMode="External"/><Relationship Id="rId171" Type="http://schemas.openxmlformats.org/officeDocument/2006/relationships/hyperlink" Target="https://pmt.physicsandmathstutor.com/download/Maths/GCSE/Topic-Qs/Edexcel-IGCSE/Geometry-and-Measures/MA/Higher/Mensuration-and-Calculation/Compound%20Area%20(H)%20MA.pdf" TargetMode="External"/><Relationship Id="rId172" Type="http://schemas.openxmlformats.org/officeDocument/2006/relationships/hyperlink" Target="https://mathsgenie.co.uk/igcse/maths/edexcel/grade-3-3-18-frequency-trees" TargetMode="External"/><Relationship Id="rId173" Type="http://schemas.openxmlformats.org/officeDocument/2006/relationships/hyperlink" Target="https://pmt.physicsandmathstutor.com/download/Maths/GCSE/Topic-Qs/Edexcel-IGCSE/Probability/QP/Higher/Probability%20of%20Events%20(H)%20QP.pdf" TargetMode="External"/><Relationship Id="rId174" Type="http://schemas.openxmlformats.org/officeDocument/2006/relationships/hyperlink" Target="https://pmt.physicsandmathstutor.com/download/Maths/GCSE/Topic-Qs/Edexcel-IGCSE/Probability/MS/Higher/Probability%20of%20Events%20(H)%20MS.pdf" TargetMode="External"/><Relationship Id="rId175" Type="http://schemas.openxmlformats.org/officeDocument/2006/relationships/hyperlink" Target="https://pmt.physicsandmathstutor.com/download/Maths/GCSE/Topic-Qs/Edexcel-IGCSE/Probability/MA/Higher/Probability%20of%20Events%20(H)%20MA.pdf" TargetMode="External"/><Relationship Id="rId176" Type="http://schemas.openxmlformats.org/officeDocument/2006/relationships/hyperlink" Target="https://mathsgenie.co.uk/igcse/maths/edexcel/grade-4-4-1-compound-interest-and-depreciation" TargetMode="External"/><Relationship Id="rId177" Type="http://schemas.openxmlformats.org/officeDocument/2006/relationships/hyperlink" Target="https://pmt.physicsandmathstutor.com/download/Maths/GCSE/Topic-Qs/Edexcel-IGCSE/Ratio-Proportion-and-Rates-of-Change/QP/Higher/Compound%20Interest%20(H)%20QP.pdf" TargetMode="External"/><Relationship Id="rId178" Type="http://schemas.openxmlformats.org/officeDocument/2006/relationships/hyperlink" Target="https://pmt.physicsandmathstutor.com/download/Maths/GCSE/Topic-Qs/Edexcel-IGCSE/Ratio-Proportion-and-Rates-of-Change/MS/Higher/Compound%20Interest%20(H)%20MS.pdf" TargetMode="External"/><Relationship Id="rId179" Type="http://schemas.openxmlformats.org/officeDocument/2006/relationships/hyperlink" Target="https://pmt.physicsandmathstutor.com/download/Maths/GCSE/Topic-Qs/Edexcel-IGCSE/Ratio-Proportion-and-Rates-of-Change/MA/Higher/Compound%20Interest%20(H)%20MA.pdf" TargetMode="External"/><Relationship Id="rId180" Type="http://schemas.openxmlformats.org/officeDocument/2006/relationships/hyperlink" Target="https://mathsgenie.co.uk/igcse/maths/edexcel/grade-4-4-2-indices" TargetMode="External"/><Relationship Id="rId181" Type="http://schemas.openxmlformats.org/officeDocument/2006/relationships/hyperlink" Target="https://pmt.physicsandmathstutor.com/download/Maths/GCSE/Topic-Qs/Edexcel-IGCSE/Number/QP/Higher/Structure-and-Calculation/Indices%20(H)%20QP.pdf" TargetMode="External"/><Relationship Id="rId182" Type="http://schemas.openxmlformats.org/officeDocument/2006/relationships/hyperlink" Target="https://pmt.physicsandmathstutor.com/download/Maths/GCSE/Topic-Qs/Edexcel-IGCSE/Number/MS/Higher/Structure-and-Calculation/Indices%20(H)%20MS.pdf" TargetMode="External"/><Relationship Id="rId183" Type="http://schemas.openxmlformats.org/officeDocument/2006/relationships/hyperlink" Target="https://pmt.physicsandmathstutor.com/download/Maths/GCSE/Topic-Qs/Edexcel-IGCSE/Number/MA/Higher/Structure-and-Calculation/Indices%20(H)%20MA.pdf" TargetMode="External"/><Relationship Id="rId184" Type="http://schemas.openxmlformats.org/officeDocument/2006/relationships/hyperlink" Target="https://mathsgenie.co.uk/igcse/maths/edexcel/grade-4-4-3-prime-factors-hcf-and-lcm" TargetMode="External"/><Relationship Id="rId185" Type="http://schemas.openxmlformats.org/officeDocument/2006/relationships/hyperlink" Target="https://pmt.physicsandmathstutor.com/download/Maths/GCSE/Topic-Qs/Edexcel-IGCSE/Number/QP/Higher/Structure-and-Calculation/Primes,%20Factors%20and%20Multiples%20(H)%20QP.pdf" TargetMode="External"/><Relationship Id="rId186" Type="http://schemas.openxmlformats.org/officeDocument/2006/relationships/hyperlink" Target="https://pmt.physicsandmathstutor.com/download/Maths/GCSE/Topic-Qs/Edexcel-IGCSE/Number/MS/Higher/Structure-and-Calculation/Primes,%20Factors%20and%20Multiples%20(H)%20MS.pdf" TargetMode="External"/><Relationship Id="rId187" Type="http://schemas.openxmlformats.org/officeDocument/2006/relationships/hyperlink" Target="https://pmt.physicsandmathstutor.com/download/Maths/GCSE/Topic-Qs/Edexcel-IGCSE/Number/MA/Higher/Structure-and-Calculation/Primes,%20Factors%20and%20Multiples%20(H)%20MA.pdf" TargetMode="External"/><Relationship Id="rId188" Type="http://schemas.openxmlformats.org/officeDocument/2006/relationships/hyperlink" Target="https://mathsgenie.co.uk/igcse/maths/edexcel/grade-4-4-4-real-life-and-distance-time-graphs" TargetMode="External"/><Relationship Id="rId189" Type="http://schemas.openxmlformats.org/officeDocument/2006/relationships/hyperlink" Target="https://pmt.physicsandmathstutor.com/download/Maths/GCSE/Topic-Qs/Edexcel-IGCSE/Algebra/QP/Higher/Graphs/Interpreting%20Gradients%20(H)%20QP.pdf" TargetMode="External"/><Relationship Id="rId190" Type="http://schemas.openxmlformats.org/officeDocument/2006/relationships/hyperlink" Target="https://pmt.physicsandmathstutor.com/download/Maths/GCSE/Topic-Qs/Edexcel-IGCSE/Algebra/MS/Higher/Graphs/Interpreting%20Gradients%20(H)%20MS.pdf" TargetMode="External"/><Relationship Id="rId191" Type="http://schemas.openxmlformats.org/officeDocument/2006/relationships/hyperlink" Target="https://pmt.physicsandmathstutor.com/download/Maths/GCSE/Topic-Qs/Edexcel-IGCSE/Algebra/MA/Higher/Graphs/Interpreting%20Gradients%20(H)%20MA.pdf" TargetMode="External"/><Relationship Id="rId192" Type="http://schemas.openxmlformats.org/officeDocument/2006/relationships/hyperlink" Target="https://mathsgenie.co.uk/igcse/maths/edexcel/grade-4-4-5-inequalities" TargetMode="External"/><Relationship Id="rId193" Type="http://schemas.openxmlformats.org/officeDocument/2006/relationships/hyperlink" Target="https://pmt.physicsandmathstutor.com/download/Maths/GCSE/Topic-Qs/Edexcel-IGCSE/Algebra/QP/Higher/Solving-Equations-and-Inequalities/Inequalities%20(H)%20QP.pdf" TargetMode="External"/><Relationship Id="rId194" Type="http://schemas.openxmlformats.org/officeDocument/2006/relationships/hyperlink" Target="https://pmt.physicsandmathstutor.com/download/Maths/GCSE/Topic-Qs/Edexcel-IGCSE/Algebra/MS/Higher/Solving-Equations-and-Inequalities/Inequalities%20(H)%20MS.pdf" TargetMode="External"/><Relationship Id="rId195" Type="http://schemas.openxmlformats.org/officeDocument/2006/relationships/hyperlink" Target="https://pmt.physicsandmathstutor.com/download/Maths/GCSE/Topic-Qs/Edexcel-IGCSE/Algebra/MA/Higher/Solving-Equations-and-Inequalities/Inequalities%20(H)%20MA.pdf" TargetMode="External"/><Relationship Id="rId196" Type="http://schemas.openxmlformats.org/officeDocument/2006/relationships/hyperlink" Target="https://mathsgenie.co.uk/igcse/maths/edexcel/grade-4-4-6-forming-and-solving-equations" TargetMode="External"/><Relationship Id="rId197" Type="http://schemas.openxmlformats.org/officeDocument/2006/relationships/hyperlink" Target="https://pmt.physicsandmathstutor.com/download/Maths/GCSE/Topic-Qs/Edexcel-IGCSE/Algebra/QP/Higher/Notation-Vocabulary-and-Manipulation/Forming%20Equations%20(H)%20QP.pdf" TargetMode="External"/><Relationship Id="rId198" Type="http://schemas.openxmlformats.org/officeDocument/2006/relationships/hyperlink" Target="https://pmt.physicsandmathstutor.com/download/Maths/GCSE/Topic-Qs/Edexcel-IGCSE/Algebra/MS/Higher/Notation-Vocabulary-and-Manipulation/Forming%20Equations%20(H)%20MS.pdf" TargetMode="External"/><Relationship Id="rId199" Type="http://schemas.openxmlformats.org/officeDocument/2006/relationships/hyperlink" Target="https://pmt.physicsandmathstutor.com/download/Maths/GCSE/Topic-Qs/Edexcel-IGCSE/Algebra/MA/Higher/Notation-Vocabulary-and-Manipulation/Forming%20Equations%20(H)%20MA.pdf" TargetMode="External"/><Relationship Id="rId200" Type="http://schemas.openxmlformats.org/officeDocument/2006/relationships/hyperlink" Target="https://mathsgenie.co.uk/igcse/maths/edexcel/grade-4-4-7-sequences-nth-term" TargetMode="External"/><Relationship Id="rId201" Type="http://schemas.openxmlformats.org/officeDocument/2006/relationships/hyperlink" Target="https://pmt.physicsandmathstutor.com/download/Maths/GCSE/Topic-Qs/Edexcel-IGCSE/Algebra/QP/Higher/Sequences/Sequences%20(H)%20QP.pdf" TargetMode="External"/><Relationship Id="rId202" Type="http://schemas.openxmlformats.org/officeDocument/2006/relationships/hyperlink" Target="https://pmt.physicsandmathstutor.com/download/Maths/GCSE/Topic-Qs/Edexcel-IGCSE/Algebra/MS/Higher/Sequences/Sequences%20(H)%20MS.pdf" TargetMode="External"/><Relationship Id="rId203" Type="http://schemas.openxmlformats.org/officeDocument/2006/relationships/hyperlink" Target="https://pmt.physicsandmathstutor.com/download/Maths/GCSE/Topic-Qs/Edexcel-IGCSE/Algebra/MA/Higher/Sequences/Sequences%20(H)%20MA.pdf" TargetMode="External"/><Relationship Id="rId204" Type="http://schemas.openxmlformats.org/officeDocument/2006/relationships/hyperlink" Target="https://mathsgenie.co.uk/igcse/maths/edexcel/grade-4-4-8-expanding-and-factorising" TargetMode="External"/><Relationship Id="rId205" Type="http://schemas.openxmlformats.org/officeDocument/2006/relationships/hyperlink" Target="https://pmt.physicsandmathstutor.com/download/Maths/GCSE/Topic-Qs/Edexcel-IGCSE/Algebra/QP/Higher/Notation-Vocabulary-and-Manipulation/Expanding%20Equations%20(H)%20QP.pdf" TargetMode="External"/><Relationship Id="rId206" Type="http://schemas.openxmlformats.org/officeDocument/2006/relationships/hyperlink" Target="https://pmt.physicsandmathstutor.com/download/Maths/GCSE/Topic-Qs/Edexcel-IGCSE/Algebra/MS/Higher/Notation-Vocabulary-and-Manipulation/Expanding%20Equations%20(H)%20MS.pdf" TargetMode="External"/><Relationship Id="rId207" Type="http://schemas.openxmlformats.org/officeDocument/2006/relationships/hyperlink" Target="https://pmt.physicsandmathstutor.com/download/Maths/GCSE/Topic-Qs/Edexcel-IGCSE/Algebra/MA/Higher/Notation-Vocabulary-and-Manipulation/Expanding%20Equations%20(H)%20MA.pdf" TargetMode="External"/><Relationship Id="rId208" Type="http://schemas.openxmlformats.org/officeDocument/2006/relationships/hyperlink" Target="https://mathsgenie.co.uk/igcse/maths/edexcel/grade-4-4-9-pythagoras" TargetMode="External"/><Relationship Id="rId209" Type="http://schemas.openxmlformats.org/officeDocument/2006/relationships/hyperlink" Target="https://pmt.physicsandmathstutor.com/download/Maths/GCSE/Topic-Qs/Edexcel-IGCSE/Geometry-and-Measures/QP/Higher/Mensuration-and-Calculation/Pythagoras&apos;%20Theorem%20(H)%20QP.pdf" TargetMode="External"/><Relationship Id="rId210" Type="http://schemas.openxmlformats.org/officeDocument/2006/relationships/hyperlink" Target="https://pmt.physicsandmathstutor.com/download/Maths/GCSE/Topic-Qs/Edexcel-IGCSE/Geometry-and-Measures/MS/Higher/Mensuration-and-Calculation/Pythagoras&apos;%20Theorem%20(H)%20MS.pdf" TargetMode="External"/><Relationship Id="rId211" Type="http://schemas.openxmlformats.org/officeDocument/2006/relationships/hyperlink" Target="https://pmt.physicsandmathstutor.com/download/Maths/GCSE/Topic-Qs/Edexcel-IGCSE/Geometry-and-Measures/MA/Higher/Mensuration-and-Calculation/Pythagoras&apos;%20Theorem%20(H)%20MA.pdf" TargetMode="External"/><Relationship Id="rId212" Type="http://schemas.openxmlformats.org/officeDocument/2006/relationships/hyperlink" Target="https://mathsgenie.co.uk/igcse/maths/edexcel/grade-4-4-10-angles-in-parallel-lines" TargetMode="External"/><Relationship Id="rId213" Type="http://schemas.openxmlformats.org/officeDocument/2006/relationships/hyperlink" Target="https://pmt.physicsandmathstutor.com/download/Maths/GCSE/Topic-Qs/Edexcel-IGCSE/Geometry-and-Measures/QP/Higher/Properties-and-Constructions/Properties%20of%20Angles%20(H)%20QP.pdf" TargetMode="External"/><Relationship Id="rId214" Type="http://schemas.openxmlformats.org/officeDocument/2006/relationships/hyperlink" Target="https://pmt.physicsandmathstutor.com/download/Maths/GCSE/Topic-Qs/Edexcel-IGCSE/Geometry-and-Measures/MS/Higher/Properties-and-Constructions/Properties%20of%20Angles%20(H)%20MS.pdf" TargetMode="External"/><Relationship Id="rId215" Type="http://schemas.openxmlformats.org/officeDocument/2006/relationships/hyperlink" Target="https://pmt.physicsandmathstutor.com/download/Maths/GCSE/Topic-Qs/Edexcel-IGCSE/Geometry-and-Measures/MA/Higher/Properties-and-Constructions/Properties%20of%20Angles%20(H)%20MA.pdf" TargetMode="External"/><Relationship Id="rId216" Type="http://schemas.openxmlformats.org/officeDocument/2006/relationships/hyperlink" Target="https://mathsgenie.co.uk/igcse/maths/edexcel/grade-4-4-11-angles-in-polygons" TargetMode="External"/><Relationship Id="rId217" Type="http://schemas.openxmlformats.org/officeDocument/2006/relationships/hyperlink" Target="https://pmt.physicsandmathstutor.com/download/Maths/GCSE/Topic-Qs/Edexcel-IGCSE/Geometry-and-Measures/QP/Higher/Properties-and-Constructions/Properties%20of%20Polygons%20(H)%20QP.pdf" TargetMode="External"/><Relationship Id="rId218" Type="http://schemas.openxmlformats.org/officeDocument/2006/relationships/hyperlink" Target="https://pmt.physicsandmathstutor.com/download/Maths/GCSE/Topic-Qs/Edexcel-IGCSE/Geometry-and-Measures/MS/Higher/Properties-and-Constructions/Properties%20of%20Polygons%20(H)%20MS.pdf" TargetMode="External"/><Relationship Id="rId219" Type="http://schemas.openxmlformats.org/officeDocument/2006/relationships/hyperlink" Target="https://pmt.physicsandmathstutor.com/download/Maths/GCSE/Topic-Qs/Edexcel-IGCSE/Geometry-and-Measures/MA/Higher/Properties-and-Constructions/Properties%20of%20Polygons%20(H)%20MA.pdf" TargetMode="External"/><Relationship Id="rId220" Type="http://schemas.openxmlformats.org/officeDocument/2006/relationships/hyperlink" Target="https://mathsgenie.co.uk/igcse/maths/edexcel/grade-4-4-12-surface-area" TargetMode="External"/><Relationship Id="rId221" Type="http://schemas.openxmlformats.org/officeDocument/2006/relationships/hyperlink" Target="https://pmt.physicsandmathstutor.com/download/Maths/GCSE/Topic-Qs/Edexcel-IGCSE/Geometry-and-Measures/QP/Higher/Mensuration-and-Calculation/Volume%20and%20Surface%20Area%20(H)%20QP.pdf" TargetMode="External"/><Relationship Id="rId222" Type="http://schemas.openxmlformats.org/officeDocument/2006/relationships/hyperlink" Target="https://pmt.physicsandmathstutor.com/download/Maths/GCSE/Topic-Qs/Edexcel-IGCSE/Geometry-and-Measures/MS/Higher/Mensuration-and-Calculation/Volume%20and%20Surface%20Area%20(H)%20MS.pdf" TargetMode="External"/><Relationship Id="rId223" Type="http://schemas.openxmlformats.org/officeDocument/2006/relationships/hyperlink" Target="https://pmt.physicsandmathstutor.com/download/Maths/GCSE/Topic-Qs/Edexcel-IGCSE/Geometry-and-Measures/MA/Higher/Mensuration-and-Calculation/Volume%20and%20Surface%20Area%20(H)%20MA.pdf" TargetMode="External"/><Relationship Id="rId224" Type="http://schemas.openxmlformats.org/officeDocument/2006/relationships/hyperlink" Target="https://mathsgenie.co.uk/igcse/maths/edexcel/grade-4-4-13-volume-of-a-prism" TargetMode="External"/><Relationship Id="rId225" Type="http://schemas.openxmlformats.org/officeDocument/2006/relationships/hyperlink" Target="https://pmt.physicsandmathstutor.com/download/Maths/GCSE/Topic-Qs/Edexcel-IGCSE/Geometry-and-Measures/QP/Higher/Mensuration-and-Calculation/Volume%20and%20Surface%20Area%20(H)%20QP.pdf" TargetMode="External"/><Relationship Id="rId226" Type="http://schemas.openxmlformats.org/officeDocument/2006/relationships/hyperlink" Target="https://pmt.physicsandmathstutor.com/download/Maths/GCSE/Topic-Qs/Edexcel-IGCSE/Geometry-and-Measures/MS/Higher/Mensuration-and-Calculation/Volume%20and%20Surface%20Area%20(H)%20MS.pdf" TargetMode="External"/><Relationship Id="rId227" Type="http://schemas.openxmlformats.org/officeDocument/2006/relationships/hyperlink" Target="https://pmt.physicsandmathstutor.com/download/Maths/GCSE/Topic-Qs/Edexcel-IGCSE/Geometry-and-Measures/MA/Higher/Mensuration-and-Calculation/Volume%20and%20Surface%20Area%20(H)%20MA.pdf" TargetMode="External"/><Relationship Id="rId228" Type="http://schemas.openxmlformats.org/officeDocument/2006/relationships/hyperlink" Target="https://mathsgenie.co.uk/igcse/maths/edexcel/grade-4-4-14-cylinders" TargetMode="External"/><Relationship Id="rId229" Type="http://schemas.openxmlformats.org/officeDocument/2006/relationships/hyperlink" Target="https://pmt.physicsandmathstutor.com/download/Maths/GCSE/Topic-Qs/Edexcel-IGCSE/Geometry-and-Measures/QP/Higher/Mensuration-and-Calculation/Volume%20and%20Surface%20Area%20(H)%20QP.pdf" TargetMode="External"/><Relationship Id="rId230" Type="http://schemas.openxmlformats.org/officeDocument/2006/relationships/hyperlink" Target="https://pmt.physicsandmathstutor.com/download/Maths/GCSE/Topic-Qs/Edexcel-IGCSE/Geometry-and-Measures/MS/Higher/Mensuration-and-Calculation/Volume%20and%20Surface%20Area%20(H)%20MS.pdf" TargetMode="External"/><Relationship Id="rId231" Type="http://schemas.openxmlformats.org/officeDocument/2006/relationships/hyperlink" Target="https://pmt.physicsandmathstutor.com/download/Maths/GCSE/Topic-Qs/Edexcel-IGCSE/Geometry-and-Measures/MA/Higher/Mensuration-and-Calculation/Volume%20and%20Surface%20Area%20(H)%20MA.pdf" TargetMode="External"/><Relationship Id="rId232" Type="http://schemas.openxmlformats.org/officeDocument/2006/relationships/hyperlink" Target="https://mathsgenie.co.uk/igcse/maths/edexcel/grade-4-4-15-construction" TargetMode="External"/><Relationship Id="rId233" Type="http://schemas.openxmlformats.org/officeDocument/2006/relationships/hyperlink" Target="https://pmt.physicsandmathstutor.com/download/Maths/GCSE/Topic-Qs/Edexcel-IGCSE/Geometry-and-Measures/QP/Higher/Properties-and-Constructions/Constructions%20(H)%20QP.pdf" TargetMode="External"/><Relationship Id="rId234" Type="http://schemas.openxmlformats.org/officeDocument/2006/relationships/hyperlink" Target="https://pmt.physicsandmathstutor.com/download/Maths/GCSE/Topic-Qs/Edexcel-IGCSE/Geometry-and-Measures/MS/Higher/Properties-and-Constructions/Constructions%20(H)%20MS.pdf" TargetMode="External"/><Relationship Id="rId235" Type="http://schemas.openxmlformats.org/officeDocument/2006/relationships/hyperlink" Target="https://pmt.physicsandmathstutor.com/download/Maths/GCSE/Topic-Qs/Edexcel-IGCSE/Geometry-and-Measures/MA/Higher/Properties-and-Constructions/Constructions%20(H)%20MA.pdf" TargetMode="External"/><Relationship Id="rId236" Type="http://schemas.openxmlformats.org/officeDocument/2006/relationships/hyperlink" Target="https://mathsgenie.co.uk/igcse/maths/edexcel/grade-4-4-16-bearings" TargetMode="External"/><Relationship Id="rId237" Type="http://schemas.openxmlformats.org/officeDocument/2006/relationships/hyperlink" Target="https://pmt.physicsandmathstutor.com/download/Maths/GCSE/Topic-Qs/Edexcel-IGCSE/Geometry-and-Measures/QP/Higher/Mensuration-and-Calculation/Bearings%20(H)%20QP.pdf" TargetMode="External"/><Relationship Id="rId238" Type="http://schemas.openxmlformats.org/officeDocument/2006/relationships/hyperlink" Target="https://pmt.physicsandmathstutor.com/download/Maths/GCSE/Topic-Qs/Edexcel-IGCSE/Geometry-and-Measures/MS/Higher/Mensuration-and-Calculation/Bearings%20(H)%20MS.pdf" TargetMode="External"/><Relationship Id="rId239" Type="http://schemas.openxmlformats.org/officeDocument/2006/relationships/hyperlink" Target="https://pmt.physicsandmathstutor.com/download/Maths/GCSE/Topic-Qs/Edexcel-IGCSE/Geometry-and-Measures/MA/Higher/Mensuration-and-Calculation/Bearings%20(H)%20MA.pdf" TargetMode="External"/><Relationship Id="rId240" Type="http://schemas.openxmlformats.org/officeDocument/2006/relationships/hyperlink" Target="https://mathsgenie.co.uk/igcse/maths/edexcel/grade-4-4-17-averages-from-frequency-tables" TargetMode="External"/><Relationship Id="rId241" Type="http://schemas.openxmlformats.org/officeDocument/2006/relationships/hyperlink" Target="https://pmt.physicsandmathstutor.com/download/Maths/GCSE/Topic-Qs/Edexcel-IGCSE/Statistics/QP/Higher/Frequency%20Tables%20(H)%20QP.pdf" TargetMode="External"/><Relationship Id="rId242" Type="http://schemas.openxmlformats.org/officeDocument/2006/relationships/hyperlink" Target="https://pmt.physicsandmathstutor.com/download/Maths/GCSE/Topic-Qs/Edexcel-IGCSE/Statistics/MS/Higher/Frequency%20Tables%20(H)%20MS.pdf" TargetMode="External"/><Relationship Id="rId243" Type="http://schemas.openxmlformats.org/officeDocument/2006/relationships/hyperlink" Target="https://pmt.physicsandmathstutor.com/download/Maths/GCSE/Topic-Qs/Edexcel-IGCSE/Statistics/MA/Higher/Frequency%20Tables%20(H)%20MA.pdf" TargetMode="External"/><Relationship Id="rId244" Type="http://schemas.openxmlformats.org/officeDocument/2006/relationships/hyperlink" Target="https://mathsgenie.co.uk/igcse/maths/edexcel/grade-4-4-18-probability" TargetMode="External"/><Relationship Id="rId245" Type="http://schemas.openxmlformats.org/officeDocument/2006/relationships/hyperlink" Target="https://pmt.physicsandmathstutor.com/download/Maths/GCSE/Topic-Qs/Edexcel-IGCSE/Probability/QP/Higher/Probability%20of%20Events%20(H)%20QP.pdf" TargetMode="External"/><Relationship Id="rId246" Type="http://schemas.openxmlformats.org/officeDocument/2006/relationships/hyperlink" Target="https://pmt.physicsandmathstutor.com/download/Maths/GCSE/Topic-Qs/Edexcel-IGCSE/Probability/MS/Higher/Probability%20of%20Events%20(H)%20MS.pdf" TargetMode="External"/><Relationship Id="rId247" Type="http://schemas.openxmlformats.org/officeDocument/2006/relationships/hyperlink" Target="https://pmt.physicsandmathstutor.com/download/Maths/GCSE/Topic-Qs/Edexcel-IGCSE/Probability/MA/Higher/Probability%20of%20Events%20(H)%20MA.pdf" TargetMode="External"/><Relationship Id="rId248" Type="http://schemas.openxmlformats.org/officeDocument/2006/relationships/hyperlink" Target="https://mathsgenie.co.uk/igcse/maths/edexcel/grade-5-5-1-reverse-percentages" TargetMode="External"/><Relationship Id="rId249" Type="http://schemas.openxmlformats.org/officeDocument/2006/relationships/hyperlink" Target="https://pmt.physicsandmathstutor.com/download/Maths/GCSE/Topic-Qs/Edexcel-IGCSE/Number/QP/Higher/Fractions-Decimals-and-Percentages/Percentages%20(H)%20QP.pdf" TargetMode="External"/><Relationship Id="rId250" Type="http://schemas.openxmlformats.org/officeDocument/2006/relationships/hyperlink" Target="https://pmt.physicsandmathstutor.com/download/Maths/GCSE/Topic-Qs/Edexcel-IGCSE/Number/MS/Higher/Fractions-Decimals-and-Percentages/Percentages%20(H)%20MS.pdf" TargetMode="External"/><Relationship Id="rId251" Type="http://schemas.openxmlformats.org/officeDocument/2006/relationships/hyperlink" Target="https://pmt.physicsandmathstutor.com/download/Maths/GCSE/Topic-Qs/Edexcel-IGCSE/Number/MA/Higher/Fractions-Decimals-and-Percentages/Percentages%20(H)%20MA.pdf" TargetMode="External"/><Relationship Id="rId252" Type="http://schemas.openxmlformats.org/officeDocument/2006/relationships/hyperlink" Target="https://mathsgenie.co.uk/igcse/maths/edexcel/grade-5-5-2-standard-form" TargetMode="External"/><Relationship Id="rId253" Type="http://schemas.openxmlformats.org/officeDocument/2006/relationships/hyperlink" Target="https://pmt.physicsandmathstutor.com/download/Maths/GCSE/Topic-Qs/Edexcel-IGCSE/Number/QP/Higher/Structure-and-Calculation/Standard%20Form%20(H)%20QP.pdf" TargetMode="External"/><Relationship Id="rId254" Type="http://schemas.openxmlformats.org/officeDocument/2006/relationships/hyperlink" Target="https://pmt.physicsandmathstutor.com/download/Maths/GCSE/Topic-Qs/Edexcel-IGCSE/Number/MS/Higher/Structure-and-Calculation/Standard%20Form%20(H)%20MS.pdf" TargetMode="External"/><Relationship Id="rId255" Type="http://schemas.openxmlformats.org/officeDocument/2006/relationships/hyperlink" Target="https://pmt.physicsandmathstutor.com/download/Maths/GCSE/Topic-Qs/Edexcel-IGCSE/Number/MA/Higher/Structure-and-Calculation/Standard%20Form%20(H)%20MA.pdf" TargetMode="External"/><Relationship Id="rId256" Type="http://schemas.openxmlformats.org/officeDocument/2006/relationships/hyperlink" Target="https://mathsgenie.co.uk/igcse/maths/edexcel/grade-5-5-3-speed-and-density" TargetMode="External"/><Relationship Id="rId257" Type="http://schemas.openxmlformats.org/officeDocument/2006/relationships/hyperlink" Target="https://pmt.physicsandmathstutor.com/download/Maths/GCSE/Topic-Qs/Edexcel-IGCSE/Ratio-Proportion-and-Rates-of-Change/QP/Higher/Speed%20(H)%20QP.pdf" TargetMode="External"/><Relationship Id="rId258" Type="http://schemas.openxmlformats.org/officeDocument/2006/relationships/hyperlink" Target="https://pmt.physicsandmathstutor.com/download/Maths/GCSE/Topic-Qs/Edexcel-IGCSE/Ratio-Proportion-and-Rates-of-Change/MS/Higher/Speed%20(H)%20MS.pdf" TargetMode="External"/><Relationship Id="rId259" Type="http://schemas.openxmlformats.org/officeDocument/2006/relationships/hyperlink" Target="https://pmt.physicsandmathstutor.com/download/Maths/GCSE/Topic-Qs/Edexcel-IGCSE/Ratio-Proportion-and-Rates-of-Change/MA/Higher/Speed%20(H)%20MA.pdf" TargetMode="External"/><Relationship Id="rId260" Type="http://schemas.openxmlformats.org/officeDocument/2006/relationships/hyperlink" Target="https://mathsgenie.co.uk/igcse/maths/edexcel/grade-5-5-4-changing-the-subject-of-a-formula" TargetMode="External"/><Relationship Id="rId261" Type="http://schemas.openxmlformats.org/officeDocument/2006/relationships/hyperlink" Target="https://pmt.physicsandmathstutor.com/download/Maths/GCSE/Topic-Qs/Edexcel-IGCSE/Algebra/QP/Higher/Notation-Vocabulary-and-Manipulation/Manipulation%20of%20Formulae%20(H)%20QP.pdf" TargetMode="External"/><Relationship Id="rId262" Type="http://schemas.openxmlformats.org/officeDocument/2006/relationships/hyperlink" Target="https://pmt.physicsandmathstutor.com/download/Maths/GCSE/Topic-Qs/Edexcel-IGCSE/Algebra/MS/Higher/Notation-Vocabulary-and-Manipulation/Manipulation%20of%20Formulae%20(H)%20MS.pdf" TargetMode="External"/><Relationship Id="rId263" Type="http://schemas.openxmlformats.org/officeDocument/2006/relationships/hyperlink" Target="https://pmt.physicsandmathstutor.com/download/Maths/GCSE/Topic-Qs/Edexcel-IGCSE/Algebra/MA/Higher/Notation-Vocabulary-and-Manipulation/Manipulation%20of%20Formulae%20(H)%20MA.pdf" TargetMode="External"/><Relationship Id="rId264" Type="http://schemas.openxmlformats.org/officeDocument/2006/relationships/hyperlink" Target="https://mathsgenie.co.uk/igcse/maths/edexcel/grade-5-5-5-expanding-and-factorising-quadratics" TargetMode="External"/><Relationship Id="rId265" Type="http://schemas.openxmlformats.org/officeDocument/2006/relationships/hyperlink" Target="https://pmt.physicsandmathstutor.com/download/Maths/GCSE/Topic-Qs/Edexcel-IGCSE/Algebra/QP/Higher/Notation-Vocabulary-and-Manipulation/Factorising%20Equations%20(H)%20QP.pdf" TargetMode="External"/><Relationship Id="rId266" Type="http://schemas.openxmlformats.org/officeDocument/2006/relationships/hyperlink" Target="https://pmt.physicsandmathstutor.com/download/Maths/GCSE/Topic-Qs/Edexcel-IGCSE/Algebra/MS/Higher/Notation-Vocabulary-and-Manipulation/Factorising%20Equations%20(H)%20MS.pdf" TargetMode="External"/><Relationship Id="rId267" Type="http://schemas.openxmlformats.org/officeDocument/2006/relationships/hyperlink" Target="https://pmt.physicsandmathstutor.com/download/Maths/GCSE/Topic-Qs/Edexcel-IGCSE/Algebra/MA/Higher/Notation-Vocabulary-and-Manipulation/Factorising%20Equations%20(H)%20MA.pdf" TargetMode="External"/><Relationship Id="rId268" Type="http://schemas.openxmlformats.org/officeDocument/2006/relationships/hyperlink" Target="https://mathsgenie.co.uk/igcse/maths/edexcel/grade-5-5-6-solving-quadratics" TargetMode="External"/><Relationship Id="rId269" Type="http://schemas.openxmlformats.org/officeDocument/2006/relationships/hyperlink" Target="https://pmt.physicsandmathstutor.com/download/Maths/GCSE/Topic-Qs/Edexcel-IGCSE/Algebra/QP/Higher/Solving-Equations-and-Inequalities/Solving%20Quadratic%20Equations%20(H)%20QP.pdf" TargetMode="External"/><Relationship Id="rId270" Type="http://schemas.openxmlformats.org/officeDocument/2006/relationships/hyperlink" Target="https://pmt.physicsandmathstutor.com/download/Maths/GCSE/Topic-Qs/Edexcel-IGCSE/Algebra/MS/Higher/Solving-Equations-and-Inequalities/Solving%20Quadratic%20Equations%20(H)%20MS.pdf" TargetMode="External"/><Relationship Id="rId271" Type="http://schemas.openxmlformats.org/officeDocument/2006/relationships/hyperlink" Target="https://pmt.physicsandmathstutor.com/download/Maths/GCSE/Topic-Qs/Edexcel-IGCSE/Algebra/MA/Higher/Solving-Equations-and-Inequalities/Solving%20Quadratic%20Equations%20(H)%20MA.pdf" TargetMode="External"/><Relationship Id="rId272" Type="http://schemas.openxmlformats.org/officeDocument/2006/relationships/hyperlink" Target="https://mathsgenie.co.uk/igcse/maths/edexcel/grade-5-5-7-drawing-quadratic-graphs" TargetMode="External"/><Relationship Id="rId273" Type="http://schemas.openxmlformats.org/officeDocument/2006/relationships/hyperlink" Target="https://pmt.physicsandmathstutor.com/download/Maths/GCSE/Topic-Qs/Edexcel-IGCSE/Algebra/QP/Higher/Graphs/Graphs%20of%20Quadratic%20Equations%20(H)%20QP.pdf" TargetMode="External"/><Relationship Id="rId274" Type="http://schemas.openxmlformats.org/officeDocument/2006/relationships/hyperlink" Target="https://pmt.physicsandmathstutor.com/download/Maths/GCSE/Topic-Qs/Edexcel-IGCSE/Algebra/MS/Higher/Graphs/Graphs%20of%20Quadratic%20Equations%20(H)%20MS.pdf" TargetMode="External"/><Relationship Id="rId275" Type="http://schemas.openxmlformats.org/officeDocument/2006/relationships/hyperlink" Target="https://pmt.physicsandmathstutor.com/download/Maths/GCSE/Topic-Qs/Edexcel-IGCSE/Algebra/MA/Higher/Graphs/Graphs%20of%20Quadratic%20Equations%20(H)%20MA.pdf" TargetMode="External"/><Relationship Id="rId276" Type="http://schemas.openxmlformats.org/officeDocument/2006/relationships/hyperlink" Target="https://mathsgenie.co.uk/igcse/maths/edexcel/grade-5-5-8-simultaneous-equations" TargetMode="External"/><Relationship Id="rId277" Type="http://schemas.openxmlformats.org/officeDocument/2006/relationships/hyperlink" Target="https://pmt.physicsandmathstutor.com/download/Maths/GCSE/Topic-Qs/Edexcel-IGCSE/Algebra/QP/Higher/Solving-Equations-and-Inequalities/Simultaneous%20Equations%20(H)%20QP.pdf" TargetMode="External"/><Relationship Id="rId278" Type="http://schemas.openxmlformats.org/officeDocument/2006/relationships/hyperlink" Target="https://pmt.physicsandmathstutor.com/download/Maths/GCSE/Topic-Qs/Edexcel-IGCSE/Algebra/MS/Higher/Solving-Equations-and-Inequalities/Simultaneous%20Equations%20(H)%20MS.pdf" TargetMode="External"/><Relationship Id="rId279" Type="http://schemas.openxmlformats.org/officeDocument/2006/relationships/hyperlink" Target="https://pmt.physicsandmathstutor.com/download/Maths/GCSE/Topic-Qs/Edexcel-IGCSE/Algebra/MA/Higher/Solving-Equations-and-Inequalities/Simultaneous%20Equations%20(H)%20MA.pdf" TargetMode="External"/><Relationship Id="rId280" Type="http://schemas.openxmlformats.org/officeDocument/2006/relationships/hyperlink" Target="https://mathsgenie.co.uk/igcse/maths/edexcel/grade-5-5-9-inequalities-on-graphs" TargetMode="External"/><Relationship Id="rId281" Type="http://schemas.openxmlformats.org/officeDocument/2006/relationships/hyperlink" Target="https://pmt.physicsandmathstutor.com/download/Maths/GCSE/Topic-Qs/Edexcel-IGCSE/Algebra/QP/Higher/Solving-Equations-and-Inequalities/Inequalities%20on%20Graphs%20(H)%20QP.pdf" TargetMode="External"/><Relationship Id="rId282" Type="http://schemas.openxmlformats.org/officeDocument/2006/relationships/hyperlink" Target="https://pmt.physicsandmathstutor.com/download/Maths/GCSE/Topic-Qs/Edexcel-IGCSE/Algebra/MS/Higher/Solving-Equations-and-Inequalities/Inequalities%20on%20Graphs%20(H)%20MS.pdf" TargetMode="External"/><Relationship Id="rId283" Type="http://schemas.openxmlformats.org/officeDocument/2006/relationships/hyperlink" Target="https://pmt.physicsandmathstutor.com/download/Maths/GCSE/Topic-Qs/Edexcel-IGCSE/Algebra/MA/Higher/Solving-Equations-and-Inequalities/Inequalities%20on%20Graphs%20(H)%20MA.pdf" TargetMode="External"/><Relationship Id="rId284" Type="http://schemas.openxmlformats.org/officeDocument/2006/relationships/hyperlink" Target="https://mathsgenie.co.uk/igcse/maths/edexcel/grade-5-5-10-similar-shapes-lengths" TargetMode="External"/><Relationship Id="rId285" Type="http://schemas.openxmlformats.org/officeDocument/2006/relationships/hyperlink" Target="https://pmt.physicsandmathstutor.com/download/Maths/GCSE/Topic-Qs/Edexcel-IGCSE/Geometry-and-Measures/QP/Higher/Properties-and-Constructions/Congruence%20and%20Similarity%20(H)%20QP.pdf" TargetMode="External"/><Relationship Id="rId286" Type="http://schemas.openxmlformats.org/officeDocument/2006/relationships/hyperlink" Target="https://pmt.physicsandmathstutor.com/download/Maths/GCSE/Topic-Qs/Edexcel-IGCSE/Geometry-and-Measures/MS/Higher/Properties-and-Constructions/Congruence%20and%20Similarity%20(H)%20MS.pdf" TargetMode="External"/><Relationship Id="rId287" Type="http://schemas.openxmlformats.org/officeDocument/2006/relationships/hyperlink" Target="https://pmt.physicsandmathstutor.com/download/Maths/GCSE/Topic-Qs/Edexcel-IGCSE/Geometry-and-Measures/MA/Higher/Properties-and-Constructions/Congruence%20and%20Similarity%20(H)%20MA.pdf" TargetMode="External"/><Relationship Id="rId288" Type="http://schemas.openxmlformats.org/officeDocument/2006/relationships/hyperlink" Target="https://mathsgenie.co.uk/igcse/maths/edexcel/grade-5-11-sohcahtoa-trigonometry" TargetMode="External"/><Relationship Id="rId289" Type="http://schemas.openxmlformats.org/officeDocument/2006/relationships/hyperlink" Target="https://pmt.physicsandmathstutor.com/download/Maths/GCSE/Topic-Qs/Edexcel-IGCSE/Geometry-and-Measures/QP/Higher/Mensuration-and-Calculation/Trig%20Ratios%20and%20Exact%20Values%20(H)%20QP.pdf" TargetMode="External"/><Relationship Id="rId290" Type="http://schemas.openxmlformats.org/officeDocument/2006/relationships/hyperlink" Target="https://pmt.physicsandmathstutor.com/download/Maths/GCSE/Topic-Qs/Edexcel-IGCSE/Geometry-and-Measures/MS/Higher/Mensuration-and-Calculation/Trig%20Ratios%20and%20Exact%20Values%20(H)%20MS.pdf" TargetMode="External"/><Relationship Id="rId291" Type="http://schemas.openxmlformats.org/officeDocument/2006/relationships/hyperlink" Target="https://pmt.physicsandmathstutor.com/download/Maths/GCSE/Topic-Qs/Edexcel-IGCSE/Geometry-and-Measures/MA/Higher/Mensuration-and-Calculation/Trig%20Ratios%20and%20Exact%20Values%20(H)%20MA.pdf" TargetMode="External"/><Relationship Id="rId292" Type="http://schemas.openxmlformats.org/officeDocument/2006/relationships/hyperlink" Target="https://mathsgenie.co.uk/igcse/maths/edexcel/grade-5-5-11-venn-diagrams" TargetMode="External"/><Relationship Id="rId293" Type="http://schemas.openxmlformats.org/officeDocument/2006/relationships/hyperlink" Target="https://pmt.physicsandmathstutor.com/download/Maths/GCSE/Topic-Qs/Edexcel-IGCSE/Probability/QP/Higher/Venn%20Diagrams%20(H)%20QP.pdf" TargetMode="External"/><Relationship Id="rId294" Type="http://schemas.openxmlformats.org/officeDocument/2006/relationships/hyperlink" Target="https://pmt.physicsandmathstutor.com/download/Maths/GCSE/Topic-Qs/Edexcel-IGCSE/Probability/MS/Higher/Venn%20Diagrams%20(H)%20MS.pdf" TargetMode="External"/><Relationship Id="rId295" Type="http://schemas.openxmlformats.org/officeDocument/2006/relationships/hyperlink" Target="https://pmt.physicsandmathstutor.com/download/Maths/GCSE/Topic-Qs/Edexcel-IGCSE/Probability/MA/Higher/Venn%20Diagrams%20(H)%20MA.pdf" TargetMode="External"/><Relationship Id="rId296" Type="http://schemas.openxmlformats.org/officeDocument/2006/relationships/hyperlink" Target="https://mathsgenie.co.uk/igcse/maths/edexcel/grade-5-5-12-data" TargetMode="External"/><Relationship Id="rId297" Type="http://schemas.openxmlformats.org/officeDocument/2006/relationships/hyperlink" Target="https://pmt.physicsandmathstutor.com/download/Maths/GCSE/Topic-Qs/Edexcel-IGCSE/Statistics/QP/Higher/Interpreting%20Data%20(H)%20QP.pdf" TargetMode="External"/><Relationship Id="rId298" Type="http://schemas.openxmlformats.org/officeDocument/2006/relationships/hyperlink" Target="https://pmt.physicsandmathstutor.com/download/Maths/GCSE/Topic-Qs/Edexcel-IGCSE/Statistics/MS/Higher/Interpreting%20Data%20(H)%20MS.pdf" TargetMode="External"/><Relationship Id="rId299" Type="http://schemas.openxmlformats.org/officeDocument/2006/relationships/hyperlink" Target="https://pmt.physicsandmathstutor.com/download/Maths/GCSE/Topic-Qs/Edexcel-IGCSE/Statistics/MA/Higher/Interpreting%20Data%20(H)%20MA.pdf" TargetMode="External"/><Relationship Id="rId300" Type="http://schemas.openxmlformats.org/officeDocument/2006/relationships/hyperlink" Target="https://mathsgenie.co.uk/igcse/maths/edexcel/grade-6-6-1-recurring-decimals-to-fractions" TargetMode="External"/><Relationship Id="rId301" Type="http://schemas.openxmlformats.org/officeDocument/2006/relationships/hyperlink" Target="https://pmt.physicsandmathstutor.com/download/Maths/GCSE/Topic-Qs/Edexcel-IGCSE/Number/QP/Higher/Fractions-Decimals-and-Percentages/Recurring%20Decimals%20into%20Fractions%20(H)%20QP.pdf" TargetMode="External"/><Relationship Id="rId302" Type="http://schemas.openxmlformats.org/officeDocument/2006/relationships/hyperlink" Target="https://pmt.physicsandmathstutor.com/download/Maths/GCSE/Topic-Qs/Edexcel-IGCSE/Number/MS/Higher/Fractions-Decimals-and-Percentages/Recurring%20Decimals%20into%20Fractions%20(H)%20MS.pdf" TargetMode="External"/><Relationship Id="rId303" Type="http://schemas.openxmlformats.org/officeDocument/2006/relationships/hyperlink" Target="https://pmt.physicsandmathstutor.com/download/Maths/GCSE/Topic-Qs/Edexcel-IGCSE/Number/MA/Higher/Fractions-Decimals-and-Percentages/Recurring%20Decimals%20into%20Fractions%20(H)%20MA.pdf" TargetMode="External"/><Relationship Id="rId304" Type="http://schemas.openxmlformats.org/officeDocument/2006/relationships/hyperlink" Target="https://mathsgenie.co.uk/igcse/maths/edexcel/grade-6-6-2-fractional-and-negative-indices" TargetMode="External"/><Relationship Id="rId305" Type="http://schemas.openxmlformats.org/officeDocument/2006/relationships/hyperlink" Target="https://pmt.physicsandmathstutor.com/download/Maths/GCSE/Topic-Qs/Edexcel-IGCSE/Number/QP/Higher/Structure-and-Calculation/Indices%20(H)%20QP.pdf" TargetMode="External"/><Relationship Id="rId306" Type="http://schemas.openxmlformats.org/officeDocument/2006/relationships/hyperlink" Target="https://pmt.physicsandmathstutor.com/download/Maths/GCSE/Topic-Qs/Edexcel-IGCSE/Number/MS/Higher/Structure-and-Calculation/Indices%20(H)%20MS.pdf" TargetMode="External"/><Relationship Id="rId307" Type="http://schemas.openxmlformats.org/officeDocument/2006/relationships/hyperlink" Target="https://pmt.physicsandmathstutor.com/download/Maths/GCSE/Topic-Qs/Edexcel-IGCSE/Number/MA/Higher/Structure-and-Calculation/Indices%20(H)%20MA.pdf" TargetMode="External"/><Relationship Id="rId308" Type="http://schemas.openxmlformats.org/officeDocument/2006/relationships/hyperlink" Target="https://mathsgenie.co.uk/igcse/maths/edexcel/grade-6-6-3-direct-and-inverse-proportion" TargetMode="External"/><Relationship Id="rId309" Type="http://schemas.openxmlformats.org/officeDocument/2006/relationships/hyperlink" Target="https://pmt.physicsandmathstutor.com/download/Maths/GCSE/Topic-Qs/Edexcel-IGCSE/Ratio-Proportion-and-Rates-of-Change/QP/Higher/Direct%20and%20Inverse%20Proportion%20(H)%20QP.pdf" TargetMode="External"/><Relationship Id="rId310" Type="http://schemas.openxmlformats.org/officeDocument/2006/relationships/hyperlink" Target="https://pmt.physicsandmathstutor.com/download/Maths/GCSE/Topic-Qs/Edexcel-IGCSE/Ratio-Proportion-and-Rates-of-Change/MS/Higher/Direct%20and%20Inverse%20Proportion%20(H)%20MS.pdf" TargetMode="External"/><Relationship Id="rId311" Type="http://schemas.openxmlformats.org/officeDocument/2006/relationships/hyperlink" Target="https://pmt.physicsandmathstutor.com/download/Maths/GCSE/Topic-Qs/Edexcel-IGCSE/Ratio-Proportion-and-Rates-of-Change/MA/Higher/Direct%20and%20Inverse%20Proportion%20(H)%20MA.pdf" TargetMode="External"/><Relationship Id="rId312" Type="http://schemas.openxmlformats.org/officeDocument/2006/relationships/hyperlink" Target="https://mathsgenie.co.uk/igcse/maths/edexcel/grade-6-6-4-expanding-triple-brackets" TargetMode="External"/><Relationship Id="rId313" Type="http://schemas.openxmlformats.org/officeDocument/2006/relationships/hyperlink" Target="https://pmt.physicsandmathstutor.com/download/Maths/GCSE/Topic-Qs/Edexcel-IGCSE/Algebra/QP/Higher/Notation-Vocabulary-and-Manipulation/Expanding%20Triple%20Brackets%20(H)%20QP.pdf" TargetMode="External"/><Relationship Id="rId314" Type="http://schemas.openxmlformats.org/officeDocument/2006/relationships/hyperlink" Target="https://pmt.physicsandmathstutor.com/download/Maths/GCSE/Topic-Qs/Edexcel-IGCSE/Algebra/MS/Higher/Notation-Vocabulary-and-Manipulation/Expanding%20Triple%20Brackets%20(H)%20MS.pdf" TargetMode="External"/><Relationship Id="rId315" Type="http://schemas.openxmlformats.org/officeDocument/2006/relationships/hyperlink" Target="https://pmt.physicsandmathstutor.com/download/Maths/GCSE/Topic-Qs/Edexcel-IGCSE/Algebra/MA/Higher/Notation-Vocabulary-and-Manipulation/Expanding%20Triple%20Brackets%20(H)%20MA.pdf" TargetMode="External"/><Relationship Id="rId316" Type="http://schemas.openxmlformats.org/officeDocument/2006/relationships/hyperlink" Target="https://mathsgenie.co.uk/igcse/maths/edexcel/grade-6-6-5-drawing-other-graphs-cubic-reciprocal" TargetMode="External"/><Relationship Id="rId317" Type="http://schemas.openxmlformats.org/officeDocument/2006/relationships/hyperlink" Target="https://pmt.physicsandmathstutor.com/download/Maths/GCSE/Topic-Qs/Edexcel-IGCSE/Algebra/QP/Higher/Graphs/Cubic%20and%20Reciprocal%20Graphs%20(H)%20QP.pdf" TargetMode="External"/><Relationship Id="rId318" Type="http://schemas.openxmlformats.org/officeDocument/2006/relationships/hyperlink" Target="https://pmt.physicsandmathstutor.com/download/Maths/GCSE/Topic-Qs/Edexcel-IGCSE/Algebra/MS/Higher/Graphs/Cubic%20and%20Reciprocal%20Graphs%20(H)%20MS.pdf" TargetMode="External"/><Relationship Id="rId319" Type="http://schemas.openxmlformats.org/officeDocument/2006/relationships/hyperlink" Target="https://pmt.physicsandmathstutor.com/download/Maths/GCSE/Topic-Qs/Edexcel-IGCSE/Algebra/MA/Higher/Graphs/Cubic%20and%20Reciprocal%20Graphs%20(H)%20MA.pdf" TargetMode="External"/><Relationship Id="rId320" Type="http://schemas.openxmlformats.org/officeDocument/2006/relationships/hyperlink" Target="https://mathsgenie.co.uk/igcse/maths/edexcel/grade-6-6-6-solving-simultaneous-equations-graphically" TargetMode="External"/><Relationship Id="rId321" Type="http://schemas.openxmlformats.org/officeDocument/2006/relationships/hyperlink" Target="https://pmt.physicsandmathstutor.com/download/Maths/GCSE/Topic-Qs/Edexcel-IGCSE/Algebra/QP/Higher/Graphs/Simultaneous%20Equations%20on%20Graphs%20(H)%20QP.pdf" TargetMode="External"/><Relationship Id="rId322" Type="http://schemas.openxmlformats.org/officeDocument/2006/relationships/hyperlink" Target="https://pmt.physicsandmathstutor.com/download/Maths/GCSE/Topic-Qs/Edexcel-IGCSE/Algebra/MS/Higher/Graphs/Simultaneous%20Equations%20on%20Graphs%20(H)%20MS.pdf" TargetMode="External"/><Relationship Id="rId323" Type="http://schemas.openxmlformats.org/officeDocument/2006/relationships/hyperlink" Target="https://pmt.physicsandmathstutor.com/download/Maths/GCSE/Topic-Qs/Edexcel-IGCSE/Algebra/MA/Higher/Graphs/Simultaneous%20Equations%20on%20Graphs%20(H)%20MA.pdf" TargetMode="External"/><Relationship Id="rId324" Type="http://schemas.openxmlformats.org/officeDocument/2006/relationships/hyperlink" Target="https://mathsgenie.co.uk/igcse/maths/edexcel/grade-6-6-7-gradient-of-a-line" TargetMode="External"/><Relationship Id="rId325" Type="http://schemas.openxmlformats.org/officeDocument/2006/relationships/hyperlink" Target="https://pmt.physicsandmathstutor.com/download/Maths/GCSE/Topic-Qs/Edexcel-IGCSE/Algebra/QP/Higher/Graphs/Gradients%20of%20Straight%20lines%20(H)%20QP.pdf" TargetMode="External"/><Relationship Id="rId326" Type="http://schemas.openxmlformats.org/officeDocument/2006/relationships/hyperlink" Target="https://pmt.physicsandmathstutor.com/download/Maths/GCSE/Topic-Qs/Edexcel-IGCSE/Algebra/MS/Higher/Graphs/Gradients%20of%20Straight%20lines%20(H)%20MS.pdf" TargetMode="External"/><Relationship Id="rId327" Type="http://schemas.openxmlformats.org/officeDocument/2006/relationships/hyperlink" Target="https://pmt.physicsandmathstutor.com/download/Maths/GCSE/Topic-Qs/Edexcel-IGCSE/Algebra/MA/Higher/Graphs/Gradients%20of%20Straight%20lines%20(H)%20MA.pdf" TargetMode="External"/><Relationship Id="rId328" Type="http://schemas.openxmlformats.org/officeDocument/2006/relationships/hyperlink" Target="https://mathsgenie.co.uk/igcse/maths/edexcel/grade-6-6-8-equation-of-a-line" TargetMode="External"/><Relationship Id="rId329" Type="http://schemas.openxmlformats.org/officeDocument/2006/relationships/hyperlink" Target="https://pmt.physicsandmathstutor.com/download/Maths/GCSE/Topic-Qs/Edexcel-IGCSE/Algebra/QP/Higher/Graphs/Equations%20of%20Straight%20Lines%20(H)%20QP.pdf" TargetMode="External"/><Relationship Id="rId330" Type="http://schemas.openxmlformats.org/officeDocument/2006/relationships/hyperlink" Target="https://pmt.physicsandmathstutor.com/download/Maths/GCSE/Topic-Qs/Edexcel-IGCSE/Algebra/MS/Higher/Graphs/Equations%20of%20Straight%20Lines%20(H)%20MS.pdf" TargetMode="External"/><Relationship Id="rId331" Type="http://schemas.openxmlformats.org/officeDocument/2006/relationships/hyperlink" Target="https://pmt.physicsandmathstutor.com/download/Maths/GCSE/Topic-Qs/Edexcel-IGCSE/Algebra/MA/Higher/Graphs/Equations%20of%20Straight%20Lines%20(H)%20MA.pdf" TargetMode="External"/><Relationship Id="rId332" Type="http://schemas.openxmlformats.org/officeDocument/2006/relationships/hyperlink" Target="https://mathsgenie.co.uk/igcse/maths/edexcel/grade-6-6-9-inequalities-on-graphs" TargetMode="External"/><Relationship Id="rId333" Type="http://schemas.openxmlformats.org/officeDocument/2006/relationships/hyperlink" Target="https://pmt.physicsandmathstutor.com/download/Maths/GCSE/Topic-Qs/Edexcel-IGCSE/Algebra/QP/Higher/Solving-Equations-and-Inequalities/Inequalities%20on%20Graphs%20(H)%20QP.pdf" TargetMode="External"/><Relationship Id="rId334" Type="http://schemas.openxmlformats.org/officeDocument/2006/relationships/hyperlink" Target="https://pmt.physicsandmathstutor.com/download/Maths/GCSE/Topic-Qs/Edexcel-IGCSE/Algebra/MS/Higher/Solving-Equations-and-Inequalities/Inequalities%20on%20Graphs%20(H)%20MS.pdf" TargetMode="External"/><Relationship Id="rId335" Type="http://schemas.openxmlformats.org/officeDocument/2006/relationships/hyperlink" Target="https://pmt.physicsandmathstutor.com/download/Maths/GCSE/Topic-Qs/Edexcel-IGCSE/Algebra/MA/Higher/Solving-Equations-and-Inequalities/Inequalities%20on%20Graphs%20(H)%20MA.pdf" TargetMode="External"/><Relationship Id="rId336" Type="http://schemas.openxmlformats.org/officeDocument/2006/relationships/hyperlink" Target="https://mathsgenie.co.uk/igcse/maths/edexcel/grade-6-6-10-spheres-and-cones" TargetMode="External"/><Relationship Id="rId337" Type="http://schemas.openxmlformats.org/officeDocument/2006/relationships/hyperlink" Target="https://pmt.physicsandmathstutor.com/download/Maths/GCSE/Topic-Qs/Edexcel-IGCSE/Geometry-and-Measures/QP/Higher/Mensuration-and-Calculation/Volume%20and%20Surface%20Area%20(H)%20QP.pdf" TargetMode="External"/><Relationship Id="rId338" Type="http://schemas.openxmlformats.org/officeDocument/2006/relationships/hyperlink" Target="https://pmt.physicsandmathstutor.com/download/Maths/GCSE/Topic-Qs/Edexcel-IGCSE/Geometry-and-Measures/MS/Higher/Mensuration-and-Calculation/Volume%20and%20Surface%20Area%20(H)%20MS.pdf" TargetMode="External"/><Relationship Id="rId339" Type="http://schemas.openxmlformats.org/officeDocument/2006/relationships/hyperlink" Target="https://pmt.physicsandmathstutor.com/download/Maths/GCSE/Topic-Qs/Edexcel-IGCSE/Geometry-and-Measures/MA/Higher/Mensuration-and-Calculation/Volume%20and%20Surface%20Area%20(H)%20MA.pdf" TargetMode="External"/><Relationship Id="rId340" Type="http://schemas.openxmlformats.org/officeDocument/2006/relationships/hyperlink" Target="https://mathsgenie.co.uk/igcse/maths/edexcel/grade-6-6-11-sector-areas-and-arc-lengths" TargetMode="External"/><Relationship Id="rId341" Type="http://schemas.openxmlformats.org/officeDocument/2006/relationships/hyperlink" Target="https://pmt.physicsandmathstutor.com/download/Maths/GCSE/Topic-Qs/Edexcel-IGCSE/Geometry-and-Measures/QP/Higher/Properties-and-Constructions/Sectors,%20Segments%20and%20Arcs%20(H)%20QP.pdf" TargetMode="External"/><Relationship Id="rId342" Type="http://schemas.openxmlformats.org/officeDocument/2006/relationships/hyperlink" Target="https://pmt.physicsandmathstutor.com/download/Maths/GCSE/Topic-Qs/Edexcel-IGCSE/Geometry-and-Measures/MS/Higher/Properties-and-Constructions/Sectors,%20Segments%20and%20Arcs%20(H)%20MS.pdf" TargetMode="External"/><Relationship Id="rId343" Type="http://schemas.openxmlformats.org/officeDocument/2006/relationships/hyperlink" Target="https://pmt.physicsandmathstutor.com/download/Maths/GCSE/Topic-Qs/Edexcel-IGCSE/Geometry-and-Measures/MA/Higher/Properties-and-Constructions/Sectors,%20Segments%20and%20Arcs%20(H)%20MA.pdf" TargetMode="External"/><Relationship Id="rId344" Type="http://schemas.openxmlformats.org/officeDocument/2006/relationships/hyperlink" Target="https://mathsgenie.co.uk/igcse/maths/edexcel/grade-6-6-12-parallel-and-perpendicular-lines" TargetMode="External"/><Relationship Id="rId345" Type="http://schemas.openxmlformats.org/officeDocument/2006/relationships/hyperlink" Target="https://pmt.physicsandmathstutor.com/download/Maths/GCSE/Topic-Qs/Edexcel-IGCSE/Algebra/QP/Higher/Graphs/Parallel%20or%20Perpendicular%20Lines%20(H)%20QP.pdf" TargetMode="External"/><Relationship Id="rId346" Type="http://schemas.openxmlformats.org/officeDocument/2006/relationships/hyperlink" Target="https://pmt.physicsandmathstutor.com/download/Maths/GCSE/Topic-Qs/Edexcel-IGCSE/Algebra/MS/Higher/Graphs/Parallel%20or%20Perpendicular%20Lines%20(H)%20MS.pdf" TargetMode="External"/><Relationship Id="rId347" Type="http://schemas.openxmlformats.org/officeDocument/2006/relationships/hyperlink" Target="https://pmt.physicsandmathstutor.com/download/Maths/GCSE/Topic-Qs/Edexcel-IGCSE/Algebra/MA/Higher/Graphs/Parallel%20or%20Perpendicular%20Lines%20(H)%20MA.pdf" TargetMode="External"/><Relationship Id="rId348" Type="http://schemas.openxmlformats.org/officeDocument/2006/relationships/hyperlink" Target="https://mathsgenie.co.uk/igcse/maths/edexcel/grade-6-6-13-similar-shapes-area-and-volume" TargetMode="External"/><Relationship Id="rId349" Type="http://schemas.openxmlformats.org/officeDocument/2006/relationships/hyperlink" Target="https://pmt.physicsandmathstutor.com/download/Maths/GCSE/Topic-Qs/Edexcel-IGCSE/Geometry-and-Measures/QP/Higher/Properties-and-Constructions/Similar%20(2D%20or%203D)%20(H)%20QP.pdf" TargetMode="External"/><Relationship Id="rId350" Type="http://schemas.openxmlformats.org/officeDocument/2006/relationships/hyperlink" Target="https://pmt.physicsandmathstutor.com/download/Maths/GCSE/Topic-Qs/Edexcel-IGCSE/Geometry-and-Measures/MS/Higher/Properties-and-Constructions/Similar%20(2D%20or%203D)%20(H)%20MS.pdf" TargetMode="External"/><Relationship Id="rId351" Type="http://schemas.openxmlformats.org/officeDocument/2006/relationships/hyperlink" Target="https://pmt.physicsandmathstutor.com/download/Maths/GCSE/Topic-Qs/Edexcel-IGCSE/Geometry-and-Measures/MA/Higher/Properties-and-Constructions/Similar%20(2D%20or%203D)%20(H)%20MA.pdf" TargetMode="External"/><Relationship Id="rId352" Type="http://schemas.openxmlformats.org/officeDocument/2006/relationships/hyperlink" Target="https://mathsgenie.co.uk/igcse/maths/edexcel/grade-6-6-14-circle-theorems" TargetMode="External"/><Relationship Id="rId353" Type="http://schemas.openxmlformats.org/officeDocument/2006/relationships/hyperlink" Target="https://pmt.physicsandmathstutor.com/download/Maths/GCSE/Topic-Qs/Edexcel-IGCSE/Geometry-and-Measures/QP/Higher/Properties-and-Constructions/Circle%20Theorems%20(H)%20QP.pdf" TargetMode="External"/><Relationship Id="rId354" Type="http://schemas.openxmlformats.org/officeDocument/2006/relationships/hyperlink" Target="https://pmt.physicsandmathstutor.com/download/Maths/GCSE/Topic-Qs/Edexcel-IGCSE/Geometry-and-Measures/MS/Higher/Properties-and-Constructions/Circle%20Theorems%20(H)%20MS.pdf" TargetMode="External"/><Relationship Id="rId355" Type="http://schemas.openxmlformats.org/officeDocument/2006/relationships/hyperlink" Target="https://pmt.physicsandmathstutor.com/download/Maths/GCSE/Topic-Qs/Edexcel-IGCSE/Geometry-and-Measures/MA/Higher/Properties-and-Constructions/Circle%20Theorems%20(H)%20MA.pdf" TargetMode="External"/><Relationship Id="rId356" Type="http://schemas.openxmlformats.org/officeDocument/2006/relationships/hyperlink" Target="https://mathsgenie.co.uk/igcse/maths/edexcel/grade-6-6-15-cumulative-frequency" TargetMode="External"/><Relationship Id="rId357" Type="http://schemas.openxmlformats.org/officeDocument/2006/relationships/hyperlink" Target="https://pmt.physicsandmathstutor.com/download/Maths/GCSE/Topic-Qs/Edexcel-IGCSE/Statistics/QP/Higher/Cumulative%20Frequency%20Graphs%20(H)%20QP.pdf" TargetMode="External"/><Relationship Id="rId358" Type="http://schemas.openxmlformats.org/officeDocument/2006/relationships/hyperlink" Target="https://pmt.physicsandmathstutor.com/download/Maths/GCSE/Topic-Qs/Edexcel-IGCSE/Statistics/MS/Higher/Cumulative%20Frequency%20Graphs%20(H)%20MS.pdf" TargetMode="External"/><Relationship Id="rId359" Type="http://schemas.openxmlformats.org/officeDocument/2006/relationships/hyperlink" Target="https://pmt.physicsandmathstutor.com/download/Maths/GCSE/Topic-Qs/Edexcel-IGCSE/Statistics/MA/Higher/Cumulative%20Frequency%20Graphs%20(H)%20MA.pdf" TargetMode="External"/><Relationship Id="rId360" Type="http://schemas.openxmlformats.org/officeDocument/2006/relationships/hyperlink" Target="https://mathsgenie.co.uk/igcse/maths/edexcel/grade-6-6-16-vectors" TargetMode="External"/><Relationship Id="rId361" Type="http://schemas.openxmlformats.org/officeDocument/2006/relationships/hyperlink" Target="https://pmt.physicsandmathstutor.com/download/Maths/GCSE/Topic-Qs/Edexcel-IGCSE/Geometry-and-Measures/QP/Higher/Vectors/Manipulating%20Vectors%20(H)%20QP.pdf" TargetMode="External"/><Relationship Id="rId362" Type="http://schemas.openxmlformats.org/officeDocument/2006/relationships/hyperlink" Target="https://pmt.physicsandmathstutor.com/download/Maths/GCSE/Topic-Qs/Edexcel-IGCSE/Geometry-and-Measures/MS/Higher/Vectors/Manipulating%20Vectors%20(H)%20MS.pdf" TargetMode="External"/><Relationship Id="rId363" Type="http://schemas.openxmlformats.org/officeDocument/2006/relationships/hyperlink" Target="https://pmt.physicsandmathstutor.com/download/Maths/GCSE/Topic-Qs/Edexcel-IGCSE/Geometry-and-Measures/MA/Higher/Vectors/Manipulating%20Vectors%20(H)%20MA.pdf" TargetMode="External"/><Relationship Id="rId364" Type="http://schemas.openxmlformats.org/officeDocument/2006/relationships/hyperlink" Target="https://mathsgenie.co.uk/igcse/maths/edexcel/grade-6-6-17-probability-trees" TargetMode="External"/><Relationship Id="rId365" Type="http://schemas.openxmlformats.org/officeDocument/2006/relationships/hyperlink" Target="https://pmt.physicsandmathstutor.com/download/Maths/GCSE/Topic-Qs/Edexcel-IGCSE/Probability/QP/Higher/Tree%20Diagrams%20(H)%20QP.pdf" TargetMode="External"/><Relationship Id="rId366" Type="http://schemas.openxmlformats.org/officeDocument/2006/relationships/hyperlink" Target="https://pmt.physicsandmathstutor.com/download/Maths/GCSE/Topic-Qs/Edexcel-IGCSE/Probability/MS/Higher/Tree%20Diagrams%20(H)%20MS.pdf" TargetMode="External"/><Relationship Id="rId367" Type="http://schemas.openxmlformats.org/officeDocument/2006/relationships/hyperlink" Target="https://pmt.physicsandmathstutor.com/download/Maths/GCSE/Topic-Qs/Edexcel-IGCSE/Probability/MA/Higher/Tree%20Diagrams%20(H)%20MA.pdf" TargetMode="External"/><Relationship Id="rId368" Type="http://schemas.openxmlformats.org/officeDocument/2006/relationships/hyperlink" Target="https://mathsgenie.co.uk/igcse/maths/edexcel/grade-7-7-1-surds" TargetMode="External"/><Relationship Id="rId369" Type="http://schemas.openxmlformats.org/officeDocument/2006/relationships/hyperlink" Target="https://pmt.physicsandmathstutor.com/download/Maths/GCSE/Topic-Qs/Edexcel-IGCSE/Number/QP/Higher/Structure-and-Calculation/Surds%20(H)%20QP.pdf" TargetMode="External"/><Relationship Id="rId370" Type="http://schemas.openxmlformats.org/officeDocument/2006/relationships/hyperlink" Target="https://pmt.physicsandmathstutor.com/download/Maths/GCSE/Topic-Qs/Edexcel-IGCSE/Number/MS/Higher/Structure-and-Calculation/Surds%20(H)%20MS.pdf" TargetMode="External"/><Relationship Id="rId371" Type="http://schemas.openxmlformats.org/officeDocument/2006/relationships/hyperlink" Target="https://pmt.physicsandmathstutor.com/download/Maths/GCSE/Topic-Qs/Edexcel-IGCSE/Number/MA/Higher/Structure-and-Calculation/Surds%20(H)%20MA.pdf" TargetMode="External"/><Relationship Id="rId372" Type="http://schemas.openxmlformats.org/officeDocument/2006/relationships/hyperlink" Target="https://mathsgenie.co.uk/igcse/maths/edexcel/grade-7-7-2-bounds" TargetMode="External"/><Relationship Id="rId373" Type="http://schemas.openxmlformats.org/officeDocument/2006/relationships/hyperlink" Target="https://pmt.physicsandmathstutor.com/download/Maths/GCSE/Topic-Qs/Edexcel-IGCSE/Number/QP/Higher/Measures-and-Accuracy/Bounds%20(H)%20QP.pdf" TargetMode="External"/><Relationship Id="rId374" Type="http://schemas.openxmlformats.org/officeDocument/2006/relationships/hyperlink" Target="https://pmt.physicsandmathstutor.com/download/Maths/GCSE/Topic-Qs/Edexcel-IGCSE/Number/MS/Higher/Measures-and-Accuracy/Bounds%20(H)%20MS.pdf" TargetMode="External"/><Relationship Id="rId375" Type="http://schemas.openxmlformats.org/officeDocument/2006/relationships/hyperlink" Target="https://pmt.physicsandmathstutor.com/download/Maths/GCSE/Topic-Qs/Edexcel-IGCSE/Number/MA/Higher/Measures-and-Accuracy/Bounds%20(H)%20MA.pdf" TargetMode="External"/><Relationship Id="rId376" Type="http://schemas.openxmlformats.org/officeDocument/2006/relationships/hyperlink" Target="https://mathsgenie.co.uk/igcse/maths/edexcel/grade-7-7-3-direct-and-inverse-proportion" TargetMode="External"/><Relationship Id="rId377" Type="http://schemas.openxmlformats.org/officeDocument/2006/relationships/hyperlink" Target="https://pmt.physicsandmathstutor.com/download/Maths/GCSE/Topic-Qs/Edexcel-IGCSE/Ratio-Proportion-and-Rates-of-Change/QP/Higher/Direct%20and%20Inverse%20Proportion%20(H)%20QP.pdf" TargetMode="External"/><Relationship Id="rId378" Type="http://schemas.openxmlformats.org/officeDocument/2006/relationships/hyperlink" Target="https://pmt.physicsandmathstutor.com/download/Maths/GCSE/Topic-Qs/Edexcel-IGCSE/Ratio-Proportion-and-Rates-of-Change/MS/Higher/Direct%20and%20Inverse%20Proportion%20(H)%20MS.pdf" TargetMode="External"/><Relationship Id="rId379" Type="http://schemas.openxmlformats.org/officeDocument/2006/relationships/hyperlink" Target="https://pmt.physicsandmathstutor.com/download/Maths/GCSE/Topic-Qs/Edexcel-IGCSE/Ratio-Proportion-and-Rates-of-Change/MA/Higher/Direct%20and%20Inverse%20Proportion%20(H)%20MA.pdf" TargetMode="External"/><Relationship Id="rId380" Type="http://schemas.openxmlformats.org/officeDocument/2006/relationships/hyperlink" Target="https://mathsgenie.co.uk/igcse/maths/edexcel/grade-7-7-4-quadratic-formula" TargetMode="External"/><Relationship Id="rId381" Type="http://schemas.openxmlformats.org/officeDocument/2006/relationships/hyperlink" Target="https://pmt.physicsandmathstutor.com/download/Maths/GCSE/Topic-Qs/Edexcel-IGCSE/Algebra/QP/Higher/Solving-Equations-and-Inequalities/Solving%20Quadratic%20Equations%20(H)%20QP.pdf" TargetMode="External"/><Relationship Id="rId382" Type="http://schemas.openxmlformats.org/officeDocument/2006/relationships/hyperlink" Target="https://pmt.physicsandmathstutor.com/download/Maths/GCSE/Topic-Qs/Edexcel-IGCSE/Algebra/MS/Higher/Solving-Equations-and-Inequalities/Solving%20Quadratic%20Equations%20(H)%20MS.pdf" TargetMode="External"/><Relationship Id="rId383" Type="http://schemas.openxmlformats.org/officeDocument/2006/relationships/hyperlink" Target="https://pmt.physicsandmathstutor.com/download/Maths/GCSE/Topic-Qs/Edexcel-IGCSE/Algebra/MA/Higher/Solving-Equations-and-Inequalities/Solving%20Quadratic%20Equations%20(H)%20MA.pdf" TargetMode="External"/><Relationship Id="rId384" Type="http://schemas.openxmlformats.org/officeDocument/2006/relationships/hyperlink" Target="https://mathsgenie.co.uk/igcse/maths/edexcel/grade-7-7-5-factorising-harder-quadratics" TargetMode="External"/><Relationship Id="rId385" Type="http://schemas.openxmlformats.org/officeDocument/2006/relationships/hyperlink" Target="https://pmt.physicsandmathstutor.com/download/Maths/GCSE/Topic-Qs/Edexcel-IGCSE/Algebra/QP/Higher/Notation-Vocabulary-and-Manipulation/Factorising%20Equations%20(H)%20QP.pdf" TargetMode="External"/><Relationship Id="rId386" Type="http://schemas.openxmlformats.org/officeDocument/2006/relationships/hyperlink" Target="https://pmt.physicsandmathstutor.com/download/Maths/GCSE/Topic-Qs/Edexcel-IGCSE/Algebra/MS/Higher/Notation-Vocabulary-and-Manipulation/Factorising%20Equations%20(H)%20MS.pdf" TargetMode="External"/><Relationship Id="rId387" Type="http://schemas.openxmlformats.org/officeDocument/2006/relationships/hyperlink" Target="https://pmt.physicsandmathstutor.com/download/Maths/GCSE/Topic-Qs/Edexcel-IGCSE/Algebra/MA/Higher/Notation-Vocabulary-and-Manipulation/Factorising%20Equations%20(H)%20MA.pdf" TargetMode="External"/><Relationship Id="rId388" Type="http://schemas.openxmlformats.org/officeDocument/2006/relationships/hyperlink" Target="https://mathsgenie.co.uk/igcse/maths/edexcel/grade-7-7-6-algebraic-fractions" TargetMode="External"/><Relationship Id="rId389" Type="http://schemas.openxmlformats.org/officeDocument/2006/relationships/hyperlink" Target="https://pmt.physicsandmathstutor.com/download/Maths/GCSE/Topic-Qs/Edexcel-IGCSE/Algebra/QP/Higher/Notation-Vocabulary-and-Manipulation/Algebraic%20Fractions%20(H)%20QP.pdf" TargetMode="External"/><Relationship Id="rId390" Type="http://schemas.openxmlformats.org/officeDocument/2006/relationships/hyperlink" Target="https://pmt.physicsandmathstutor.com/download/Maths/GCSE/Topic-Qs/Edexcel-IGCSE/Algebra/MS/Higher/Notation-Vocabulary-and-Manipulation/Algebraic%20Fractions%20(H)%20MS.pdf" TargetMode="External"/><Relationship Id="rId391" Type="http://schemas.openxmlformats.org/officeDocument/2006/relationships/hyperlink" Target="https://pmt.physicsandmathstutor.com/download/Maths/GCSE/Topic-Qs/Edexcel-IGCSE/Algebra/MA/Higher/Notation-Vocabulary-and-Manipulation/Algebraic%20Fractions%20(H)%20MA.pdf" TargetMode="External"/><Relationship Id="rId392" Type="http://schemas.openxmlformats.org/officeDocument/2006/relationships/hyperlink" Target="https://mathsgenie.co.uk/igcse/maths/edexcel/grade-7-7-7-rearranging-harder-formulae" TargetMode="External"/><Relationship Id="rId393" Type="http://schemas.openxmlformats.org/officeDocument/2006/relationships/hyperlink" Target="https://pmt.physicsandmathstutor.com/download/Maths/GCSE/Topic-Qs/Edexcel-IGCSE/Algebra/QP/Higher/Notation-Vocabulary-and-Manipulation/Manipulation%20of%20Formulae%20(H)%20QP.pdf" TargetMode="External"/><Relationship Id="rId394" Type="http://schemas.openxmlformats.org/officeDocument/2006/relationships/hyperlink" Target="https://pmt.physicsandmathstutor.com/download/Maths/GCSE/Topic-Qs/Edexcel-IGCSE/Algebra/MS/Higher/Notation-Vocabulary-and-Manipulation/Manipulation%20of%20Formulae%20(H)%20MS.pdf" TargetMode="External"/><Relationship Id="rId395" Type="http://schemas.openxmlformats.org/officeDocument/2006/relationships/hyperlink" Target="https://pmt.physicsandmathstutor.com/download/Maths/GCSE/Topic-Qs/Edexcel-IGCSE/Algebra/MA/Higher/Notation-Vocabulary-and-Manipulation/Manipulation%20of%20Formulae%20(H)%20MA.pdf" TargetMode="External"/><Relationship Id="rId396" Type="http://schemas.openxmlformats.org/officeDocument/2006/relationships/hyperlink" Target="https://mathsgenie.co.uk/igcse/maths/edexcel/grade-7-7-8-trigonometric-and-exponential-graphs" TargetMode="External"/><Relationship Id="rId397" Type="http://schemas.openxmlformats.org/officeDocument/2006/relationships/hyperlink" Target="https://pmt.physicsandmathstutor.com/download/Maths/GCSE/Topic-Qs/Edexcel-IGCSE/Algebra/QP/Higher/Graphs/Exponential%20and%20Trigonometric%20Graphs%20(H)%20QP.pdf" TargetMode="External"/><Relationship Id="rId398" Type="http://schemas.openxmlformats.org/officeDocument/2006/relationships/hyperlink" Target="https://pmt.physicsandmathstutor.com/download/Maths/GCSE/Topic-Qs/Edexcel-IGCSE/Algebra/MS/Higher/Graphs/Exponential%20and%20Trigonometric%20Graphs%20(H)%20MS.pdf" TargetMode="External"/><Relationship Id="rId399" Type="http://schemas.openxmlformats.org/officeDocument/2006/relationships/hyperlink" Target="https://pmt.physicsandmathstutor.com/download/Maths/GCSE/Topic-Qs/Edexcel-IGCSE/Algebra/MA/Higher/Graphs/Exponential%20and%20Trigonometric%20Graphs%20(H)%20MA.pdf" TargetMode="External"/><Relationship Id="rId400" Type="http://schemas.openxmlformats.org/officeDocument/2006/relationships/hyperlink" Target="https://mathsgenie.co.uk/igcse/maths/edexcel/grade-7-7-9-finding-the-area-of-any-triangle" TargetMode="External"/><Relationship Id="rId401" Type="http://schemas.openxmlformats.org/officeDocument/2006/relationships/hyperlink" Target="https://pmt.physicsandmathstutor.com/download/Maths/GCSE/Topic-Qs/Edexcel-IGCSE/Geometry-and-Measures/QP/Higher/Mensuration-and-Calculation/Sine%20Rule,%20Cosine%20Rule%20and%20Area%20(H)%20QP.pdf" TargetMode="External"/><Relationship Id="rId402" Type="http://schemas.openxmlformats.org/officeDocument/2006/relationships/hyperlink" Target="https://pmt.physicsandmathstutor.com/download/Maths/GCSE/Topic-Qs/Edexcel-IGCSE/Geometry-and-Measures/MS/Higher/Mensuration-and-Calculation/Sine%20Rule,%20Cosine%20Rule%20and%20Area%20(H)%20MS.pdf" TargetMode="External"/><Relationship Id="rId403" Type="http://schemas.openxmlformats.org/officeDocument/2006/relationships/hyperlink" Target="https://pmt.physicsandmathstutor.com/download/Maths/GCSE/Topic-Qs/Edexcel-IGCSE/Geometry-and-Measures/MA/Higher/Mensuration-and-Calculation/Sine%20Rule,%20Cosine%20Rule%20and%20Area%20(H)%20MA.pdf" TargetMode="External"/><Relationship Id="rId404" Type="http://schemas.openxmlformats.org/officeDocument/2006/relationships/hyperlink" Target="https://mathsgenie.co.uk/igcse/maths/edexcel/grade-7-7-10-the-sine-rule" TargetMode="External"/><Relationship Id="rId405" Type="http://schemas.openxmlformats.org/officeDocument/2006/relationships/hyperlink" Target="https://pmt.physicsandmathstutor.com/download/Maths/GCSE/Topic-Qs/Edexcel-IGCSE/Geometry-and-Measures/QP/Higher/Mensuration-and-Calculation/Sine%20Rule,%20Cosine%20Rule%20and%20Area%20(H)%20QP.pdf" TargetMode="External"/><Relationship Id="rId406" Type="http://schemas.openxmlformats.org/officeDocument/2006/relationships/hyperlink" Target="https://pmt.physicsandmathstutor.com/download/Maths/GCSE/Topic-Qs/Edexcel-IGCSE/Geometry-and-Measures/MS/Higher/Mensuration-and-Calculation/Sine%20Rule,%20Cosine%20Rule%20and%20Area%20(H)%20MS.pdf" TargetMode="External"/><Relationship Id="rId407" Type="http://schemas.openxmlformats.org/officeDocument/2006/relationships/hyperlink" Target="https://pmt.physicsandmathstutor.com/download/Maths/GCSE/Topic-Qs/Edexcel-IGCSE/Geometry-and-Measures/MA/Higher/Mensuration-and-Calculation/Sine%20Rule,%20Cosine%20Rule%20and%20Area%20(H)%20MA.pdf" TargetMode="External"/><Relationship Id="rId408" Type="http://schemas.openxmlformats.org/officeDocument/2006/relationships/hyperlink" Target="https://mathsgenie.co.uk/igcse/maths/edexcel/grade-7-7-11-the-cosine-rule" TargetMode="External"/><Relationship Id="rId409" Type="http://schemas.openxmlformats.org/officeDocument/2006/relationships/hyperlink" Target="https://pmt.physicsandmathstutor.com/download/Maths/GCSE/Topic-Qs/Edexcel-IGCSE/Geometry-and-Measures/QP/Higher/Mensuration-and-Calculation/Sine%20Rule,%20Cosine%20Rule%20and%20Area%20(H)%20QP.pdf" TargetMode="External"/><Relationship Id="rId410" Type="http://schemas.openxmlformats.org/officeDocument/2006/relationships/hyperlink" Target="https://pmt.physicsandmathstutor.com/download/Maths/GCSE/Topic-Qs/Edexcel-IGCSE/Geometry-and-Measures/MS/Higher/Mensuration-and-Calculation/Sine%20Rule,%20Cosine%20Rule%20and%20Area%20(H)%20MS.pdf" TargetMode="External"/><Relationship Id="rId411" Type="http://schemas.openxmlformats.org/officeDocument/2006/relationships/hyperlink" Target="https://pmt.physicsandmathstutor.com/download/Maths/GCSE/Topic-Qs/Edexcel-IGCSE/Geometry-and-Measures/MA/Higher/Mensuration-and-Calculation/Sine%20Rule,%20Cosine%20Rule%20and%20Area%20(H)%20MA.pdf" TargetMode="External"/><Relationship Id="rId412" Type="http://schemas.openxmlformats.org/officeDocument/2006/relationships/hyperlink" Target="https://mathsgenie.co.uk/igcse/maths/edexcel/grade-7-7-12-3d-pythagoras-and-trigonometry" TargetMode="External"/><Relationship Id="rId413" Type="http://schemas.openxmlformats.org/officeDocument/2006/relationships/hyperlink" Target="https://pmt.physicsandmathstutor.com/download/Maths/GCSE/Topic-Qs/Edexcel-IGCSE/Geometry-and-Measures/QP/Higher/Mensuration-and-Calculation/Pythagoras%20and%20trig%20(3D)%20(H)%20QP.pdf" TargetMode="External"/><Relationship Id="rId414" Type="http://schemas.openxmlformats.org/officeDocument/2006/relationships/hyperlink" Target="https://pmt.physicsandmathstutor.com/download/Maths/GCSE/Topic-Qs/Edexcel-IGCSE/Geometry-and-Measures/MS/Higher/Mensuration-and-Calculation/Pythagoras%20and%20trig%20(3D)%20(H)%20MS.pdf" TargetMode="External"/><Relationship Id="rId415" Type="http://schemas.openxmlformats.org/officeDocument/2006/relationships/hyperlink" Target="https://pmt.physicsandmathstutor.com/download/Maths/GCSE/Topic-Qs/Edexcel-IGCSE/Geometry-and-Measures/MA/Higher/Mensuration-and-Calculation/Pythagoras%20and%20trig%20(3D)%20(H)%20MA.pdf" TargetMode="External"/><Relationship Id="rId416" Type="http://schemas.openxmlformats.org/officeDocument/2006/relationships/hyperlink" Target="https://mathsgenie.co.uk/igcse/maths/edexcel/grade-7-7-13-the-magnitude-of-a-vector" TargetMode="External"/><Relationship Id="rId417" Type="http://schemas.openxmlformats.org/officeDocument/2006/relationships/hyperlink" Target="https://pmt.physicsandmathstutor.com/download/Maths/GCSE/Topic-Qs/Edexcel-IGCSE/Geometry-and-Measures/QP/Higher/Vectors/Manipulating%20Vectors%20(H)%20QP.pdf" TargetMode="External"/><Relationship Id="rId418" Type="http://schemas.openxmlformats.org/officeDocument/2006/relationships/hyperlink" Target="https://pmt.physicsandmathstutor.com/download/Maths/GCSE/Topic-Qs/Edexcel-IGCSE/Geometry-and-Measures/MS/Higher/Vectors/Manipulating%20Vectors%20(H)%20MS.pdf" TargetMode="External"/><Relationship Id="rId419" Type="http://schemas.openxmlformats.org/officeDocument/2006/relationships/hyperlink" Target="https://pmt.physicsandmathstutor.com/download/Maths/GCSE/Topic-Qs/Edexcel-IGCSE/Geometry-and-Measures/MA/Higher/Vectors/Manipulating%20Vectors%20(H)%20MA.pdf" TargetMode="External"/><Relationship Id="rId420" Type="http://schemas.openxmlformats.org/officeDocument/2006/relationships/hyperlink" Target="https://mathsgenie.co.uk/igcse/maths/edexcel/grade-7-7-14-histograms" TargetMode="External"/><Relationship Id="rId421" Type="http://schemas.openxmlformats.org/officeDocument/2006/relationships/hyperlink" Target="https://pmt.physicsandmathstutor.com/download/Maths/GCSE/Topic-Qs/Edexcel-IGCSE/Statistics/QP/Higher/Histograms%20(H)%20QP.pdf" TargetMode="External"/><Relationship Id="rId422" Type="http://schemas.openxmlformats.org/officeDocument/2006/relationships/hyperlink" Target="https://pmt.physicsandmathstutor.com/download/Maths/GCSE/Topic-Qs/Edexcel-IGCSE/Statistics/MS/Higher/Histograms%20(H)%20MS.pdf" TargetMode="External"/><Relationship Id="rId423" Type="http://schemas.openxmlformats.org/officeDocument/2006/relationships/hyperlink" Target="https://pmt.physicsandmathstutor.com/download/Maths/GCSE/Topic-Qs/Edexcel-IGCSE/Statistics/MA/Higher/Histograms%20(H)%20MA.pdf" TargetMode="External"/><Relationship Id="rId424" Type="http://schemas.openxmlformats.org/officeDocument/2006/relationships/hyperlink" Target="https://mathsgenie.co.uk/igcse/maths/edexcel/grade-7-7-15-conditional-probability" TargetMode="External"/><Relationship Id="rId425" Type="http://schemas.openxmlformats.org/officeDocument/2006/relationships/hyperlink" Target="https://pmt.physicsandmathstutor.com/download/Maths/GCSE/Topic-Qs/Edexcel-IGCSE/Probability/QP/Higher/Conditional%20Probability%20(H)%20QP.pdf" TargetMode="External"/><Relationship Id="rId426" Type="http://schemas.openxmlformats.org/officeDocument/2006/relationships/hyperlink" Target="https://pmt.physicsandmathstutor.com/download/Maths/GCSE/Topic-Qs/Edexcel-IGCSE/Probability/MS/Higher/Conditional%20Probability%20(H)%20MS.pdf" TargetMode="External"/><Relationship Id="rId427" Type="http://schemas.openxmlformats.org/officeDocument/2006/relationships/hyperlink" Target="https://pmt.physicsandmathstutor.com/download/Maths/GCSE/Topic-Qs/Edexcel-IGCSE/Probability/MA/Higher/Conditional%20Probability%20(H)%20MA.pdf" TargetMode="External"/><Relationship Id="rId428" Type="http://schemas.openxmlformats.org/officeDocument/2006/relationships/hyperlink" Target="https://mathsgenie.co.uk/igcse/maths/edexcel/grade-8-9-8-1-quadratic-simultaneous-equations" TargetMode="External"/><Relationship Id="rId429" Type="http://schemas.openxmlformats.org/officeDocument/2006/relationships/hyperlink" Target="https://pmt.physicsandmathstutor.com/download/Maths/GCSE/Topic-Qs/Edexcel-IGCSE/Algebra/QP/Higher/Solving-Equations-and-Inequalities/Simultaneous%20Equations%20(H)%20QP.pdf" TargetMode="External"/><Relationship Id="rId430" Type="http://schemas.openxmlformats.org/officeDocument/2006/relationships/hyperlink" Target="https://pmt.physicsandmathstutor.com/download/Maths/GCSE/Topic-Qs/Edexcel-IGCSE/Algebra/MS/Higher/Solving-Equations-and-Inequalities/Simultaneous%20Equations%20(H)%20MS.pdf" TargetMode="External"/><Relationship Id="rId431" Type="http://schemas.openxmlformats.org/officeDocument/2006/relationships/hyperlink" Target="https://pmt.physicsandmathstutor.com/download/Maths/GCSE/Topic-Qs/Edexcel-IGCSE/Algebra/MA/Higher/Solving-Equations-and-Inequalities/Simultaneous%20Equations%20(H)%20MA.pdf" TargetMode="External"/><Relationship Id="rId432" Type="http://schemas.openxmlformats.org/officeDocument/2006/relationships/hyperlink" Target="https://mathsgenie.co.uk/igcse/maths/edexcel/grade-8-9-8-2-transforming-graphs-y-f-x" TargetMode="External"/><Relationship Id="rId433" Type="http://schemas.openxmlformats.org/officeDocument/2006/relationships/hyperlink" Target="https://pmt.physicsandmathstutor.com/download/Maths/GCSE/Topic-Qs/Edexcel-IGCSE/Algebra/QP/Higher/Graphs/Translations%20and%20Reflections%20of%20Functions%20(H)%20QP.pdf" TargetMode="External"/><Relationship Id="rId434" Type="http://schemas.openxmlformats.org/officeDocument/2006/relationships/hyperlink" Target="https://pmt.physicsandmathstutor.com/download/Maths/GCSE/Topic-Qs/Edexcel-IGCSE/Algebra/MS/Higher/Graphs/Translations%20and%20Reflections%20of%20Functions%20(H)%20MS.pdf" TargetMode="External"/><Relationship Id="rId435" Type="http://schemas.openxmlformats.org/officeDocument/2006/relationships/hyperlink" Target="https://pmt.physicsandmathstutor.com/download/Maths/GCSE/Topic-Qs/Edexcel-IGCSE/Algebra/MA/Higher/Graphs/Translations%20and%20Reflections%20of%20Functions%20(H)%20MA.pdf" TargetMode="External"/><Relationship Id="rId436" Type="http://schemas.openxmlformats.org/officeDocument/2006/relationships/hyperlink" Target="https://mathsgenie.co.uk/igcse/maths/edexcel/grade-8-9-8-3-proof" TargetMode="External"/><Relationship Id="rId437" Type="http://schemas.openxmlformats.org/officeDocument/2006/relationships/hyperlink" Target="https://pmt.physicsandmathstutor.com/download/Maths/GCSE/Topic-Qs/Edexcel-IGCSE/Algebra/QP/Higher/Notation-Vocabulary-and-Manipulation/Algebraic%20Proof%20(H)%20QP.pdf" TargetMode="External"/><Relationship Id="rId438" Type="http://schemas.openxmlformats.org/officeDocument/2006/relationships/hyperlink" Target="https://pmt.physicsandmathstutor.com/download/Maths/GCSE/Topic-Qs/Edexcel-IGCSE/Algebra/MS/Higher/Notation-Vocabulary-and-Manipulation/Algebraic%20Proof%20(H)%20MS.pdf" TargetMode="External"/><Relationship Id="rId439" Type="http://schemas.openxmlformats.org/officeDocument/2006/relationships/hyperlink" Target="https://pmt.physicsandmathstutor.com/download/Maths/GCSE/Topic-Qs/Edexcel-IGCSE/Algebra/MA/Higher/Notation-Vocabulary-and-Manipulation/Algebraic%20Proof%20(H)%20MA.pdf" TargetMode="External"/><Relationship Id="rId440" Type="http://schemas.openxmlformats.org/officeDocument/2006/relationships/hyperlink" Target="https://mathsgenie.co.uk/igcse/maths/edexcel/grade-8-9-8-4-completing-the-square" TargetMode="External"/><Relationship Id="rId441" Type="http://schemas.openxmlformats.org/officeDocument/2006/relationships/hyperlink" Target="https://pmt.physicsandmathstutor.com/download/Maths/GCSE/Topic-Qs/Edexcel-IGCSE/Algebra/QP/Higher/Solving-Equations-and-Inequalities/Completing%20the%20square%20(H)%20QP.pdf" TargetMode="External"/><Relationship Id="rId442" Type="http://schemas.openxmlformats.org/officeDocument/2006/relationships/hyperlink" Target="https://pmt.physicsandmathstutor.com/download/Maths/GCSE/Topic-Qs/Edexcel-IGCSE/Algebra/MS/Higher/Solving-Equations-and-Inequalities/Completing%20the%20square%20(H)%20MS.pdf" TargetMode="External"/><Relationship Id="rId443" Type="http://schemas.openxmlformats.org/officeDocument/2006/relationships/hyperlink" Target="https://pmt.physicsandmathstutor.com/download/Maths/GCSE/Topic-Qs/Edexcel-IGCSE/Algebra/MA/Higher/Solving-Equations-and-Inequalities/Completing%20the%20square%20(H)%20MA.pdf" TargetMode="External"/><Relationship Id="rId444" Type="http://schemas.openxmlformats.org/officeDocument/2006/relationships/hyperlink" Target="https://mathsgenie.co.uk/igcse/maths/edexcel/grade-8-9-8-5-inverse-and-composite-functions" TargetMode="External"/><Relationship Id="rId445" Type="http://schemas.openxmlformats.org/officeDocument/2006/relationships/hyperlink" Target="https://pmt.physicsandmathstutor.com/download/Maths/GCSE/Topic-Qs/Edexcel-IGCSE/Algebra/QP/Higher/Notation-Vocabulary-and-Manipulation/Functions%20(Composite%20or%20Inverse)%20(H)%20QP.pdf" TargetMode="External"/><Relationship Id="rId446" Type="http://schemas.openxmlformats.org/officeDocument/2006/relationships/hyperlink" Target="https://pmt.physicsandmathstutor.com/download/Maths/GCSE/Topic-Qs/Edexcel-IGCSE/Algebra/MS/Higher/Notation-Vocabulary-and-Manipulation/Functions%20(Composite%20or%20Inverse)%20(H)%20MS.pdf" TargetMode="External"/><Relationship Id="rId447" Type="http://schemas.openxmlformats.org/officeDocument/2006/relationships/hyperlink" Target="https://pmt.physicsandmathstutor.com/download/Maths/GCSE/Topic-Qs/Edexcel-IGCSE/Algebra/MA/Higher/Notation-Vocabulary-and-Manipulation/Functions%20(Composite%20or%20Inverse)%20(H)%20MA.pdf" TargetMode="External"/><Relationship Id="rId448" Type="http://schemas.openxmlformats.org/officeDocument/2006/relationships/hyperlink" Target="https://mathsgenie.co.uk/igcse/maths/edexcel/grade-8-9-8-6-quadratic-inequalities" TargetMode="External"/><Relationship Id="rId449" Type="http://schemas.openxmlformats.org/officeDocument/2006/relationships/hyperlink" Target="https://pmt.physicsandmathstutor.com/download/Maths/GCSE/Topic-Qs/Edexcel-IGCSE/Algebra/QP/Higher/Solving-Equations-and-Inequalities/Quadratic%20Inequalities%20(H)%20QP.pdf" TargetMode="External"/><Relationship Id="rId450" Type="http://schemas.openxmlformats.org/officeDocument/2006/relationships/hyperlink" Target="https://pmt.physicsandmathstutor.com/download/Maths/GCSE/Topic-Qs/Edexcel-IGCSE/Algebra/MS/Higher/Solving-Equations-and-Inequalities/Quadratic%20Inequalities%20(H)%20MS.pdf" TargetMode="External"/><Relationship Id="rId451" Type="http://schemas.openxmlformats.org/officeDocument/2006/relationships/hyperlink" Target="https://pmt.physicsandmathstutor.com/download/Maths/GCSE/Topic-Qs/Edexcel-IGCSE/Algebra/MA/Higher/Solving-Equations-and-Inequalities/Quadratic%20Inequalities%20(H)%20MA.pdf" TargetMode="External"/><Relationship Id="rId452" Type="http://schemas.openxmlformats.org/officeDocument/2006/relationships/hyperlink" Target="https://mathsgenie.co.uk/igcse/maths/edexcel/grade-8-9-8-7-sequences-higher" TargetMode="External"/><Relationship Id="rId453" Type="http://schemas.openxmlformats.org/officeDocument/2006/relationships/hyperlink" Target="https://pmt.physicsandmathstutor.com/download/Maths/GCSE/Topic-Qs/Edexcel-IGCSE/Algebra/QP/Higher/Sequences/Sequences%20(H)%20QP.pdf" TargetMode="External"/><Relationship Id="rId454" Type="http://schemas.openxmlformats.org/officeDocument/2006/relationships/hyperlink" Target="https://pmt.physicsandmathstutor.com/download/Maths/GCSE/Topic-Qs/Edexcel-IGCSE/Algebra/MS/Higher/Sequences/Sequences%20(H)%20MS.pdf" TargetMode="External"/><Relationship Id="rId455" Type="http://schemas.openxmlformats.org/officeDocument/2006/relationships/hyperlink" Target="https://pmt.physicsandmathstutor.com/download/Maths/GCSE/Topic-Qs/Edexcel-IGCSE/Algebra/MA/Higher/Sequences/Sequences%20(H)%20MA.pdf" TargetMode="External"/><Relationship Id="rId456" Type="http://schemas.openxmlformats.org/officeDocument/2006/relationships/hyperlink" Target="https://mathsgenie.co.uk/igcse/maths/edexcel/grade-8-9-8-8-differentiation" TargetMode="External"/><Relationship Id="rId457" Type="http://schemas.openxmlformats.org/officeDocument/2006/relationships/hyperlink" Target="https://mathsgenie.co.uk/igcse/maths/edexcel/grade-8-9-8-9-vectors-proof-questions" TargetMode="External"/><Relationship Id="rId458" Type="http://schemas.openxmlformats.org/officeDocument/2006/relationships/hyperlink" Target="https://pmt.physicsandmathstutor.com/download/Maths/GCSE/Topic-Qs/Edexcel-IGCSE/Geometry-and-Measures/QP/Higher/Vectors/Vector%20Proof%20(H)%20QP.pdf" TargetMode="External"/><Relationship Id="rId459" Type="http://schemas.openxmlformats.org/officeDocument/2006/relationships/hyperlink" Target="https://pmt.physicsandmathstutor.com/download/Maths/GCSE/Topic-Qs/Edexcel-IGCSE/Geometry-and-Measures/MS/Higher/Vectors/Vector%20Proof%20(H)%20MS.pdf" TargetMode="External"/><Relationship Id="rId460" Type="http://schemas.openxmlformats.org/officeDocument/2006/relationships/hyperlink" Target="https://pmt.physicsandmathstutor.com/download/Maths/GCSE/Topic-Qs/Edexcel-IGCSE/Geometry-and-Measures/MA/Higher/Vectors/Vector%20Proof%20(H)%20MA.pdf" TargetMode="External"/><Relationship Id="rId461" Type="http://schemas.openxmlformats.org/officeDocument/2006/relationships/hyperlink" Target="https://mathsgenie.co.uk/igcse/maths/edexcel/grade-8-9-8-10-probability-equation-questions" TargetMode="External"/><Relationship Id="rId462" Type="http://schemas.openxmlformats.org/officeDocument/2006/relationships/hyperlink" Target="https://pmt.physicsandmathstutor.com/download/Maths/GCSE/Topic-Qs/Edexcel-IGCSE/Probability/QP/Higher/Probability%20Equations%20(H)%20QP.pdf" TargetMode="External"/><Relationship Id="rId463" Type="http://schemas.openxmlformats.org/officeDocument/2006/relationships/hyperlink" Target="https://pmt.physicsandmathstutor.com/download/Maths/GCSE/Topic-Qs/Edexcel-IGCSE/Probability/MS/Higher/Probability%20Equations%20(H)%20MS.pdf" TargetMode="External"/><Relationship Id="rId464" Type="http://schemas.openxmlformats.org/officeDocument/2006/relationships/hyperlink" Target="https://pmt.physicsandmathstutor.com/download/Maths/GCSE/Topic-Qs/Edexcel-IGCSE/Probability/MA/Higher/Probability%20Equations%20(H)%20MA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6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COUNTIFS('RAG tracker'!$E$2:$E$120,$A5,'RAG tracker'!$D$2:$D$120,"&lt;&gt;Not this time")</f>
        <v>0</v>
      </c>
      <c r="C5" s="5" t="s">
        <v>8</v>
      </c>
      <c r="D5" s="5" t="n">
        <v>13</v>
      </c>
      <c r="E5" s="5" t="n">
        <f aca="false">$B5*$D5</f>
        <v>0</v>
      </c>
    </row>
    <row r="6" customFormat="false" ht="15" hidden="false" customHeight="false" outlineLevel="0" collapsed="false">
      <c r="A6" s="6" t="s">
        <v>9</v>
      </c>
      <c r="B6" s="5" t="n">
        <f aca="false">COUNTIFS('RAG tracker'!$E$2:$E$120,$A6,'RAG tracker'!$D$2:$D$120,"&lt;&gt;Not this time")</f>
        <v>0</v>
      </c>
      <c r="C6" s="5" t="s">
        <v>10</v>
      </c>
      <c r="D6" s="5" t="n">
        <v>6</v>
      </c>
      <c r="E6" s="5" t="n">
        <f aca="false">$B6*$D6</f>
        <v>0</v>
      </c>
    </row>
    <row r="7" customFormat="false" ht="15" hidden="false" customHeight="false" outlineLevel="0" collapsed="false">
      <c r="A7" s="7" t="s">
        <v>11</v>
      </c>
      <c r="B7" s="5" t="n">
        <f aca="false">COUNTIFS('RAG tracker'!$E$2:$E$120,$A7,'RAG tracker'!$D$2:$D$120,"&lt;&gt;Not this time")</f>
        <v>0</v>
      </c>
      <c r="C7" s="5" t="s">
        <v>12</v>
      </c>
      <c r="D7" s="5" t="n">
        <v>2</v>
      </c>
      <c r="E7" s="5" t="n">
        <f aca="false">$B7*$D7</f>
        <v>0</v>
      </c>
    </row>
    <row r="8" customFormat="false" ht="15" hidden="false" customHeight="false" outlineLevel="0" collapsed="false">
      <c r="A8" s="5" t="s">
        <v>13</v>
      </c>
      <c r="B8" s="5" t="n">
        <f aca="false">COUNTIFS('RAG tracker'!$E$2:$E$120,"")</f>
        <v>119</v>
      </c>
      <c r="C8" s="5" t="s">
        <v>14</v>
      </c>
      <c r="D8" s="5"/>
      <c r="E8" s="5"/>
    </row>
    <row r="9" customFormat="false" ht="15" hidden="false" customHeight="false" outlineLevel="0" collapsed="false">
      <c r="C9" s="8" t="s">
        <v>15</v>
      </c>
      <c r="E9" s="8" t="n">
        <f aca="false">SUM(E5:E7)</f>
        <v>0</v>
      </c>
    </row>
    <row r="10" customFormat="false" ht="15" hidden="false" customHeight="false" outlineLevel="0" collapsed="false">
      <c r="C10" s="9" t="s">
        <v>16</v>
      </c>
      <c r="E10" s="9" t="n">
        <f aca="false">ROUND($E9*2.5/60,1)</f>
        <v>0</v>
      </c>
    </row>
    <row r="11" customFormat="false" ht="15" hidden="false" customHeight="false" outlineLevel="0" collapsed="false">
      <c r="C11" s="9" t="s">
        <v>17</v>
      </c>
      <c r="E11" s="9" t="n">
        <f aca="false">ROUND($E10/6,1)</f>
        <v>0</v>
      </c>
    </row>
    <row r="13" customFormat="false" ht="15" hidden="false" customHeight="false" outlineLevel="0" collapsed="false">
      <c r="A13" s="10" t="s">
        <v>18</v>
      </c>
    </row>
    <row r="14" customFormat="false" ht="15" hidden="false" customHeight="false" outlineLevel="0" collapsed="false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</row>
    <row r="15" customFormat="false" ht="15" hidden="false" customHeight="false" outlineLevel="0" collapsed="false">
      <c r="A15" s="5" t="n">
        <v>1</v>
      </c>
      <c r="B15" s="5" t="n">
        <f aca="false">COUNTIFS('RAG tracker'!$A$2:$A$120,$A15)</f>
        <v>12</v>
      </c>
      <c r="C15" s="5" t="s">
        <v>25</v>
      </c>
      <c r="D15" s="5" t="n">
        <f aca="false">COUNTIFS('RAG tracker'!$A$2:$A$120,$A15,'RAG tracker'!$E$2:$E$120,"R")</f>
        <v>0</v>
      </c>
      <c r="E15" s="5" t="n">
        <f aca="false">COUNTIFS('RAG tracker'!$A$2:$A$120,$A15,'RAG tracker'!$E$2:$E$120,"A")</f>
        <v>0</v>
      </c>
      <c r="F15" s="5" t="n">
        <f aca="false">COUNTIFS('RAG tracker'!$A$2:$A$120,$A15,'RAG tracker'!$E$2:$E$120,"G")</f>
        <v>0</v>
      </c>
    </row>
    <row r="16" customFormat="false" ht="15" hidden="false" customHeight="false" outlineLevel="0" collapsed="false">
      <c r="A16" s="5" t="n">
        <v>2</v>
      </c>
      <c r="B16" s="5" t="n">
        <f aca="false">COUNTIFS('RAG tracker'!$A$2:$A$120,$A16)</f>
        <v>16</v>
      </c>
      <c r="C16" s="5" t="s">
        <v>25</v>
      </c>
      <c r="D16" s="5" t="n">
        <f aca="false">COUNTIFS('RAG tracker'!$A$2:$A$120,$A16,'RAG tracker'!$E$2:$E$120,"R")</f>
        <v>0</v>
      </c>
      <c r="E16" s="5" t="n">
        <f aca="false">COUNTIFS('RAG tracker'!$A$2:$A$120,$A16,'RAG tracker'!$E$2:$E$120,"A")</f>
        <v>0</v>
      </c>
      <c r="F16" s="5" t="n">
        <f aca="false">COUNTIFS('RAG tracker'!$A$2:$A$120,$A16,'RAG tracker'!$E$2:$E$120,"G")</f>
        <v>0</v>
      </c>
    </row>
    <row r="17" customFormat="false" ht="15" hidden="false" customHeight="false" outlineLevel="0" collapsed="false">
      <c r="A17" s="5" t="n">
        <v>3</v>
      </c>
      <c r="B17" s="5" t="n">
        <f aca="false">COUNTIFS('RAG tracker'!$A$2:$A$120,$A17)</f>
        <v>18</v>
      </c>
      <c r="C17" s="5" t="s">
        <v>25</v>
      </c>
      <c r="D17" s="5" t="n">
        <f aca="false">COUNTIFS('RAG tracker'!$A$2:$A$120,$A17,'RAG tracker'!$E$2:$E$120,"R")</f>
        <v>0</v>
      </c>
      <c r="E17" s="5" t="n">
        <f aca="false">COUNTIFS('RAG tracker'!$A$2:$A$120,$A17,'RAG tracker'!$E$2:$E$120,"A")</f>
        <v>0</v>
      </c>
      <c r="F17" s="5" t="n">
        <f aca="false">COUNTIFS('RAG tracker'!$A$2:$A$120,$A17,'RAG tracker'!$E$2:$E$120,"G")</f>
        <v>0</v>
      </c>
    </row>
    <row r="18" customFormat="false" ht="15" hidden="false" customHeight="false" outlineLevel="0" collapsed="false">
      <c r="A18" s="5" t="n">
        <v>4</v>
      </c>
      <c r="B18" s="5" t="n">
        <f aca="false">COUNTIFS('RAG tracker'!$A$2:$A$120,$A18)</f>
        <v>18</v>
      </c>
      <c r="C18" s="5" t="s">
        <v>25</v>
      </c>
      <c r="D18" s="5" t="n">
        <f aca="false">COUNTIFS('RAG tracker'!$A$2:$A$120,$A18,'RAG tracker'!$E$2:$E$120,"R")</f>
        <v>0</v>
      </c>
      <c r="E18" s="5" t="n">
        <f aca="false">COUNTIFS('RAG tracker'!$A$2:$A$120,$A18,'RAG tracker'!$E$2:$E$120,"A")</f>
        <v>0</v>
      </c>
      <c r="F18" s="5" t="n">
        <f aca="false">COUNTIFS('RAG tracker'!$A$2:$A$120,$A18,'RAG tracker'!$E$2:$E$120,"G")</f>
        <v>0</v>
      </c>
    </row>
    <row r="19" customFormat="false" ht="15" hidden="false" customHeight="false" outlineLevel="0" collapsed="false">
      <c r="A19" s="5" t="n">
        <v>5</v>
      </c>
      <c r="B19" s="5" t="n">
        <f aca="false">COUNTIFS('RAG tracker'!$A$2:$A$120,$A19)</f>
        <v>13</v>
      </c>
      <c r="C19" s="5" t="s">
        <v>25</v>
      </c>
      <c r="D19" s="5" t="n">
        <f aca="false">COUNTIFS('RAG tracker'!$A$2:$A$120,$A19,'RAG tracker'!$E$2:$E$120,"R")</f>
        <v>0</v>
      </c>
      <c r="E19" s="5" t="n">
        <f aca="false">COUNTIFS('RAG tracker'!$A$2:$A$120,$A19,'RAG tracker'!$E$2:$E$120,"A")</f>
        <v>0</v>
      </c>
      <c r="F19" s="5" t="n">
        <f aca="false">COUNTIFS('RAG tracker'!$A$2:$A$120,$A19,'RAG tracker'!$E$2:$E$120,"G")</f>
        <v>0</v>
      </c>
    </row>
    <row r="20" customFormat="false" ht="15" hidden="false" customHeight="false" outlineLevel="0" collapsed="false">
      <c r="A20" s="5" t="n">
        <v>6</v>
      </c>
      <c r="B20" s="5" t="n">
        <f aca="false">COUNTIFS('RAG tracker'!$A$2:$A$120,$A20)</f>
        <v>17</v>
      </c>
      <c r="C20" s="5" t="s">
        <v>26</v>
      </c>
      <c r="D20" s="5" t="n">
        <f aca="false">COUNTIFS('RAG tracker'!$A$2:$A$120,$A20,'RAG tracker'!$E$2:$E$120,"R")</f>
        <v>0</v>
      </c>
      <c r="E20" s="5" t="n">
        <f aca="false">COUNTIFS('RAG tracker'!$A$2:$A$120,$A20,'RAG tracker'!$E$2:$E$120,"A")</f>
        <v>0</v>
      </c>
      <c r="F20" s="5" t="n">
        <f aca="false">COUNTIFS('RAG tracker'!$A$2:$A$120,$A20,'RAG tracker'!$E$2:$E$120,"G")</f>
        <v>0</v>
      </c>
    </row>
    <row r="21" customFormat="false" ht="15" hidden="false" customHeight="false" outlineLevel="0" collapsed="false">
      <c r="A21" s="5" t="n">
        <v>7</v>
      </c>
      <c r="B21" s="5" t="n">
        <f aca="false">COUNTIFS('RAG tracker'!$A$2:$A$120,$A21)</f>
        <v>15</v>
      </c>
      <c r="C21" s="5" t="s">
        <v>27</v>
      </c>
      <c r="D21" s="5" t="n">
        <f aca="false">COUNTIFS('RAG tracker'!$A$2:$A$120,$A21,'RAG tracker'!$E$2:$E$120,"R")</f>
        <v>0</v>
      </c>
      <c r="E21" s="5" t="n">
        <f aca="false">COUNTIFS('RAG tracker'!$A$2:$A$120,$A21,'RAG tracker'!$E$2:$E$120,"A")</f>
        <v>0</v>
      </c>
      <c r="F21" s="5" t="n">
        <f aca="false">COUNTIFS('RAG tracker'!$A$2:$A$120,$A21,'RAG tracker'!$E$2:$E$120,"G")</f>
        <v>0</v>
      </c>
    </row>
    <row r="22" customFormat="false" ht="15" hidden="false" customHeight="false" outlineLevel="0" collapsed="false">
      <c r="A22" s="5" t="n">
        <v>8</v>
      </c>
      <c r="B22" s="5" t="n">
        <f aca="false">COUNTIFS('RAG tracker'!$A$2:$A$120,$A22)</f>
        <v>10</v>
      </c>
      <c r="C22" s="5" t="s">
        <v>27</v>
      </c>
      <c r="D22" s="5" t="n">
        <f aca="false">COUNTIFS('RAG tracker'!$A$2:$A$120,$A22,'RAG tracker'!$E$2:$E$120,"R")</f>
        <v>0</v>
      </c>
      <c r="E22" s="5" t="n">
        <f aca="false">COUNTIFS('RAG tracker'!$A$2:$A$120,$A22,'RAG tracker'!$E$2:$E$120,"A")</f>
        <v>0</v>
      </c>
      <c r="F22" s="5" t="n">
        <f aca="false">COUNTIFS('RAG tracker'!$A$2:$A$120,$A22,'RAG tracker'!$E$2:$E$120,"G")</f>
        <v>0</v>
      </c>
    </row>
    <row r="23" customFormat="false" ht="15" hidden="false" customHeight="false" outlineLevel="0" collapsed="false">
      <c r="A23" s="8" t="s">
        <v>28</v>
      </c>
      <c r="B23" s="8" t="n">
        <f aca="false">SUM(B15:B22)</f>
        <v>119</v>
      </c>
      <c r="C23" s="8"/>
      <c r="D23" s="8" t="n">
        <f aca="false">SUM(D15:D22)</f>
        <v>0</v>
      </c>
      <c r="E23" s="8" t="n">
        <f aca="false">SUM(E15:E22)</f>
        <v>0</v>
      </c>
      <c r="F23" s="8" t="n">
        <f aca="false">SUM(F15:F22)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44"/>
  </cols>
  <sheetData>
    <row r="1" customFormat="false" ht="19.7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30" hidden="false" customHeight="true" outlineLevel="0" collapsed="false">
      <c r="A4" s="11" t="s">
        <v>31</v>
      </c>
      <c r="B4" s="12" t="s">
        <v>32</v>
      </c>
    </row>
    <row r="5" customFormat="false" ht="30" hidden="false" customHeight="true" outlineLevel="0" collapsed="false">
      <c r="A5" s="11" t="s">
        <v>7</v>
      </c>
      <c r="B5" s="12" t="s">
        <v>33</v>
      </c>
    </row>
    <row r="6" customFormat="false" ht="30" hidden="false" customHeight="true" outlineLevel="0" collapsed="false">
      <c r="A6" s="11" t="s">
        <v>9</v>
      </c>
      <c r="B6" s="12" t="s">
        <v>34</v>
      </c>
    </row>
    <row r="7" customFormat="false" ht="30" hidden="false" customHeight="true" outlineLevel="0" collapsed="false">
      <c r="A7" s="11" t="s">
        <v>11</v>
      </c>
      <c r="B7" s="12" t="s">
        <v>35</v>
      </c>
    </row>
    <row r="8" customFormat="false" ht="30" hidden="false" customHeight="true" outlineLevel="0" collapsed="false">
      <c r="A8" s="11" t="s">
        <v>36</v>
      </c>
      <c r="B8" s="12" t="s">
        <v>37</v>
      </c>
    </row>
    <row r="9" customFormat="false" ht="30" hidden="false" customHeight="true" outlineLevel="0" collapsed="false">
      <c r="A9" s="11" t="s">
        <v>38</v>
      </c>
      <c r="B9" s="12" t="s">
        <v>39</v>
      </c>
    </row>
    <row r="10" customFormat="false" ht="30" hidden="false" customHeight="true" outlineLevel="0" collapsed="false">
      <c r="A10" s="11" t="s">
        <v>40</v>
      </c>
      <c r="B10" s="12" t="s">
        <v>41</v>
      </c>
    </row>
    <row r="11" customFormat="false" ht="30" hidden="false" customHeight="true" outlineLevel="0" collapsed="false">
      <c r="A11" s="11" t="s">
        <v>42</v>
      </c>
      <c r="B11" s="12" t="s">
        <v>43</v>
      </c>
    </row>
    <row r="13" customFormat="false" ht="15" hidden="false" customHeight="false" outlineLevel="0" collapsed="false">
      <c r="A13" s="10" t="s">
        <v>44</v>
      </c>
    </row>
    <row r="14" customFormat="false" ht="15" hidden="false" customHeight="false" outlineLevel="0" collapsed="false">
      <c r="A14" s="3" t="s">
        <v>19</v>
      </c>
      <c r="B14" s="3" t="s">
        <v>45</v>
      </c>
      <c r="C14" s="3" t="s">
        <v>46</v>
      </c>
      <c r="D14" s="3" t="s">
        <v>47</v>
      </c>
    </row>
    <row r="15" customFormat="false" ht="15" hidden="false" customHeight="false" outlineLevel="0" collapsed="false">
      <c r="A15" s="13" t="n">
        <v>4</v>
      </c>
      <c r="B15" s="13" t="s">
        <v>48</v>
      </c>
      <c r="C15" s="14" t="s">
        <v>9</v>
      </c>
      <c r="D15" s="1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11"/>
    <col collapsed="false" customWidth="true" hidden="false" outlineLevel="0" max="9" min="9" style="0" width="32"/>
    <col collapsed="false" customWidth="true" hidden="false" outlineLevel="0" max="12" min="10" style="0" width="6"/>
  </cols>
  <sheetData>
    <row r="1" customFormat="false" ht="30" hidden="false" customHeight="true" outlineLevel="0" collapsed="false">
      <c r="A1" s="15" t="s">
        <v>19</v>
      </c>
      <c r="B1" s="15" t="s">
        <v>50</v>
      </c>
      <c r="C1" s="15" t="s">
        <v>45</v>
      </c>
      <c r="D1" s="15" t="s">
        <v>21</v>
      </c>
      <c r="E1" s="15" t="s">
        <v>46</v>
      </c>
      <c r="F1" s="15" t="s">
        <v>47</v>
      </c>
      <c r="G1" s="15" t="s">
        <v>51</v>
      </c>
      <c r="H1" s="15" t="s">
        <v>52</v>
      </c>
      <c r="I1" s="15" t="s">
        <v>53</v>
      </c>
      <c r="J1" s="15" t="s">
        <v>54</v>
      </c>
      <c r="K1" s="15" t="s">
        <v>55</v>
      </c>
      <c r="L1" s="15" t="s">
        <v>56</v>
      </c>
    </row>
    <row r="2" customFormat="false" ht="15" hidden="false" customHeight="false" outlineLevel="0" collapsed="false">
      <c r="A2" s="16" t="n">
        <v>1</v>
      </c>
      <c r="B2" s="16" t="s">
        <v>57</v>
      </c>
      <c r="C2" s="16" t="s">
        <v>58</v>
      </c>
      <c r="D2" s="16" t="str">
        <f aca="false">IF($A2&lt;=5,"Core",IF($A2=6,"Stretch","Not this time"))</f>
        <v>Core</v>
      </c>
      <c r="E2" s="17"/>
      <c r="F2" s="18"/>
      <c r="G2" s="13" t="str">
        <f aca="false">IF($D2="Not this time","Not scheduled, above the target",IF($E2="","",IF($E2="R","Full worksheet, taught first",IF($E2="A","Work until 3 right in a row",IF($E2="G","2 question spot check later","")))))</f>
        <v/>
      </c>
      <c r="H2" s="19" t="s">
        <v>59</v>
      </c>
      <c r="I2" s="13" t="s">
        <v>60</v>
      </c>
      <c r="J2" s="19" t="s">
        <v>54</v>
      </c>
      <c r="K2" s="19" t="s">
        <v>55</v>
      </c>
      <c r="L2" s="19" t="s">
        <v>56</v>
      </c>
    </row>
    <row r="3" customFormat="false" ht="15" hidden="false" customHeight="false" outlineLevel="0" collapsed="false">
      <c r="A3" s="16" t="n">
        <v>1</v>
      </c>
      <c r="B3" s="16" t="s">
        <v>61</v>
      </c>
      <c r="C3" s="16" t="s">
        <v>62</v>
      </c>
      <c r="D3" s="16" t="str">
        <f aca="false">IF($A3&lt;=5,"Core",IF($A3=6,"Stretch","Not this time"))</f>
        <v>Core</v>
      </c>
      <c r="E3" s="17"/>
      <c r="F3" s="18"/>
      <c r="G3" s="13" t="str">
        <f aca="false">IF($D3="Not this time","Not scheduled, above the target",IF($E3="","",IF($E3="R","Full worksheet, taught first",IF($E3="A","Work until 3 right in a row",IF($E3="G","2 question spot check later","")))))</f>
        <v/>
      </c>
      <c r="H3" s="19" t="s">
        <v>59</v>
      </c>
      <c r="I3" s="13" t="s">
        <v>60</v>
      </c>
      <c r="J3" s="19" t="s">
        <v>54</v>
      </c>
      <c r="K3" s="19" t="s">
        <v>55</v>
      </c>
      <c r="L3" s="19" t="s">
        <v>56</v>
      </c>
    </row>
    <row r="4" customFormat="false" ht="15" hidden="false" customHeight="false" outlineLevel="0" collapsed="false">
      <c r="A4" s="16" t="n">
        <v>1</v>
      </c>
      <c r="B4" s="16" t="s">
        <v>63</v>
      </c>
      <c r="C4" s="16" t="s">
        <v>64</v>
      </c>
      <c r="D4" s="16" t="str">
        <f aca="false">IF($A4&lt;=5,"Core",IF($A4=6,"Stretch","Not this time"))</f>
        <v>Core</v>
      </c>
      <c r="E4" s="17"/>
      <c r="F4" s="18"/>
      <c r="G4" s="13" t="str">
        <f aca="false">IF($D4="Not this time","Not scheduled, above the target",IF($E4="","",IF($E4="R","Full worksheet, taught first",IF($E4="A","Work until 3 right in a row",IF($E4="G","2 question spot check later","")))))</f>
        <v/>
      </c>
      <c r="H4" s="19" t="s">
        <v>59</v>
      </c>
      <c r="I4" s="13" t="s">
        <v>65</v>
      </c>
      <c r="J4" s="19" t="s">
        <v>54</v>
      </c>
      <c r="K4" s="19" t="s">
        <v>55</v>
      </c>
      <c r="L4" s="19" t="s">
        <v>56</v>
      </c>
    </row>
    <row r="5" customFormat="false" ht="15" hidden="false" customHeight="false" outlineLevel="0" collapsed="false">
      <c r="A5" s="16" t="n">
        <v>1</v>
      </c>
      <c r="B5" s="16" t="s">
        <v>66</v>
      </c>
      <c r="C5" s="16" t="s">
        <v>67</v>
      </c>
      <c r="D5" s="16" t="str">
        <f aca="false">IF($A5&lt;=5,"Core",IF($A5=6,"Stretch","Not this time"))</f>
        <v>Core</v>
      </c>
      <c r="E5" s="17"/>
      <c r="F5" s="18"/>
      <c r="G5" s="13" t="str">
        <f aca="false">IF($D5="Not this time","Not scheduled, above the target",IF($E5="","",IF($E5="R","Full worksheet, taught first",IF($E5="A","Work until 3 right in a row",IF($E5="G","2 question spot check later","")))))</f>
        <v/>
      </c>
      <c r="H5" s="19" t="s">
        <v>59</v>
      </c>
      <c r="I5" s="13" t="s">
        <v>68</v>
      </c>
      <c r="J5" s="19" t="s">
        <v>54</v>
      </c>
      <c r="K5" s="19" t="s">
        <v>55</v>
      </c>
      <c r="L5" s="19" t="s">
        <v>56</v>
      </c>
    </row>
    <row r="6" customFormat="false" ht="15" hidden="false" customHeight="false" outlineLevel="0" collapsed="false">
      <c r="A6" s="16" t="n">
        <v>1</v>
      </c>
      <c r="B6" s="16" t="s">
        <v>69</v>
      </c>
      <c r="C6" s="16" t="s">
        <v>70</v>
      </c>
      <c r="D6" s="16" t="str">
        <f aca="false">IF($A6&lt;=5,"Core",IF($A6=6,"Stretch","Not this time"))</f>
        <v>Core</v>
      </c>
      <c r="E6" s="17"/>
      <c r="F6" s="18"/>
      <c r="G6" s="13" t="str">
        <f aca="false">IF($D6="Not this time","Not scheduled, above the target",IF($E6="","",IF($E6="R","Full worksheet, taught first",IF($E6="A","Work until 3 right in a row",IF($E6="G","2 question spot check later","")))))</f>
        <v/>
      </c>
      <c r="H6" s="19" t="s">
        <v>59</v>
      </c>
      <c r="I6" s="13" t="s">
        <v>71</v>
      </c>
      <c r="J6" s="20"/>
      <c r="K6" s="20"/>
      <c r="L6" s="20"/>
    </row>
    <row r="7" customFormat="false" ht="15" hidden="false" customHeight="false" outlineLevel="0" collapsed="false">
      <c r="A7" s="16" t="n">
        <v>1</v>
      </c>
      <c r="B7" s="16" t="s">
        <v>72</v>
      </c>
      <c r="C7" s="16" t="s">
        <v>73</v>
      </c>
      <c r="D7" s="16" t="str">
        <f aca="false">IF($A7&lt;=5,"Core",IF($A7=6,"Stretch","Not this time"))</f>
        <v>Core</v>
      </c>
      <c r="E7" s="17"/>
      <c r="F7" s="18"/>
      <c r="G7" s="13" t="str">
        <f aca="false">IF($D7="Not this time","Not scheduled, above the target",IF($E7="","",IF($E7="R","Full worksheet, taught first",IF($E7="A","Work until 3 right in a row",IF($E7="G","2 question spot check later","")))))</f>
        <v/>
      </c>
      <c r="H7" s="19" t="s">
        <v>59</v>
      </c>
      <c r="I7" s="13" t="s">
        <v>73</v>
      </c>
      <c r="J7" s="19" t="s">
        <v>54</v>
      </c>
      <c r="K7" s="19" t="s">
        <v>55</v>
      </c>
      <c r="L7" s="19" t="s">
        <v>56</v>
      </c>
    </row>
    <row r="8" customFormat="false" ht="15" hidden="false" customHeight="false" outlineLevel="0" collapsed="false">
      <c r="A8" s="16" t="n">
        <v>1</v>
      </c>
      <c r="B8" s="16" t="s">
        <v>74</v>
      </c>
      <c r="C8" s="16" t="s">
        <v>75</v>
      </c>
      <c r="D8" s="16" t="str">
        <f aca="false">IF($A8&lt;=5,"Core",IF($A8=6,"Stretch","Not this time"))</f>
        <v>Core</v>
      </c>
      <c r="E8" s="17"/>
      <c r="F8" s="18"/>
      <c r="G8" s="13" t="str">
        <f aca="false">IF($D8="Not this time","Not scheduled, above the target",IF($E8="","",IF($E8="R","Full worksheet, taught first",IF($E8="A","Work until 3 right in a row",IF($E8="G","2 question spot check later","")))))</f>
        <v/>
      </c>
      <c r="H8" s="19" t="s">
        <v>59</v>
      </c>
      <c r="I8" s="13" t="s">
        <v>60</v>
      </c>
      <c r="J8" s="19" t="s">
        <v>54</v>
      </c>
      <c r="K8" s="19" t="s">
        <v>55</v>
      </c>
      <c r="L8" s="19" t="s">
        <v>56</v>
      </c>
    </row>
    <row r="9" customFormat="false" ht="15" hidden="false" customHeight="false" outlineLevel="0" collapsed="false">
      <c r="A9" s="16" t="n">
        <v>1</v>
      </c>
      <c r="B9" s="16" t="s">
        <v>76</v>
      </c>
      <c r="C9" s="16" t="s">
        <v>77</v>
      </c>
      <c r="D9" s="16" t="str">
        <f aca="false">IF($A9&lt;=5,"Core",IF($A9=6,"Stretch","Not this time"))</f>
        <v>Core</v>
      </c>
      <c r="E9" s="17"/>
      <c r="F9" s="18"/>
      <c r="G9" s="13" t="str">
        <f aca="false">IF($D9="Not this time","Not scheduled, above the target",IF($E9="","",IF($E9="R","Full worksheet, taught first",IF($E9="A","Work until 3 right in a row",IF($E9="G","2 question spot check later","")))))</f>
        <v/>
      </c>
      <c r="H9" s="19" t="s">
        <v>59</v>
      </c>
      <c r="I9" s="13" t="s">
        <v>78</v>
      </c>
      <c r="J9" s="19" t="s">
        <v>54</v>
      </c>
      <c r="K9" s="19" t="s">
        <v>55</v>
      </c>
      <c r="L9" s="19" t="s">
        <v>56</v>
      </c>
    </row>
    <row r="10" customFormat="false" ht="15" hidden="false" customHeight="false" outlineLevel="0" collapsed="false">
      <c r="A10" s="16" t="n">
        <v>1</v>
      </c>
      <c r="B10" s="16" t="s">
        <v>79</v>
      </c>
      <c r="C10" s="16" t="s">
        <v>80</v>
      </c>
      <c r="D10" s="16" t="str">
        <f aca="false">IF($A10&lt;=5,"Core",IF($A10=6,"Stretch","Not this time"))</f>
        <v>Core</v>
      </c>
      <c r="E10" s="17"/>
      <c r="F10" s="18"/>
      <c r="G10" s="13" t="str">
        <f aca="false">IF($D10="Not this time","Not scheduled, above the target",IF($E10="","",IF($E10="R","Full worksheet, taught first",IF($E10="A","Work until 3 right in a row",IF($E10="G","2 question spot check later","")))))</f>
        <v/>
      </c>
      <c r="H10" s="19" t="s">
        <v>59</v>
      </c>
      <c r="I10" s="13" t="s">
        <v>60</v>
      </c>
      <c r="J10" s="19" t="s">
        <v>54</v>
      </c>
      <c r="K10" s="19" t="s">
        <v>55</v>
      </c>
      <c r="L10" s="19" t="s">
        <v>56</v>
      </c>
    </row>
    <row r="11" customFormat="false" ht="15" hidden="false" customHeight="false" outlineLevel="0" collapsed="false">
      <c r="A11" s="16" t="n">
        <v>1</v>
      </c>
      <c r="B11" s="16" t="s">
        <v>81</v>
      </c>
      <c r="C11" s="16" t="s">
        <v>82</v>
      </c>
      <c r="D11" s="16" t="str">
        <f aca="false">IF($A11&lt;=5,"Core",IF($A11=6,"Stretch","Not this time"))</f>
        <v>Core</v>
      </c>
      <c r="E11" s="17"/>
      <c r="F11" s="18"/>
      <c r="G11" s="13" t="str">
        <f aca="false">IF($D11="Not this time","Not scheduled, above the target",IF($E11="","",IF($E11="R","Full worksheet, taught first",IF($E11="A","Work until 3 right in a row",IF($E11="G","2 question spot check later","")))))</f>
        <v/>
      </c>
      <c r="H11" s="19" t="s">
        <v>59</v>
      </c>
      <c r="I11" s="13" t="s">
        <v>83</v>
      </c>
      <c r="J11" s="19" t="s">
        <v>54</v>
      </c>
      <c r="K11" s="19" t="s">
        <v>55</v>
      </c>
      <c r="L11" s="19" t="s">
        <v>56</v>
      </c>
    </row>
    <row r="12" customFormat="false" ht="15" hidden="false" customHeight="false" outlineLevel="0" collapsed="false">
      <c r="A12" s="16" t="n">
        <v>1</v>
      </c>
      <c r="B12" s="16" t="s">
        <v>84</v>
      </c>
      <c r="C12" s="16" t="s">
        <v>85</v>
      </c>
      <c r="D12" s="16" t="str">
        <f aca="false">IF($A12&lt;=5,"Core",IF($A12=6,"Stretch","Not this time"))</f>
        <v>Core</v>
      </c>
      <c r="E12" s="17"/>
      <c r="F12" s="18"/>
      <c r="G12" s="13" t="str">
        <f aca="false">IF($D12="Not this time","Not scheduled, above the target",IF($E12="","",IF($E12="R","Full worksheet, taught first",IF($E12="A","Work until 3 right in a row",IF($E12="G","2 question spot check later","")))))</f>
        <v/>
      </c>
      <c r="H12" s="19" t="s">
        <v>59</v>
      </c>
      <c r="I12" s="13" t="s">
        <v>85</v>
      </c>
      <c r="J12" s="19" t="s">
        <v>54</v>
      </c>
      <c r="K12" s="19" t="s">
        <v>55</v>
      </c>
      <c r="L12" s="19" t="s">
        <v>56</v>
      </c>
    </row>
    <row r="13" customFormat="false" ht="15" hidden="false" customHeight="false" outlineLevel="0" collapsed="false">
      <c r="A13" s="16" t="n">
        <v>1</v>
      </c>
      <c r="B13" s="16" t="s">
        <v>86</v>
      </c>
      <c r="C13" s="16" t="s">
        <v>87</v>
      </c>
      <c r="D13" s="16" t="str">
        <f aca="false">IF($A13&lt;=5,"Core",IF($A13=6,"Stretch","Not this time"))</f>
        <v>Core</v>
      </c>
      <c r="E13" s="17"/>
      <c r="F13" s="18"/>
      <c r="G13" s="13" t="str">
        <f aca="false">IF($D13="Not this time","Not scheduled, above the target",IF($E13="","",IF($E13="R","Full worksheet, taught first",IF($E13="A","Work until 3 right in a row",IF($E13="G","2 question spot check later","")))))</f>
        <v/>
      </c>
      <c r="H13" s="19" t="s">
        <v>59</v>
      </c>
      <c r="I13" s="13" t="s">
        <v>88</v>
      </c>
      <c r="J13" s="19" t="s">
        <v>54</v>
      </c>
      <c r="K13" s="19" t="s">
        <v>55</v>
      </c>
      <c r="L13" s="19" t="s">
        <v>56</v>
      </c>
    </row>
    <row r="14" customFormat="false" ht="15" hidden="false" customHeight="false" outlineLevel="0" collapsed="false">
      <c r="A14" s="16" t="n">
        <v>2</v>
      </c>
      <c r="B14" s="16" t="s">
        <v>57</v>
      </c>
      <c r="C14" s="16" t="s">
        <v>89</v>
      </c>
      <c r="D14" s="16" t="str">
        <f aca="false">IF($A14&lt;=5,"Core",IF($A14=6,"Stretch","Not this time"))</f>
        <v>Core</v>
      </c>
      <c r="E14" s="17"/>
      <c r="F14" s="18"/>
      <c r="G14" s="13" t="str">
        <f aca="false">IF($D14="Not this time","Not scheduled, above the target",IF($E14="","",IF($E14="R","Full worksheet, taught first",IF($E14="A","Work until 3 right in a row",IF($E14="G","2 question spot check later","")))))</f>
        <v/>
      </c>
      <c r="H14" s="19" t="s">
        <v>59</v>
      </c>
      <c r="I14" s="13" t="s">
        <v>90</v>
      </c>
      <c r="J14" s="19" t="s">
        <v>54</v>
      </c>
      <c r="K14" s="19" t="s">
        <v>55</v>
      </c>
      <c r="L14" s="19" t="s">
        <v>56</v>
      </c>
    </row>
    <row r="15" customFormat="false" ht="15" hidden="false" customHeight="false" outlineLevel="0" collapsed="false">
      <c r="A15" s="16" t="n">
        <v>2</v>
      </c>
      <c r="B15" s="16" t="s">
        <v>61</v>
      </c>
      <c r="C15" s="16" t="s">
        <v>91</v>
      </c>
      <c r="D15" s="16" t="str">
        <f aca="false">IF($A15&lt;=5,"Core",IF($A15=6,"Stretch","Not this time"))</f>
        <v>Core</v>
      </c>
      <c r="E15" s="17"/>
      <c r="F15" s="18"/>
      <c r="G15" s="13" t="str">
        <f aca="false">IF($D15="Not this time","Not scheduled, above the target",IF($E15="","",IF($E15="R","Full worksheet, taught first",IF($E15="A","Work until 3 right in a row",IF($E15="G","2 question spot check later","")))))</f>
        <v/>
      </c>
      <c r="H15" s="19" t="s">
        <v>59</v>
      </c>
      <c r="I15" s="13" t="s">
        <v>71</v>
      </c>
      <c r="J15" s="20"/>
      <c r="K15" s="20"/>
      <c r="L15" s="20"/>
    </row>
    <row r="16" customFormat="false" ht="15" hidden="false" customHeight="false" outlineLevel="0" collapsed="false">
      <c r="A16" s="16" t="n">
        <v>2</v>
      </c>
      <c r="B16" s="16" t="s">
        <v>63</v>
      </c>
      <c r="C16" s="16" t="s">
        <v>92</v>
      </c>
      <c r="D16" s="16" t="str">
        <f aca="false">IF($A16&lt;=5,"Core",IF($A16=6,"Stretch","Not this time"))</f>
        <v>Core</v>
      </c>
      <c r="E16" s="17"/>
      <c r="F16" s="18"/>
      <c r="G16" s="13" t="str">
        <f aca="false">IF($D16="Not this time","Not scheduled, above the target",IF($E16="","",IF($E16="R","Full worksheet, taught first",IF($E16="A","Work until 3 right in a row",IF($E16="G","2 question spot check later","")))))</f>
        <v/>
      </c>
      <c r="H16" s="19" t="s">
        <v>59</v>
      </c>
      <c r="I16" s="13" t="s">
        <v>93</v>
      </c>
      <c r="J16" s="19" t="s">
        <v>54</v>
      </c>
      <c r="K16" s="19" t="s">
        <v>55</v>
      </c>
      <c r="L16" s="19" t="s">
        <v>56</v>
      </c>
    </row>
    <row r="17" customFormat="false" ht="15" hidden="false" customHeight="false" outlineLevel="0" collapsed="false">
      <c r="A17" s="16" t="n">
        <v>2</v>
      </c>
      <c r="B17" s="16" t="s">
        <v>66</v>
      </c>
      <c r="C17" s="16" t="s">
        <v>94</v>
      </c>
      <c r="D17" s="16" t="str">
        <f aca="false">IF($A17&lt;=5,"Core",IF($A17=6,"Stretch","Not this time"))</f>
        <v>Core</v>
      </c>
      <c r="E17" s="17"/>
      <c r="F17" s="18"/>
      <c r="G17" s="13" t="str">
        <f aca="false">IF($D17="Not this time","Not scheduled, above the target",IF($E17="","",IF($E17="R","Full worksheet, taught first",IF($E17="A","Work until 3 right in a row",IF($E17="G","2 question spot check later","")))))</f>
        <v/>
      </c>
      <c r="H17" s="19" t="s">
        <v>59</v>
      </c>
      <c r="I17" s="13" t="s">
        <v>68</v>
      </c>
      <c r="J17" s="19" t="s">
        <v>54</v>
      </c>
      <c r="K17" s="19" t="s">
        <v>55</v>
      </c>
      <c r="L17" s="19" t="s">
        <v>56</v>
      </c>
    </row>
    <row r="18" customFormat="false" ht="15" hidden="false" customHeight="false" outlineLevel="0" collapsed="false">
      <c r="A18" s="16" t="n">
        <v>2</v>
      </c>
      <c r="B18" s="16" t="s">
        <v>69</v>
      </c>
      <c r="C18" s="16" t="s">
        <v>95</v>
      </c>
      <c r="D18" s="16" t="str">
        <f aca="false">IF($A18&lt;=5,"Core",IF($A18=6,"Stretch","Not this time"))</f>
        <v>Core</v>
      </c>
      <c r="E18" s="17"/>
      <c r="F18" s="18"/>
      <c r="G18" s="13" t="str">
        <f aca="false">IF($D18="Not this time","Not scheduled, above the target",IF($E18="","",IF($E18="R","Full worksheet, taught first",IF($E18="A","Work until 3 right in a row",IF($E18="G","2 question spot check later","")))))</f>
        <v/>
      </c>
      <c r="H18" s="19" t="s">
        <v>59</v>
      </c>
      <c r="I18" s="13" t="s">
        <v>96</v>
      </c>
      <c r="J18" s="19" t="s">
        <v>54</v>
      </c>
      <c r="K18" s="19" t="s">
        <v>55</v>
      </c>
      <c r="L18" s="19" t="s">
        <v>56</v>
      </c>
    </row>
    <row r="19" customFormat="false" ht="15" hidden="false" customHeight="false" outlineLevel="0" collapsed="false">
      <c r="A19" s="16" t="n">
        <v>2</v>
      </c>
      <c r="B19" s="16" t="s">
        <v>72</v>
      </c>
      <c r="C19" s="16" t="s">
        <v>97</v>
      </c>
      <c r="D19" s="16" t="str">
        <f aca="false">IF($A19&lt;=5,"Core",IF($A19=6,"Stretch","Not this time"))</f>
        <v>Core</v>
      </c>
      <c r="E19" s="17"/>
      <c r="F19" s="18"/>
      <c r="G19" s="13" t="str">
        <f aca="false">IF($D19="Not this time","Not scheduled, above the target",IF($E19="","",IF($E19="R","Full worksheet, taught first",IF($E19="A","Work until 3 right in a row",IF($E19="G","2 question spot check later","")))))</f>
        <v/>
      </c>
      <c r="H19" s="19" t="s">
        <v>59</v>
      </c>
      <c r="I19" s="13" t="s">
        <v>98</v>
      </c>
      <c r="J19" s="19" t="s">
        <v>54</v>
      </c>
      <c r="K19" s="19" t="s">
        <v>55</v>
      </c>
      <c r="L19" s="19" t="s">
        <v>56</v>
      </c>
    </row>
    <row r="20" customFormat="false" ht="15" hidden="false" customHeight="false" outlineLevel="0" collapsed="false">
      <c r="A20" s="16" t="n">
        <v>2</v>
      </c>
      <c r="B20" s="16" t="s">
        <v>74</v>
      </c>
      <c r="C20" s="16" t="s">
        <v>99</v>
      </c>
      <c r="D20" s="16" t="str">
        <f aca="false">IF($A20&lt;=5,"Core",IF($A20=6,"Stretch","Not this time"))</f>
        <v>Core</v>
      </c>
      <c r="E20" s="17"/>
      <c r="F20" s="18"/>
      <c r="G20" s="13" t="str">
        <f aca="false">IF($D20="Not this time","Not scheduled, above the target",IF($E20="","",IF($E20="R","Full worksheet, taught first",IF($E20="A","Work until 3 right in a row",IF($E20="G","2 question spot check later","")))))</f>
        <v/>
      </c>
      <c r="H20" s="19" t="s">
        <v>59</v>
      </c>
      <c r="I20" s="13" t="s">
        <v>100</v>
      </c>
      <c r="J20" s="19" t="s">
        <v>54</v>
      </c>
      <c r="K20" s="19" t="s">
        <v>55</v>
      </c>
      <c r="L20" s="19" t="s">
        <v>56</v>
      </c>
    </row>
    <row r="21" customFormat="false" ht="15" hidden="false" customHeight="false" outlineLevel="0" collapsed="false">
      <c r="A21" s="16" t="n">
        <v>2</v>
      </c>
      <c r="B21" s="16" t="s">
        <v>76</v>
      </c>
      <c r="C21" s="16" t="s">
        <v>101</v>
      </c>
      <c r="D21" s="16" t="str">
        <f aca="false">IF($A21&lt;=5,"Core",IF($A21=6,"Stretch","Not this time"))</f>
        <v>Core</v>
      </c>
      <c r="E21" s="17"/>
      <c r="F21" s="18"/>
      <c r="G21" s="13" t="str">
        <f aca="false">IF($D21="Not this time","Not scheduled, above the target",IF($E21="","",IF($E21="R","Full worksheet, taught first",IF($E21="A","Work until 3 right in a row",IF($E21="G","2 question spot check later","")))))</f>
        <v/>
      </c>
      <c r="H21" s="19" t="s">
        <v>59</v>
      </c>
      <c r="I21" s="13" t="s">
        <v>71</v>
      </c>
      <c r="J21" s="20"/>
      <c r="K21" s="20"/>
      <c r="L21" s="20"/>
    </row>
    <row r="22" customFormat="false" ht="15" hidden="false" customHeight="false" outlineLevel="0" collapsed="false">
      <c r="A22" s="16" t="n">
        <v>2</v>
      </c>
      <c r="B22" s="16" t="s">
        <v>79</v>
      </c>
      <c r="C22" s="16" t="s">
        <v>102</v>
      </c>
      <c r="D22" s="16" t="str">
        <f aca="false">IF($A22&lt;=5,"Core",IF($A22=6,"Stretch","Not this time"))</f>
        <v>Core</v>
      </c>
      <c r="E22" s="17"/>
      <c r="F22" s="18"/>
      <c r="G22" s="13" t="str">
        <f aca="false">IF($D22="Not this time","Not scheduled, above the target",IF($E22="","",IF($E22="R","Full worksheet, taught first",IF($E22="A","Work until 3 right in a row",IF($E22="G","2 question spot check later","")))))</f>
        <v/>
      </c>
      <c r="H22" s="19" t="s">
        <v>59</v>
      </c>
      <c r="I22" s="13" t="s">
        <v>103</v>
      </c>
      <c r="J22" s="19" t="s">
        <v>54</v>
      </c>
      <c r="K22" s="19" t="s">
        <v>55</v>
      </c>
      <c r="L22" s="19" t="s">
        <v>56</v>
      </c>
    </row>
    <row r="23" customFormat="false" ht="15" hidden="false" customHeight="false" outlineLevel="0" collapsed="false">
      <c r="A23" s="16" t="n">
        <v>2</v>
      </c>
      <c r="B23" s="16" t="s">
        <v>81</v>
      </c>
      <c r="C23" s="16" t="s">
        <v>104</v>
      </c>
      <c r="D23" s="16" t="str">
        <f aca="false">IF($A23&lt;=5,"Core",IF($A23=6,"Stretch","Not this time"))</f>
        <v>Core</v>
      </c>
      <c r="E23" s="17"/>
      <c r="F23" s="18"/>
      <c r="G23" s="13" t="str">
        <f aca="false">IF($D23="Not this time","Not scheduled, above the target",IF($E23="","",IF($E23="R","Full worksheet, taught first",IF($E23="A","Work until 3 right in a row",IF($E23="G","2 question spot check later","")))))</f>
        <v/>
      </c>
      <c r="H23" s="19" t="s">
        <v>59</v>
      </c>
      <c r="I23" s="13" t="s">
        <v>105</v>
      </c>
      <c r="J23" s="19" t="s">
        <v>54</v>
      </c>
      <c r="K23" s="19" t="s">
        <v>55</v>
      </c>
      <c r="L23" s="19" t="s">
        <v>56</v>
      </c>
    </row>
    <row r="24" customFormat="false" ht="15" hidden="false" customHeight="false" outlineLevel="0" collapsed="false">
      <c r="A24" s="16" t="n">
        <v>2</v>
      </c>
      <c r="B24" s="16" t="s">
        <v>84</v>
      </c>
      <c r="C24" s="16" t="s">
        <v>106</v>
      </c>
      <c r="D24" s="16" t="str">
        <f aca="false">IF($A24&lt;=5,"Core",IF($A24=6,"Stretch","Not this time"))</f>
        <v>Core</v>
      </c>
      <c r="E24" s="17"/>
      <c r="F24" s="18"/>
      <c r="G24" s="13" t="str">
        <f aca="false">IF($D24="Not this time","Not scheduled, above the target",IF($E24="","",IF($E24="R","Full worksheet, taught first",IF($E24="A","Work until 3 right in a row",IF($E24="G","2 question spot check later","")))))</f>
        <v/>
      </c>
      <c r="H24" s="19" t="s">
        <v>59</v>
      </c>
      <c r="I24" s="13" t="s">
        <v>107</v>
      </c>
      <c r="J24" s="19" t="s">
        <v>54</v>
      </c>
      <c r="K24" s="19" t="s">
        <v>55</v>
      </c>
      <c r="L24" s="19" t="s">
        <v>56</v>
      </c>
    </row>
    <row r="25" customFormat="false" ht="15" hidden="false" customHeight="false" outlineLevel="0" collapsed="false">
      <c r="A25" s="16" t="n">
        <v>2</v>
      </c>
      <c r="B25" s="16" t="s">
        <v>86</v>
      </c>
      <c r="C25" s="16" t="s">
        <v>108</v>
      </c>
      <c r="D25" s="16" t="str">
        <f aca="false">IF($A25&lt;=5,"Core",IF($A25=6,"Stretch","Not this time"))</f>
        <v>Core</v>
      </c>
      <c r="E25" s="17"/>
      <c r="F25" s="18"/>
      <c r="G25" s="13" t="str">
        <f aca="false">IF($D25="Not this time","Not scheduled, above the target",IF($E25="","",IF($E25="R","Full worksheet, taught first",IF($E25="A","Work until 3 right in a row",IF($E25="G","2 question spot check later","")))))</f>
        <v/>
      </c>
      <c r="H25" s="19" t="s">
        <v>59</v>
      </c>
      <c r="I25" s="13" t="s">
        <v>93</v>
      </c>
      <c r="J25" s="19" t="s">
        <v>54</v>
      </c>
      <c r="K25" s="19" t="s">
        <v>55</v>
      </c>
      <c r="L25" s="19" t="s">
        <v>56</v>
      </c>
    </row>
    <row r="26" customFormat="false" ht="15" hidden="false" customHeight="false" outlineLevel="0" collapsed="false">
      <c r="A26" s="16" t="n">
        <v>2</v>
      </c>
      <c r="B26" s="16" t="s">
        <v>109</v>
      </c>
      <c r="C26" s="16" t="s">
        <v>110</v>
      </c>
      <c r="D26" s="16" t="str">
        <f aca="false">IF($A26&lt;=5,"Core",IF($A26=6,"Stretch","Not this time"))</f>
        <v>Core</v>
      </c>
      <c r="E26" s="17"/>
      <c r="F26" s="18"/>
      <c r="G26" s="13" t="str">
        <f aca="false">IF($D26="Not this time","Not scheduled, above the target",IF($E26="","",IF($E26="R","Full worksheet, taught first",IF($E26="A","Work until 3 right in a row",IF($E26="G","2 question spot check later","")))))</f>
        <v/>
      </c>
      <c r="H26" s="19" t="s">
        <v>59</v>
      </c>
      <c r="I26" s="13" t="s">
        <v>88</v>
      </c>
      <c r="J26" s="19" t="s">
        <v>54</v>
      </c>
      <c r="K26" s="19" t="s">
        <v>55</v>
      </c>
      <c r="L26" s="19" t="s">
        <v>56</v>
      </c>
    </row>
    <row r="27" customFormat="false" ht="15" hidden="false" customHeight="false" outlineLevel="0" collapsed="false">
      <c r="A27" s="16" t="n">
        <v>2</v>
      </c>
      <c r="B27" s="16" t="s">
        <v>111</v>
      </c>
      <c r="C27" s="16" t="s">
        <v>112</v>
      </c>
      <c r="D27" s="16" t="str">
        <f aca="false">IF($A27&lt;=5,"Core",IF($A27=6,"Stretch","Not this time"))</f>
        <v>Core</v>
      </c>
      <c r="E27" s="17"/>
      <c r="F27" s="18"/>
      <c r="G27" s="13" t="str">
        <f aca="false">IF($D27="Not this time","Not scheduled, above the target",IF($E27="","",IF($E27="R","Full worksheet, taught first",IF($E27="A","Work until 3 right in a row",IF($E27="G","2 question spot check later","")))))</f>
        <v/>
      </c>
      <c r="H27" s="19" t="s">
        <v>59</v>
      </c>
      <c r="I27" s="13" t="s">
        <v>113</v>
      </c>
      <c r="J27" s="19" t="s">
        <v>54</v>
      </c>
      <c r="K27" s="19" t="s">
        <v>55</v>
      </c>
      <c r="L27" s="19" t="s">
        <v>56</v>
      </c>
    </row>
    <row r="28" customFormat="false" ht="15" hidden="false" customHeight="false" outlineLevel="0" collapsed="false">
      <c r="A28" s="16" t="n">
        <v>2</v>
      </c>
      <c r="B28" s="16" t="s">
        <v>114</v>
      </c>
      <c r="C28" s="16" t="s">
        <v>115</v>
      </c>
      <c r="D28" s="16" t="str">
        <f aca="false">IF($A28&lt;=5,"Core",IF($A28=6,"Stretch","Not this time"))</f>
        <v>Core</v>
      </c>
      <c r="E28" s="17"/>
      <c r="F28" s="18"/>
      <c r="G28" s="13" t="str">
        <f aca="false">IF($D28="Not this time","Not scheduled, above the target",IF($E28="","",IF($E28="R","Full worksheet, taught first",IF($E28="A","Work until 3 right in a row",IF($E28="G","2 question spot check later","")))))</f>
        <v/>
      </c>
      <c r="H28" s="19" t="s">
        <v>59</v>
      </c>
      <c r="I28" s="13" t="s">
        <v>88</v>
      </c>
      <c r="J28" s="19" t="s">
        <v>54</v>
      </c>
      <c r="K28" s="19" t="s">
        <v>55</v>
      </c>
      <c r="L28" s="19" t="s">
        <v>56</v>
      </c>
    </row>
    <row r="29" customFormat="false" ht="15" hidden="false" customHeight="false" outlineLevel="0" collapsed="false">
      <c r="A29" s="16" t="n">
        <v>2</v>
      </c>
      <c r="B29" s="16" t="s">
        <v>116</v>
      </c>
      <c r="C29" s="16" t="s">
        <v>117</v>
      </c>
      <c r="D29" s="16" t="str">
        <f aca="false">IF($A29&lt;=5,"Core",IF($A29=6,"Stretch","Not this time"))</f>
        <v>Core</v>
      </c>
      <c r="E29" s="17"/>
      <c r="F29" s="18"/>
      <c r="G29" s="13" t="str">
        <f aca="false">IF($D29="Not this time","Not scheduled, above the target",IF($E29="","",IF($E29="R","Full worksheet, taught first",IF($E29="A","Work until 3 right in a row",IF($E29="G","2 question spot check later","")))))</f>
        <v/>
      </c>
      <c r="H29" s="19" t="s">
        <v>59</v>
      </c>
      <c r="I29" s="13" t="s">
        <v>88</v>
      </c>
      <c r="J29" s="19" t="s">
        <v>54</v>
      </c>
      <c r="K29" s="19" t="s">
        <v>55</v>
      </c>
      <c r="L29" s="19" t="s">
        <v>56</v>
      </c>
    </row>
    <row r="30" customFormat="false" ht="15" hidden="false" customHeight="false" outlineLevel="0" collapsed="false">
      <c r="A30" s="16" t="n">
        <v>3</v>
      </c>
      <c r="B30" s="16" t="s">
        <v>57</v>
      </c>
      <c r="C30" s="16" t="s">
        <v>68</v>
      </c>
      <c r="D30" s="16" t="str">
        <f aca="false">IF($A30&lt;=5,"Core",IF($A30=6,"Stretch","Not this time"))</f>
        <v>Core</v>
      </c>
      <c r="E30" s="17"/>
      <c r="F30" s="18"/>
      <c r="G30" s="13" t="str">
        <f aca="false">IF($D30="Not this time","Not scheduled, above the target",IF($E30="","",IF($E30="R","Full worksheet, taught first",IF($E30="A","Work until 3 right in a row",IF($E30="G","2 question spot check later","")))))</f>
        <v/>
      </c>
      <c r="H30" s="19" t="s">
        <v>59</v>
      </c>
      <c r="I30" s="13" t="s">
        <v>68</v>
      </c>
      <c r="J30" s="19" t="s">
        <v>54</v>
      </c>
      <c r="K30" s="19" t="s">
        <v>55</v>
      </c>
      <c r="L30" s="19" t="s">
        <v>56</v>
      </c>
    </row>
    <row r="31" customFormat="false" ht="15" hidden="false" customHeight="false" outlineLevel="0" collapsed="false">
      <c r="A31" s="16" t="n">
        <v>3</v>
      </c>
      <c r="B31" s="16" t="s">
        <v>61</v>
      </c>
      <c r="C31" s="16" t="s">
        <v>118</v>
      </c>
      <c r="D31" s="16" t="str">
        <f aca="false">IF($A31&lt;=5,"Core",IF($A31=6,"Stretch","Not this time"))</f>
        <v>Core</v>
      </c>
      <c r="E31" s="17"/>
      <c r="F31" s="18"/>
      <c r="G31" s="13" t="str">
        <f aca="false">IF($D31="Not this time","Not scheduled, above the target",IF($E31="","",IF($E31="R","Full worksheet, taught first",IF($E31="A","Work until 3 right in a row",IF($E31="G","2 question spot check later","")))))</f>
        <v/>
      </c>
      <c r="H31" s="19" t="s">
        <v>59</v>
      </c>
      <c r="I31" s="13" t="s">
        <v>119</v>
      </c>
      <c r="J31" s="19" t="s">
        <v>54</v>
      </c>
      <c r="K31" s="19" t="s">
        <v>55</v>
      </c>
      <c r="L31" s="19" t="s">
        <v>56</v>
      </c>
    </row>
    <row r="32" customFormat="false" ht="15" hidden="false" customHeight="false" outlineLevel="0" collapsed="false">
      <c r="A32" s="16" t="n">
        <v>3</v>
      </c>
      <c r="B32" s="16" t="s">
        <v>63</v>
      </c>
      <c r="C32" s="16" t="s">
        <v>120</v>
      </c>
      <c r="D32" s="16" t="str">
        <f aca="false">IF($A32&lt;=5,"Core",IF($A32=6,"Stretch","Not this time"))</f>
        <v>Core</v>
      </c>
      <c r="E32" s="17"/>
      <c r="F32" s="18"/>
      <c r="G32" s="13" t="str">
        <f aca="false">IF($D32="Not this time","Not scheduled, above the target",IF($E32="","",IF($E32="R","Full worksheet, taught first",IF($E32="A","Work until 3 right in a row",IF($E32="G","2 question spot check later","")))))</f>
        <v/>
      </c>
      <c r="H32" s="19" t="s">
        <v>59</v>
      </c>
      <c r="I32" s="13" t="s">
        <v>121</v>
      </c>
      <c r="J32" s="19" t="s">
        <v>54</v>
      </c>
      <c r="K32" s="19" t="s">
        <v>55</v>
      </c>
      <c r="L32" s="19" t="s">
        <v>56</v>
      </c>
    </row>
    <row r="33" customFormat="false" ht="15" hidden="false" customHeight="false" outlineLevel="0" collapsed="false">
      <c r="A33" s="16" t="n">
        <v>3</v>
      </c>
      <c r="B33" s="16" t="s">
        <v>66</v>
      </c>
      <c r="C33" s="16" t="s">
        <v>121</v>
      </c>
      <c r="D33" s="16" t="str">
        <f aca="false">IF($A33&lt;=5,"Core",IF($A33=6,"Stretch","Not this time"))</f>
        <v>Core</v>
      </c>
      <c r="E33" s="17"/>
      <c r="F33" s="18"/>
      <c r="G33" s="13" t="str">
        <f aca="false">IF($D33="Not this time","Not scheduled, above the target",IF($E33="","",IF($E33="R","Full worksheet, taught first",IF($E33="A","Work until 3 right in a row",IF($E33="G","2 question spot check later","")))))</f>
        <v/>
      </c>
      <c r="H33" s="19" t="s">
        <v>59</v>
      </c>
      <c r="I33" s="13" t="s">
        <v>121</v>
      </c>
      <c r="J33" s="19" t="s">
        <v>54</v>
      </c>
      <c r="K33" s="19" t="s">
        <v>55</v>
      </c>
      <c r="L33" s="19" t="s">
        <v>56</v>
      </c>
    </row>
    <row r="34" customFormat="false" ht="15" hidden="false" customHeight="false" outlineLevel="0" collapsed="false">
      <c r="A34" s="16" t="n">
        <v>3</v>
      </c>
      <c r="B34" s="16" t="s">
        <v>69</v>
      </c>
      <c r="C34" s="16" t="s">
        <v>122</v>
      </c>
      <c r="D34" s="16" t="str">
        <f aca="false">IF($A34&lt;=5,"Core",IF($A34=6,"Stretch","Not this time"))</f>
        <v>Core</v>
      </c>
      <c r="E34" s="17"/>
      <c r="F34" s="18"/>
      <c r="G34" s="13" t="str">
        <f aca="false">IF($D34="Not this time","Not scheduled, above the target",IF($E34="","",IF($E34="R","Full worksheet, taught first",IF($E34="A","Work until 3 right in a row",IF($E34="G","2 question spot check later","")))))</f>
        <v/>
      </c>
      <c r="H34" s="19" t="s">
        <v>59</v>
      </c>
      <c r="I34" s="13" t="s">
        <v>122</v>
      </c>
      <c r="J34" s="19" t="s">
        <v>54</v>
      </c>
      <c r="K34" s="19" t="s">
        <v>55</v>
      </c>
      <c r="L34" s="19" t="s">
        <v>56</v>
      </c>
    </row>
    <row r="35" customFormat="false" ht="15" hidden="false" customHeight="false" outlineLevel="0" collapsed="false">
      <c r="A35" s="16" t="n">
        <v>3</v>
      </c>
      <c r="B35" s="16" t="s">
        <v>72</v>
      </c>
      <c r="C35" s="16" t="s">
        <v>96</v>
      </c>
      <c r="D35" s="16" t="str">
        <f aca="false">IF($A35&lt;=5,"Core",IF($A35=6,"Stretch","Not this time"))</f>
        <v>Core</v>
      </c>
      <c r="E35" s="17"/>
      <c r="F35" s="18"/>
      <c r="G35" s="13" t="str">
        <f aca="false">IF($D35="Not this time","Not scheduled, above the target",IF($E35="","",IF($E35="R","Full worksheet, taught first",IF($E35="A","Work until 3 right in a row",IF($E35="G","2 question spot check later","")))))</f>
        <v/>
      </c>
      <c r="H35" s="19" t="s">
        <v>59</v>
      </c>
      <c r="I35" s="13" t="s">
        <v>96</v>
      </c>
      <c r="J35" s="19" t="s">
        <v>54</v>
      </c>
      <c r="K35" s="19" t="s">
        <v>55</v>
      </c>
      <c r="L35" s="19" t="s">
        <v>56</v>
      </c>
    </row>
    <row r="36" customFormat="false" ht="15" hidden="false" customHeight="false" outlineLevel="0" collapsed="false">
      <c r="A36" s="16" t="n">
        <v>3</v>
      </c>
      <c r="B36" s="16" t="s">
        <v>74</v>
      </c>
      <c r="C36" s="16" t="s">
        <v>123</v>
      </c>
      <c r="D36" s="16" t="str">
        <f aca="false">IF($A36&lt;=5,"Core",IF($A36=6,"Stretch","Not this time"))</f>
        <v>Core</v>
      </c>
      <c r="E36" s="17"/>
      <c r="F36" s="18"/>
      <c r="G36" s="13" t="str">
        <f aca="false">IF($D36="Not this time","Not scheduled, above the target",IF($E36="","",IF($E36="R","Full worksheet, taught first",IF($E36="A","Work until 3 right in a row",IF($E36="G","2 question spot check later","")))))</f>
        <v/>
      </c>
      <c r="H36" s="19" t="s">
        <v>59</v>
      </c>
      <c r="I36" s="13" t="s">
        <v>124</v>
      </c>
      <c r="J36" s="19" t="s">
        <v>54</v>
      </c>
      <c r="K36" s="19" t="s">
        <v>55</v>
      </c>
      <c r="L36" s="19" t="s">
        <v>56</v>
      </c>
    </row>
    <row r="37" customFormat="false" ht="15" hidden="false" customHeight="false" outlineLevel="0" collapsed="false">
      <c r="A37" s="16" t="n">
        <v>3</v>
      </c>
      <c r="B37" s="16" t="s">
        <v>76</v>
      </c>
      <c r="C37" s="16" t="s">
        <v>125</v>
      </c>
      <c r="D37" s="16" t="str">
        <f aca="false">IF($A37&lt;=5,"Core",IF($A37=6,"Stretch","Not this time"))</f>
        <v>Core</v>
      </c>
      <c r="E37" s="17"/>
      <c r="F37" s="18"/>
      <c r="G37" s="13" t="str">
        <f aca="false">IF($D37="Not this time","Not scheduled, above the target",IF($E37="","",IF($E37="R","Full worksheet, taught first",IF($E37="A","Work until 3 right in a row",IF($E37="G","2 question spot check later","")))))</f>
        <v/>
      </c>
      <c r="H37" s="19" t="s">
        <v>59</v>
      </c>
      <c r="I37" s="13" t="s">
        <v>126</v>
      </c>
      <c r="J37" s="19" t="s">
        <v>54</v>
      </c>
      <c r="K37" s="19" t="s">
        <v>55</v>
      </c>
      <c r="L37" s="19" t="s">
        <v>56</v>
      </c>
    </row>
    <row r="38" customFormat="false" ht="15" hidden="false" customHeight="false" outlineLevel="0" collapsed="false">
      <c r="A38" s="16" t="n">
        <v>3</v>
      </c>
      <c r="B38" s="16" t="s">
        <v>79</v>
      </c>
      <c r="C38" s="16" t="s">
        <v>127</v>
      </c>
      <c r="D38" s="16" t="str">
        <f aca="false">IF($A38&lt;=5,"Core",IF($A38=6,"Stretch","Not this time"))</f>
        <v>Core</v>
      </c>
      <c r="E38" s="17"/>
      <c r="F38" s="18"/>
      <c r="G38" s="13" t="str">
        <f aca="false">IF($D38="Not this time","Not scheduled, above the target",IF($E38="","",IF($E38="R","Full worksheet, taught first",IF($E38="A","Work until 3 right in a row",IF($E38="G","2 question spot check later","")))))</f>
        <v/>
      </c>
      <c r="H38" s="19" t="s">
        <v>59</v>
      </c>
      <c r="I38" s="13" t="s">
        <v>126</v>
      </c>
      <c r="J38" s="19" t="s">
        <v>54</v>
      </c>
      <c r="K38" s="19" t="s">
        <v>55</v>
      </c>
      <c r="L38" s="19" t="s">
        <v>56</v>
      </c>
    </row>
    <row r="39" customFormat="false" ht="15" hidden="false" customHeight="false" outlineLevel="0" collapsed="false">
      <c r="A39" s="16" t="n">
        <v>3</v>
      </c>
      <c r="B39" s="16" t="s">
        <v>81</v>
      </c>
      <c r="C39" s="16" t="s">
        <v>128</v>
      </c>
      <c r="D39" s="16" t="str">
        <f aca="false">IF($A39&lt;=5,"Core",IF($A39=6,"Stretch","Not this time"))</f>
        <v>Core</v>
      </c>
      <c r="E39" s="17"/>
      <c r="F39" s="18"/>
      <c r="G39" s="13" t="str">
        <f aca="false">IF($D39="Not this time","Not scheduled, above the target",IF($E39="","",IF($E39="R","Full worksheet, taught first",IF($E39="A","Work until 3 right in a row",IF($E39="G","2 question spot check later","")))))</f>
        <v/>
      </c>
      <c r="H39" s="19" t="s">
        <v>59</v>
      </c>
      <c r="I39" s="13" t="s">
        <v>129</v>
      </c>
      <c r="J39" s="19" t="s">
        <v>54</v>
      </c>
      <c r="K39" s="19" t="s">
        <v>55</v>
      </c>
      <c r="L39" s="19" t="s">
        <v>56</v>
      </c>
    </row>
    <row r="40" customFormat="false" ht="15" hidden="false" customHeight="false" outlineLevel="0" collapsed="false">
      <c r="A40" s="16" t="n">
        <v>3</v>
      </c>
      <c r="B40" s="16" t="s">
        <v>84</v>
      </c>
      <c r="C40" s="16" t="s">
        <v>130</v>
      </c>
      <c r="D40" s="16" t="str">
        <f aca="false">IF($A40&lt;=5,"Core",IF($A40=6,"Stretch","Not this time"))</f>
        <v>Core</v>
      </c>
      <c r="E40" s="17"/>
      <c r="F40" s="18"/>
      <c r="G40" s="13" t="str">
        <f aca="false">IF($D40="Not this time","Not scheduled, above the target",IF($E40="","",IF($E40="R","Full worksheet, taught first",IF($E40="A","Work until 3 right in a row",IF($E40="G","2 question spot check later","")))))</f>
        <v/>
      </c>
      <c r="H40" s="19" t="s">
        <v>59</v>
      </c>
      <c r="I40" s="13" t="s">
        <v>131</v>
      </c>
      <c r="J40" s="19" t="s">
        <v>54</v>
      </c>
      <c r="K40" s="19" t="s">
        <v>55</v>
      </c>
      <c r="L40" s="19" t="s">
        <v>56</v>
      </c>
    </row>
    <row r="41" customFormat="false" ht="15" hidden="false" customHeight="false" outlineLevel="0" collapsed="false">
      <c r="A41" s="16" t="n">
        <v>3</v>
      </c>
      <c r="B41" s="16" t="s">
        <v>86</v>
      </c>
      <c r="C41" s="16" t="s">
        <v>132</v>
      </c>
      <c r="D41" s="16" t="str">
        <f aca="false">IF($A41&lt;=5,"Core",IF($A41=6,"Stretch","Not this time"))</f>
        <v>Core</v>
      </c>
      <c r="E41" s="17"/>
      <c r="F41" s="18"/>
      <c r="G41" s="13" t="str">
        <f aca="false">IF($D41="Not this time","Not scheduled, above the target",IF($E41="","",IF($E41="R","Full worksheet, taught first",IF($E41="A","Work until 3 right in a row",IF($E41="G","2 question spot check later","")))))</f>
        <v/>
      </c>
      <c r="H41" s="19" t="s">
        <v>59</v>
      </c>
      <c r="I41" s="13" t="s">
        <v>133</v>
      </c>
      <c r="J41" s="19" t="s">
        <v>54</v>
      </c>
      <c r="K41" s="19" t="s">
        <v>55</v>
      </c>
      <c r="L41" s="19" t="s">
        <v>56</v>
      </c>
    </row>
    <row r="42" customFormat="false" ht="15" hidden="false" customHeight="false" outlineLevel="0" collapsed="false">
      <c r="A42" s="16" t="n">
        <v>3</v>
      </c>
      <c r="B42" s="16" t="s">
        <v>109</v>
      </c>
      <c r="C42" s="16" t="s">
        <v>134</v>
      </c>
      <c r="D42" s="16" t="str">
        <f aca="false">IF($A42&lt;=5,"Core",IF($A42=6,"Stretch","Not this time"))</f>
        <v>Core</v>
      </c>
      <c r="E42" s="17"/>
      <c r="F42" s="18"/>
      <c r="G42" s="13" t="str">
        <f aca="false">IF($D42="Not this time","Not scheduled, above the target",IF($E42="","",IF($E42="R","Full worksheet, taught first",IF($E42="A","Work until 3 right in a row",IF($E42="G","2 question spot check later","")))))</f>
        <v/>
      </c>
      <c r="H42" s="19" t="s">
        <v>59</v>
      </c>
      <c r="I42" s="13" t="s">
        <v>103</v>
      </c>
      <c r="J42" s="19" t="s">
        <v>54</v>
      </c>
      <c r="K42" s="19" t="s">
        <v>55</v>
      </c>
      <c r="L42" s="19" t="s">
        <v>56</v>
      </c>
    </row>
    <row r="43" customFormat="false" ht="15" hidden="false" customHeight="false" outlineLevel="0" collapsed="false">
      <c r="A43" s="16" t="n">
        <v>3</v>
      </c>
      <c r="B43" s="16" t="s">
        <v>111</v>
      </c>
      <c r="C43" s="16" t="s">
        <v>135</v>
      </c>
      <c r="D43" s="16" t="str">
        <f aca="false">IF($A43&lt;=5,"Core",IF($A43=6,"Stretch","Not this time"))</f>
        <v>Core</v>
      </c>
      <c r="E43" s="17"/>
      <c r="F43" s="18"/>
      <c r="G43" s="13" t="str">
        <f aca="false">IF($D43="Not this time","Not scheduled, above the target",IF($E43="","",IF($E43="R","Full worksheet, taught first",IF($E43="A","Work until 3 right in a row",IF($E43="G","2 question spot check later","")))))</f>
        <v/>
      </c>
      <c r="H43" s="19" t="s">
        <v>59</v>
      </c>
      <c r="I43" s="13" t="s">
        <v>136</v>
      </c>
      <c r="J43" s="19" t="s">
        <v>54</v>
      </c>
      <c r="K43" s="19" t="s">
        <v>55</v>
      </c>
      <c r="L43" s="19" t="s">
        <v>56</v>
      </c>
    </row>
    <row r="44" customFormat="false" ht="15" hidden="false" customHeight="false" outlineLevel="0" collapsed="false">
      <c r="A44" s="16" t="n">
        <v>3</v>
      </c>
      <c r="B44" s="16" t="s">
        <v>114</v>
      </c>
      <c r="C44" s="16" t="s">
        <v>137</v>
      </c>
      <c r="D44" s="16" t="str">
        <f aca="false">IF($A44&lt;=5,"Core",IF($A44=6,"Stretch","Not this time"))</f>
        <v>Core</v>
      </c>
      <c r="E44" s="17"/>
      <c r="F44" s="18"/>
      <c r="G44" s="13" t="str">
        <f aca="false">IF($D44="Not this time","Not scheduled, above the target",IF($E44="","",IF($E44="R","Full worksheet, taught first",IF($E44="A","Work until 3 right in a row",IF($E44="G","2 question spot check later","")))))</f>
        <v/>
      </c>
      <c r="H44" s="19" t="s">
        <v>59</v>
      </c>
      <c r="I44" s="13" t="s">
        <v>138</v>
      </c>
      <c r="J44" s="19" t="s">
        <v>54</v>
      </c>
      <c r="K44" s="19" t="s">
        <v>55</v>
      </c>
      <c r="L44" s="19" t="s">
        <v>56</v>
      </c>
    </row>
    <row r="45" customFormat="false" ht="15" hidden="false" customHeight="false" outlineLevel="0" collapsed="false">
      <c r="A45" s="16" t="n">
        <v>3</v>
      </c>
      <c r="B45" s="16" t="s">
        <v>116</v>
      </c>
      <c r="C45" s="16" t="s">
        <v>139</v>
      </c>
      <c r="D45" s="16" t="str">
        <f aca="false">IF($A45&lt;=5,"Core",IF($A45=6,"Stretch","Not this time"))</f>
        <v>Core</v>
      </c>
      <c r="E45" s="17"/>
      <c r="F45" s="18"/>
      <c r="G45" s="13" t="str">
        <f aca="false">IF($D45="Not this time","Not scheduled, above the target",IF($E45="","",IF($E45="R","Full worksheet, taught first",IF($E45="A","Work until 3 right in a row",IF($E45="G","2 question spot check later","")))))</f>
        <v/>
      </c>
      <c r="H45" s="19" t="s">
        <v>59</v>
      </c>
      <c r="I45" s="13" t="s">
        <v>140</v>
      </c>
      <c r="J45" s="19" t="s">
        <v>54</v>
      </c>
      <c r="K45" s="19" t="s">
        <v>55</v>
      </c>
      <c r="L45" s="19" t="s">
        <v>56</v>
      </c>
    </row>
    <row r="46" customFormat="false" ht="15" hidden="false" customHeight="false" outlineLevel="0" collapsed="false">
      <c r="A46" s="16" t="n">
        <v>3</v>
      </c>
      <c r="B46" s="16" t="s">
        <v>141</v>
      </c>
      <c r="C46" s="16" t="s">
        <v>142</v>
      </c>
      <c r="D46" s="16" t="str">
        <f aca="false">IF($A46&lt;=5,"Core",IF($A46=6,"Stretch","Not this time"))</f>
        <v>Core</v>
      </c>
      <c r="E46" s="17"/>
      <c r="F46" s="18"/>
      <c r="G46" s="13" t="str">
        <f aca="false">IF($D46="Not this time","Not scheduled, above the target",IF($E46="","",IF($E46="R","Full worksheet, taught first",IF($E46="A","Work until 3 right in a row",IF($E46="G","2 question spot check later","")))))</f>
        <v/>
      </c>
      <c r="H46" s="19" t="s">
        <v>59</v>
      </c>
      <c r="I46" s="13" t="s">
        <v>143</v>
      </c>
      <c r="J46" s="19" t="s">
        <v>54</v>
      </c>
      <c r="K46" s="19" t="s">
        <v>55</v>
      </c>
      <c r="L46" s="19" t="s">
        <v>56</v>
      </c>
    </row>
    <row r="47" customFormat="false" ht="15" hidden="false" customHeight="false" outlineLevel="0" collapsed="false">
      <c r="A47" s="16" t="n">
        <v>3</v>
      </c>
      <c r="B47" s="16" t="s">
        <v>144</v>
      </c>
      <c r="C47" s="16" t="s">
        <v>145</v>
      </c>
      <c r="D47" s="16" t="str">
        <f aca="false">IF($A47&lt;=5,"Core",IF($A47=6,"Stretch","Not this time"))</f>
        <v>Core</v>
      </c>
      <c r="E47" s="17"/>
      <c r="F47" s="18"/>
      <c r="G47" s="13" t="str">
        <f aca="false">IF($D47="Not this time","Not scheduled, above the target",IF($E47="","",IF($E47="R","Full worksheet, taught first",IF($E47="A","Work until 3 right in a row",IF($E47="G","2 question spot check later","")))))</f>
        <v/>
      </c>
      <c r="H47" s="19" t="s">
        <v>59</v>
      </c>
      <c r="I47" s="13" t="s">
        <v>93</v>
      </c>
      <c r="J47" s="19" t="s">
        <v>54</v>
      </c>
      <c r="K47" s="19" t="s">
        <v>55</v>
      </c>
      <c r="L47" s="19" t="s">
        <v>56</v>
      </c>
    </row>
    <row r="48" customFormat="false" ht="15" hidden="false" customHeight="false" outlineLevel="0" collapsed="false">
      <c r="A48" s="21" t="n">
        <v>4</v>
      </c>
      <c r="B48" s="21" t="s">
        <v>57</v>
      </c>
      <c r="C48" s="21" t="s">
        <v>146</v>
      </c>
      <c r="D48" s="21" t="str">
        <f aca="false">IF($A48&lt;=5,"Core",IF($A48=6,"Stretch","Not this time"))</f>
        <v>Core</v>
      </c>
      <c r="E48" s="17"/>
      <c r="F48" s="18"/>
      <c r="G48" s="13" t="str">
        <f aca="false">IF($D48="Not this time","Not scheduled, above the target",IF($E48="","",IF($E48="R","Full worksheet, taught first",IF($E48="A","Work until 3 right in a row",IF($E48="G","2 question spot check later","")))))</f>
        <v/>
      </c>
      <c r="H48" s="19" t="s">
        <v>59</v>
      </c>
      <c r="I48" s="13" t="s">
        <v>147</v>
      </c>
      <c r="J48" s="19" t="s">
        <v>54</v>
      </c>
      <c r="K48" s="19" t="s">
        <v>55</v>
      </c>
      <c r="L48" s="19" t="s">
        <v>56</v>
      </c>
    </row>
    <row r="49" customFormat="false" ht="15" hidden="false" customHeight="false" outlineLevel="0" collapsed="false">
      <c r="A49" s="21" t="n">
        <v>4</v>
      </c>
      <c r="B49" s="21" t="s">
        <v>61</v>
      </c>
      <c r="C49" s="21" t="s">
        <v>48</v>
      </c>
      <c r="D49" s="21" t="str">
        <f aca="false">IF($A49&lt;=5,"Core",IF($A49=6,"Stretch","Not this time"))</f>
        <v>Core</v>
      </c>
      <c r="E49" s="17"/>
      <c r="F49" s="18"/>
      <c r="G49" s="13" t="str">
        <f aca="false">IF($D49="Not this time","Not scheduled, above the target",IF($E49="","",IF($E49="R","Full worksheet, taught first",IF($E49="A","Work until 3 right in a row",IF($E49="G","2 question spot check later","")))))</f>
        <v/>
      </c>
      <c r="H49" s="19" t="s">
        <v>59</v>
      </c>
      <c r="I49" s="13" t="s">
        <v>48</v>
      </c>
      <c r="J49" s="19" t="s">
        <v>54</v>
      </c>
      <c r="K49" s="19" t="s">
        <v>55</v>
      </c>
      <c r="L49" s="19" t="s">
        <v>56</v>
      </c>
    </row>
    <row r="50" customFormat="false" ht="15" hidden="false" customHeight="false" outlineLevel="0" collapsed="false">
      <c r="A50" s="21" t="n">
        <v>4</v>
      </c>
      <c r="B50" s="21" t="s">
        <v>63</v>
      </c>
      <c r="C50" s="21" t="s">
        <v>148</v>
      </c>
      <c r="D50" s="21" t="str">
        <f aca="false">IF($A50&lt;=5,"Core",IF($A50=6,"Stretch","Not this time"))</f>
        <v>Core</v>
      </c>
      <c r="E50" s="17"/>
      <c r="F50" s="18"/>
      <c r="G50" s="13" t="str">
        <f aca="false">IF($D50="Not this time","Not scheduled, above the target",IF($E50="","",IF($E50="R","Full worksheet, taught first",IF($E50="A","Work until 3 right in a row",IF($E50="G","2 question spot check later","")))))</f>
        <v/>
      </c>
      <c r="H50" s="19" t="s">
        <v>59</v>
      </c>
      <c r="I50" s="13" t="s">
        <v>83</v>
      </c>
      <c r="J50" s="19" t="s">
        <v>54</v>
      </c>
      <c r="K50" s="19" t="s">
        <v>55</v>
      </c>
      <c r="L50" s="19" t="s">
        <v>56</v>
      </c>
    </row>
    <row r="51" customFormat="false" ht="15" hidden="false" customHeight="false" outlineLevel="0" collapsed="false">
      <c r="A51" s="21" t="n">
        <v>4</v>
      </c>
      <c r="B51" s="21" t="s">
        <v>66</v>
      </c>
      <c r="C51" s="21" t="s">
        <v>149</v>
      </c>
      <c r="D51" s="21" t="str">
        <f aca="false">IF($A51&lt;=5,"Core",IF($A51=6,"Stretch","Not this time"))</f>
        <v>Core</v>
      </c>
      <c r="E51" s="17"/>
      <c r="F51" s="18"/>
      <c r="G51" s="13" t="str">
        <f aca="false">IF($D51="Not this time","Not scheduled, above the target",IF($E51="","",IF($E51="R","Full worksheet, taught first",IF($E51="A","Work until 3 right in a row",IF($E51="G","2 question spot check later","")))))</f>
        <v/>
      </c>
      <c r="H51" s="19" t="s">
        <v>59</v>
      </c>
      <c r="I51" s="13" t="s">
        <v>150</v>
      </c>
      <c r="J51" s="19" t="s">
        <v>54</v>
      </c>
      <c r="K51" s="19" t="s">
        <v>55</v>
      </c>
      <c r="L51" s="19" t="s">
        <v>56</v>
      </c>
    </row>
    <row r="52" customFormat="false" ht="15" hidden="false" customHeight="false" outlineLevel="0" collapsed="false">
      <c r="A52" s="21" t="n">
        <v>4</v>
      </c>
      <c r="B52" s="21" t="s">
        <v>69</v>
      </c>
      <c r="C52" s="21" t="s">
        <v>151</v>
      </c>
      <c r="D52" s="21" t="str">
        <f aca="false">IF($A52&lt;=5,"Core",IF($A52=6,"Stretch","Not this time"))</f>
        <v>Core</v>
      </c>
      <c r="E52" s="17"/>
      <c r="F52" s="18"/>
      <c r="G52" s="13" t="str">
        <f aca="false">IF($D52="Not this time","Not scheduled, above the target",IF($E52="","",IF($E52="R","Full worksheet, taught first",IF($E52="A","Work until 3 right in a row",IF($E52="G","2 question spot check later","")))))</f>
        <v/>
      </c>
      <c r="H52" s="19" t="s">
        <v>59</v>
      </c>
      <c r="I52" s="13" t="s">
        <v>151</v>
      </c>
      <c r="J52" s="19" t="s">
        <v>54</v>
      </c>
      <c r="K52" s="19" t="s">
        <v>55</v>
      </c>
      <c r="L52" s="19" t="s">
        <v>56</v>
      </c>
    </row>
    <row r="53" customFormat="false" ht="15" hidden="false" customHeight="false" outlineLevel="0" collapsed="false">
      <c r="A53" s="21" t="n">
        <v>4</v>
      </c>
      <c r="B53" s="21" t="s">
        <v>72</v>
      </c>
      <c r="C53" s="21" t="s">
        <v>152</v>
      </c>
      <c r="D53" s="21" t="str">
        <f aca="false">IF($A53&lt;=5,"Core",IF($A53=6,"Stretch","Not this time"))</f>
        <v>Core</v>
      </c>
      <c r="E53" s="17"/>
      <c r="F53" s="18"/>
      <c r="G53" s="13" t="str">
        <f aca="false">IF($D53="Not this time","Not scheduled, above the target",IF($E53="","",IF($E53="R","Full worksheet, taught first",IF($E53="A","Work until 3 right in a row",IF($E53="G","2 question spot check later","")))))</f>
        <v/>
      </c>
      <c r="H53" s="19" t="s">
        <v>59</v>
      </c>
      <c r="I53" s="13" t="s">
        <v>153</v>
      </c>
      <c r="J53" s="19" t="s">
        <v>54</v>
      </c>
      <c r="K53" s="19" t="s">
        <v>55</v>
      </c>
      <c r="L53" s="19" t="s">
        <v>56</v>
      </c>
    </row>
    <row r="54" customFormat="false" ht="15" hidden="false" customHeight="false" outlineLevel="0" collapsed="false">
      <c r="A54" s="21" t="n">
        <v>4</v>
      </c>
      <c r="B54" s="21" t="s">
        <v>74</v>
      </c>
      <c r="C54" s="21" t="s">
        <v>154</v>
      </c>
      <c r="D54" s="21" t="str">
        <f aca="false">IF($A54&lt;=5,"Core",IF($A54=6,"Stretch","Not this time"))</f>
        <v>Core</v>
      </c>
      <c r="E54" s="17"/>
      <c r="F54" s="18"/>
      <c r="G54" s="13" t="str">
        <f aca="false">IF($D54="Not this time","Not scheduled, above the target",IF($E54="","",IF($E54="R","Full worksheet, taught first",IF($E54="A","Work until 3 right in a row",IF($E54="G","2 question spot check later","")))))</f>
        <v/>
      </c>
      <c r="H54" s="19" t="s">
        <v>59</v>
      </c>
      <c r="I54" s="13" t="s">
        <v>155</v>
      </c>
      <c r="J54" s="19" t="s">
        <v>54</v>
      </c>
      <c r="K54" s="19" t="s">
        <v>55</v>
      </c>
      <c r="L54" s="19" t="s">
        <v>56</v>
      </c>
    </row>
    <row r="55" customFormat="false" ht="15" hidden="false" customHeight="false" outlineLevel="0" collapsed="false">
      <c r="A55" s="21" t="n">
        <v>4</v>
      </c>
      <c r="B55" s="21" t="s">
        <v>76</v>
      </c>
      <c r="C55" s="21" t="s">
        <v>156</v>
      </c>
      <c r="D55" s="21" t="str">
        <f aca="false">IF($A55&lt;=5,"Core",IF($A55=6,"Stretch","Not this time"))</f>
        <v>Core</v>
      </c>
      <c r="E55" s="17"/>
      <c r="F55" s="18"/>
      <c r="G55" s="13" t="str">
        <f aca="false">IF($D55="Not this time","Not scheduled, above the target",IF($E55="","",IF($E55="R","Full worksheet, taught first",IF($E55="A","Work until 3 right in a row",IF($E55="G","2 question spot check later","")))))</f>
        <v/>
      </c>
      <c r="H55" s="19" t="s">
        <v>59</v>
      </c>
      <c r="I55" s="13" t="s">
        <v>157</v>
      </c>
      <c r="J55" s="19" t="s">
        <v>54</v>
      </c>
      <c r="K55" s="19" t="s">
        <v>55</v>
      </c>
      <c r="L55" s="19" t="s">
        <v>56</v>
      </c>
    </row>
    <row r="56" customFormat="false" ht="15" hidden="false" customHeight="false" outlineLevel="0" collapsed="false">
      <c r="A56" s="21" t="n">
        <v>4</v>
      </c>
      <c r="B56" s="21" t="s">
        <v>79</v>
      </c>
      <c r="C56" s="21" t="s">
        <v>158</v>
      </c>
      <c r="D56" s="21" t="str">
        <f aca="false">IF($A56&lt;=5,"Core",IF($A56=6,"Stretch","Not this time"))</f>
        <v>Core</v>
      </c>
      <c r="E56" s="17"/>
      <c r="F56" s="18"/>
      <c r="G56" s="13" t="str">
        <f aca="false">IF($D56="Not this time","Not scheduled, above the target",IF($E56="","",IF($E56="R","Full worksheet, taught first",IF($E56="A","Work until 3 right in a row",IF($E56="G","2 question spot check later","")))))</f>
        <v/>
      </c>
      <c r="H56" s="19" t="s">
        <v>59</v>
      </c>
      <c r="I56" s="13" t="s">
        <v>159</v>
      </c>
      <c r="J56" s="19" t="s">
        <v>54</v>
      </c>
      <c r="K56" s="19" t="s">
        <v>55</v>
      </c>
      <c r="L56" s="19" t="s">
        <v>56</v>
      </c>
    </row>
    <row r="57" customFormat="false" ht="15" hidden="false" customHeight="false" outlineLevel="0" collapsed="false">
      <c r="A57" s="21" t="n">
        <v>4</v>
      </c>
      <c r="B57" s="21" t="s">
        <v>81</v>
      </c>
      <c r="C57" s="21" t="s">
        <v>160</v>
      </c>
      <c r="D57" s="21" t="str">
        <f aca="false">IF($A57&lt;=5,"Core",IF($A57=6,"Stretch","Not this time"))</f>
        <v>Core</v>
      </c>
      <c r="E57" s="17"/>
      <c r="F57" s="18"/>
      <c r="G57" s="13" t="str">
        <f aca="false">IF($D57="Not this time","Not scheduled, above the target",IF($E57="","",IF($E57="R","Full worksheet, taught first",IF($E57="A","Work until 3 right in a row",IF($E57="G","2 question spot check later","")))))</f>
        <v/>
      </c>
      <c r="H57" s="19" t="s">
        <v>59</v>
      </c>
      <c r="I57" s="13" t="s">
        <v>105</v>
      </c>
      <c r="J57" s="19" t="s">
        <v>54</v>
      </c>
      <c r="K57" s="19" t="s">
        <v>55</v>
      </c>
      <c r="L57" s="19" t="s">
        <v>56</v>
      </c>
    </row>
    <row r="58" customFormat="false" ht="15" hidden="false" customHeight="false" outlineLevel="0" collapsed="false">
      <c r="A58" s="21" t="n">
        <v>4</v>
      </c>
      <c r="B58" s="21" t="s">
        <v>84</v>
      </c>
      <c r="C58" s="21" t="s">
        <v>161</v>
      </c>
      <c r="D58" s="21" t="str">
        <f aca="false">IF($A58&lt;=5,"Core",IF($A58=6,"Stretch","Not this time"))</f>
        <v>Core</v>
      </c>
      <c r="E58" s="17"/>
      <c r="F58" s="18"/>
      <c r="G58" s="13" t="str">
        <f aca="false">IF($D58="Not this time","Not scheduled, above the target",IF($E58="","",IF($E58="R","Full worksheet, taught first",IF($E58="A","Work until 3 right in a row",IF($E58="G","2 question spot check later","")))))</f>
        <v/>
      </c>
      <c r="H58" s="19" t="s">
        <v>59</v>
      </c>
      <c r="I58" s="13" t="s">
        <v>162</v>
      </c>
      <c r="J58" s="19" t="s">
        <v>54</v>
      </c>
      <c r="K58" s="19" t="s">
        <v>55</v>
      </c>
      <c r="L58" s="19" t="s">
        <v>56</v>
      </c>
    </row>
    <row r="59" customFormat="false" ht="15" hidden="false" customHeight="false" outlineLevel="0" collapsed="false">
      <c r="A59" s="21" t="n">
        <v>4</v>
      </c>
      <c r="B59" s="21" t="s">
        <v>86</v>
      </c>
      <c r="C59" s="21" t="s">
        <v>163</v>
      </c>
      <c r="D59" s="21" t="str">
        <f aca="false">IF($A59&lt;=5,"Core",IF($A59=6,"Stretch","Not this time"))</f>
        <v>Core</v>
      </c>
      <c r="E59" s="17"/>
      <c r="F59" s="18"/>
      <c r="G59" s="13" t="str">
        <f aca="false">IF($D59="Not this time","Not scheduled, above the target",IF($E59="","",IF($E59="R","Full worksheet, taught first",IF($E59="A","Work until 3 right in a row",IF($E59="G","2 question spot check later","")))))</f>
        <v/>
      </c>
      <c r="H59" s="19" t="s">
        <v>59</v>
      </c>
      <c r="I59" s="13" t="s">
        <v>164</v>
      </c>
      <c r="J59" s="19" t="s">
        <v>54</v>
      </c>
      <c r="K59" s="19" t="s">
        <v>55</v>
      </c>
      <c r="L59" s="19" t="s">
        <v>56</v>
      </c>
    </row>
    <row r="60" customFormat="false" ht="15" hidden="false" customHeight="false" outlineLevel="0" collapsed="false">
      <c r="A60" s="21" t="n">
        <v>4</v>
      </c>
      <c r="B60" s="21" t="s">
        <v>109</v>
      </c>
      <c r="C60" s="21" t="s">
        <v>165</v>
      </c>
      <c r="D60" s="21" t="str">
        <f aca="false">IF($A60&lt;=5,"Core",IF($A60=6,"Stretch","Not this time"))</f>
        <v>Core</v>
      </c>
      <c r="E60" s="17"/>
      <c r="F60" s="18"/>
      <c r="G60" s="13" t="str">
        <f aca="false">IF($D60="Not this time","Not scheduled, above the target",IF($E60="","",IF($E60="R","Full worksheet, taught first",IF($E60="A","Work until 3 right in a row",IF($E60="G","2 question spot check later","")))))</f>
        <v/>
      </c>
      <c r="H60" s="19" t="s">
        <v>59</v>
      </c>
      <c r="I60" s="13" t="s">
        <v>164</v>
      </c>
      <c r="J60" s="19" t="s">
        <v>54</v>
      </c>
      <c r="K60" s="19" t="s">
        <v>55</v>
      </c>
      <c r="L60" s="19" t="s">
        <v>56</v>
      </c>
    </row>
    <row r="61" customFormat="false" ht="15" hidden="false" customHeight="false" outlineLevel="0" collapsed="false">
      <c r="A61" s="21" t="n">
        <v>4</v>
      </c>
      <c r="B61" s="21" t="s">
        <v>111</v>
      </c>
      <c r="C61" s="21" t="s">
        <v>166</v>
      </c>
      <c r="D61" s="21" t="str">
        <f aca="false">IF($A61&lt;=5,"Core",IF($A61=6,"Stretch","Not this time"))</f>
        <v>Core</v>
      </c>
      <c r="E61" s="17"/>
      <c r="F61" s="18"/>
      <c r="G61" s="13" t="str">
        <f aca="false">IF($D61="Not this time","Not scheduled, above the target",IF($E61="","",IF($E61="R","Full worksheet, taught first",IF($E61="A","Work until 3 right in a row",IF($E61="G","2 question spot check later","")))))</f>
        <v/>
      </c>
      <c r="H61" s="19" t="s">
        <v>59</v>
      </c>
      <c r="I61" s="13" t="s">
        <v>164</v>
      </c>
      <c r="J61" s="19" t="s">
        <v>54</v>
      </c>
      <c r="K61" s="19" t="s">
        <v>55</v>
      </c>
      <c r="L61" s="19" t="s">
        <v>56</v>
      </c>
    </row>
    <row r="62" customFormat="false" ht="15" hidden="false" customHeight="false" outlineLevel="0" collapsed="false">
      <c r="A62" s="21" t="n">
        <v>4</v>
      </c>
      <c r="B62" s="21" t="s">
        <v>114</v>
      </c>
      <c r="C62" s="21" t="s">
        <v>167</v>
      </c>
      <c r="D62" s="21" t="str">
        <f aca="false">IF($A62&lt;=5,"Core",IF($A62=6,"Stretch","Not this time"))</f>
        <v>Core</v>
      </c>
      <c r="E62" s="17"/>
      <c r="F62" s="18"/>
      <c r="G62" s="13" t="str">
        <f aca="false">IF($D62="Not this time","Not scheduled, above the target",IF($E62="","",IF($E62="R","Full worksheet, taught first",IF($E62="A","Work until 3 right in a row",IF($E62="G","2 question spot check later","")))))</f>
        <v/>
      </c>
      <c r="H62" s="19" t="s">
        <v>59</v>
      </c>
      <c r="I62" s="13" t="s">
        <v>168</v>
      </c>
      <c r="J62" s="19" t="s">
        <v>54</v>
      </c>
      <c r="K62" s="19" t="s">
        <v>55</v>
      </c>
      <c r="L62" s="19" t="s">
        <v>56</v>
      </c>
    </row>
    <row r="63" customFormat="false" ht="15" hidden="false" customHeight="false" outlineLevel="0" collapsed="false">
      <c r="A63" s="21" t="n">
        <v>4</v>
      </c>
      <c r="B63" s="21" t="s">
        <v>116</v>
      </c>
      <c r="C63" s="21" t="s">
        <v>169</v>
      </c>
      <c r="D63" s="21" t="str">
        <f aca="false">IF($A63&lt;=5,"Core",IF($A63=6,"Stretch","Not this time"))</f>
        <v>Core</v>
      </c>
      <c r="E63" s="17"/>
      <c r="F63" s="18"/>
      <c r="G63" s="13" t="str">
        <f aca="false">IF($D63="Not this time","Not scheduled, above the target",IF($E63="","",IF($E63="R","Full worksheet, taught first",IF($E63="A","Work until 3 right in a row",IF($E63="G","2 question spot check later","")))))</f>
        <v/>
      </c>
      <c r="H63" s="19" t="s">
        <v>59</v>
      </c>
      <c r="I63" s="13" t="s">
        <v>169</v>
      </c>
      <c r="J63" s="19" t="s">
        <v>54</v>
      </c>
      <c r="K63" s="19" t="s">
        <v>55</v>
      </c>
      <c r="L63" s="19" t="s">
        <v>56</v>
      </c>
    </row>
    <row r="64" customFormat="false" ht="15" hidden="false" customHeight="false" outlineLevel="0" collapsed="false">
      <c r="A64" s="21" t="n">
        <v>4</v>
      </c>
      <c r="B64" s="21" t="s">
        <v>141</v>
      </c>
      <c r="C64" s="21" t="s">
        <v>170</v>
      </c>
      <c r="D64" s="21" t="str">
        <f aca="false">IF($A64&lt;=5,"Core",IF($A64=6,"Stretch","Not this time"))</f>
        <v>Core</v>
      </c>
      <c r="E64" s="17"/>
      <c r="F64" s="18"/>
      <c r="G64" s="13" t="str">
        <f aca="false">IF($D64="Not this time","Not scheduled, above the target",IF($E64="","",IF($E64="R","Full worksheet, taught first",IF($E64="A","Work until 3 right in a row",IF($E64="G","2 question spot check later","")))))</f>
        <v/>
      </c>
      <c r="H64" s="19" t="s">
        <v>59</v>
      </c>
      <c r="I64" s="13" t="s">
        <v>171</v>
      </c>
      <c r="J64" s="19" t="s">
        <v>54</v>
      </c>
      <c r="K64" s="19" t="s">
        <v>55</v>
      </c>
      <c r="L64" s="19" t="s">
        <v>56</v>
      </c>
    </row>
    <row r="65" customFormat="false" ht="15" hidden="false" customHeight="false" outlineLevel="0" collapsed="false">
      <c r="A65" s="21" t="n">
        <v>4</v>
      </c>
      <c r="B65" s="21" t="s">
        <v>144</v>
      </c>
      <c r="C65" s="21" t="s">
        <v>108</v>
      </c>
      <c r="D65" s="21" t="str">
        <f aca="false">IF($A65&lt;=5,"Core",IF($A65=6,"Stretch","Not this time"))</f>
        <v>Core</v>
      </c>
      <c r="E65" s="17"/>
      <c r="F65" s="18"/>
      <c r="G65" s="13" t="str">
        <f aca="false">IF($D65="Not this time","Not scheduled, above the target",IF($E65="","",IF($E65="R","Full worksheet, taught first",IF($E65="A","Work until 3 right in a row",IF($E65="G","2 question spot check later","")))))</f>
        <v/>
      </c>
      <c r="H65" s="19" t="s">
        <v>59</v>
      </c>
      <c r="I65" s="13" t="s">
        <v>93</v>
      </c>
      <c r="J65" s="19" t="s">
        <v>54</v>
      </c>
      <c r="K65" s="19" t="s">
        <v>55</v>
      </c>
      <c r="L65" s="19" t="s">
        <v>56</v>
      </c>
    </row>
    <row r="66" customFormat="false" ht="15" hidden="false" customHeight="false" outlineLevel="0" collapsed="false">
      <c r="A66" s="21" t="n">
        <v>5</v>
      </c>
      <c r="B66" s="21" t="s">
        <v>57</v>
      </c>
      <c r="C66" s="21" t="s">
        <v>172</v>
      </c>
      <c r="D66" s="21" t="str">
        <f aca="false">IF($A66&lt;=5,"Core",IF($A66=6,"Stretch","Not this time"))</f>
        <v>Core</v>
      </c>
      <c r="E66" s="17"/>
      <c r="F66" s="18"/>
      <c r="G66" s="13" t="str">
        <f aca="false">IF($D66="Not this time","Not scheduled, above the target",IF($E66="","",IF($E66="R","Full worksheet, taught first",IF($E66="A","Work until 3 right in a row",IF($E66="G","2 question spot check later","")))))</f>
        <v/>
      </c>
      <c r="H66" s="19" t="s">
        <v>59</v>
      </c>
      <c r="I66" s="13" t="s">
        <v>96</v>
      </c>
      <c r="J66" s="19" t="s">
        <v>54</v>
      </c>
      <c r="K66" s="19" t="s">
        <v>55</v>
      </c>
      <c r="L66" s="19" t="s">
        <v>56</v>
      </c>
    </row>
    <row r="67" customFormat="false" ht="15" hidden="false" customHeight="false" outlineLevel="0" collapsed="false">
      <c r="A67" s="21" t="n">
        <v>5</v>
      </c>
      <c r="B67" s="21" t="s">
        <v>61</v>
      </c>
      <c r="C67" s="21" t="s">
        <v>173</v>
      </c>
      <c r="D67" s="21" t="str">
        <f aca="false">IF($A67&lt;=5,"Core",IF($A67=6,"Stretch","Not this time"))</f>
        <v>Core</v>
      </c>
      <c r="E67" s="17"/>
      <c r="F67" s="18"/>
      <c r="G67" s="13" t="str">
        <f aca="false">IF($D67="Not this time","Not scheduled, above the target",IF($E67="","",IF($E67="R","Full worksheet, taught first",IF($E67="A","Work until 3 right in a row",IF($E67="G","2 question spot check later","")))))</f>
        <v/>
      </c>
      <c r="H67" s="19" t="s">
        <v>59</v>
      </c>
      <c r="I67" s="13" t="s">
        <v>173</v>
      </c>
      <c r="J67" s="19" t="s">
        <v>54</v>
      </c>
      <c r="K67" s="19" t="s">
        <v>55</v>
      </c>
      <c r="L67" s="19" t="s">
        <v>56</v>
      </c>
    </row>
    <row r="68" customFormat="false" ht="15" hidden="false" customHeight="false" outlineLevel="0" collapsed="false">
      <c r="A68" s="21" t="n">
        <v>5</v>
      </c>
      <c r="B68" s="21" t="s">
        <v>63</v>
      </c>
      <c r="C68" s="21" t="s">
        <v>174</v>
      </c>
      <c r="D68" s="21" t="str">
        <f aca="false">IF($A68&lt;=5,"Core",IF($A68=6,"Stretch","Not this time"))</f>
        <v>Core</v>
      </c>
      <c r="E68" s="17"/>
      <c r="F68" s="18"/>
      <c r="G68" s="13" t="str">
        <f aca="false">IF($D68="Not this time","Not scheduled, above the target",IF($E68="","",IF($E68="R","Full worksheet, taught first",IF($E68="A","Work until 3 right in a row",IF($E68="G","2 question spot check later","")))))</f>
        <v/>
      </c>
      <c r="H68" s="19" t="s">
        <v>59</v>
      </c>
      <c r="I68" s="13" t="s">
        <v>175</v>
      </c>
      <c r="J68" s="19" t="s">
        <v>54</v>
      </c>
      <c r="K68" s="19" t="s">
        <v>55</v>
      </c>
      <c r="L68" s="19" t="s">
        <v>56</v>
      </c>
    </row>
    <row r="69" customFormat="false" ht="15" hidden="false" customHeight="false" outlineLevel="0" collapsed="false">
      <c r="A69" s="21" t="n">
        <v>5</v>
      </c>
      <c r="B69" s="21" t="s">
        <v>66</v>
      </c>
      <c r="C69" s="21" t="s">
        <v>176</v>
      </c>
      <c r="D69" s="21" t="str">
        <f aca="false">IF($A69&lt;=5,"Core",IF($A69=6,"Stretch","Not this time"))</f>
        <v>Core</v>
      </c>
      <c r="E69" s="17"/>
      <c r="F69" s="18"/>
      <c r="G69" s="13" t="str">
        <f aca="false">IF($D69="Not this time","Not scheduled, above the target",IF($E69="","",IF($E69="R","Full worksheet, taught first",IF($E69="A","Work until 3 right in a row",IF($E69="G","2 question spot check later","")))))</f>
        <v/>
      </c>
      <c r="H69" s="19" t="s">
        <v>59</v>
      </c>
      <c r="I69" s="13" t="s">
        <v>177</v>
      </c>
      <c r="J69" s="19" t="s">
        <v>54</v>
      </c>
      <c r="K69" s="19" t="s">
        <v>55</v>
      </c>
      <c r="L69" s="19" t="s">
        <v>56</v>
      </c>
    </row>
    <row r="70" customFormat="false" ht="15" hidden="false" customHeight="false" outlineLevel="0" collapsed="false">
      <c r="A70" s="21" t="n">
        <v>5</v>
      </c>
      <c r="B70" s="21" t="s">
        <v>69</v>
      </c>
      <c r="C70" s="21" t="s">
        <v>178</v>
      </c>
      <c r="D70" s="21" t="str">
        <f aca="false">IF($A70&lt;=5,"Core",IF($A70=6,"Stretch","Not this time"))</f>
        <v>Core</v>
      </c>
      <c r="E70" s="17"/>
      <c r="F70" s="18"/>
      <c r="G70" s="13" t="str">
        <f aca="false">IF($D70="Not this time","Not scheduled, above the target",IF($E70="","",IF($E70="R","Full worksheet, taught first",IF($E70="A","Work until 3 right in a row",IF($E70="G","2 question spot check later","")))))</f>
        <v/>
      </c>
      <c r="H70" s="19" t="s">
        <v>59</v>
      </c>
      <c r="I70" s="13" t="s">
        <v>179</v>
      </c>
      <c r="J70" s="19" t="s">
        <v>54</v>
      </c>
      <c r="K70" s="19" t="s">
        <v>55</v>
      </c>
      <c r="L70" s="19" t="s">
        <v>56</v>
      </c>
    </row>
    <row r="71" customFormat="false" ht="15" hidden="false" customHeight="false" outlineLevel="0" collapsed="false">
      <c r="A71" s="21" t="n">
        <v>5</v>
      </c>
      <c r="B71" s="21" t="s">
        <v>72</v>
      </c>
      <c r="C71" s="21" t="s">
        <v>180</v>
      </c>
      <c r="D71" s="21" t="str">
        <f aca="false">IF($A71&lt;=5,"Core",IF($A71=6,"Stretch","Not this time"))</f>
        <v>Core</v>
      </c>
      <c r="E71" s="17"/>
      <c r="F71" s="18"/>
      <c r="G71" s="13" t="str">
        <f aca="false">IF($D71="Not this time","Not scheduled, above the target",IF($E71="","",IF($E71="R","Full worksheet, taught first",IF($E71="A","Work until 3 right in a row",IF($E71="G","2 question spot check later","")))))</f>
        <v/>
      </c>
      <c r="H71" s="19" t="s">
        <v>59</v>
      </c>
      <c r="I71" s="13" t="s">
        <v>181</v>
      </c>
      <c r="J71" s="19" t="s">
        <v>54</v>
      </c>
      <c r="K71" s="19" t="s">
        <v>55</v>
      </c>
      <c r="L71" s="19" t="s">
        <v>56</v>
      </c>
    </row>
    <row r="72" customFormat="false" ht="15" hidden="false" customHeight="false" outlineLevel="0" collapsed="false">
      <c r="A72" s="21" t="n">
        <v>5</v>
      </c>
      <c r="B72" s="21" t="s">
        <v>74</v>
      </c>
      <c r="C72" s="21" t="s">
        <v>182</v>
      </c>
      <c r="D72" s="21" t="str">
        <f aca="false">IF($A72&lt;=5,"Core",IF($A72=6,"Stretch","Not this time"))</f>
        <v>Core</v>
      </c>
      <c r="E72" s="17"/>
      <c r="F72" s="18"/>
      <c r="G72" s="13" t="str">
        <f aca="false">IF($D72="Not this time","Not scheduled, above the target",IF($E72="","",IF($E72="R","Full worksheet, taught first",IF($E72="A","Work until 3 right in a row",IF($E72="G","2 question spot check later","")))))</f>
        <v/>
      </c>
      <c r="H72" s="19" t="s">
        <v>59</v>
      </c>
      <c r="I72" s="13" t="s">
        <v>183</v>
      </c>
      <c r="J72" s="19" t="s">
        <v>54</v>
      </c>
      <c r="K72" s="19" t="s">
        <v>55</v>
      </c>
      <c r="L72" s="19" t="s">
        <v>56</v>
      </c>
    </row>
    <row r="73" customFormat="false" ht="15" hidden="false" customHeight="false" outlineLevel="0" collapsed="false">
      <c r="A73" s="21" t="n">
        <v>5</v>
      </c>
      <c r="B73" s="21" t="s">
        <v>76</v>
      </c>
      <c r="C73" s="21" t="s">
        <v>184</v>
      </c>
      <c r="D73" s="21" t="str">
        <f aca="false">IF($A73&lt;=5,"Core",IF($A73=6,"Stretch","Not this time"))</f>
        <v>Core</v>
      </c>
      <c r="E73" s="17"/>
      <c r="F73" s="18"/>
      <c r="G73" s="13" t="str">
        <f aca="false">IF($D73="Not this time","Not scheduled, above the target",IF($E73="","",IF($E73="R","Full worksheet, taught first",IF($E73="A","Work until 3 right in a row",IF($E73="G","2 question spot check later","")))))</f>
        <v/>
      </c>
      <c r="H73" s="19" t="s">
        <v>59</v>
      </c>
      <c r="I73" s="13" t="s">
        <v>184</v>
      </c>
      <c r="J73" s="19" t="s">
        <v>54</v>
      </c>
      <c r="K73" s="19" t="s">
        <v>55</v>
      </c>
      <c r="L73" s="19" t="s">
        <v>56</v>
      </c>
    </row>
    <row r="74" customFormat="false" ht="15" hidden="false" customHeight="false" outlineLevel="0" collapsed="false">
      <c r="A74" s="21" t="n">
        <v>5</v>
      </c>
      <c r="B74" s="21" t="s">
        <v>79</v>
      </c>
      <c r="C74" s="21" t="s">
        <v>185</v>
      </c>
      <c r="D74" s="21" t="str">
        <f aca="false">IF($A74&lt;=5,"Core",IF($A74=6,"Stretch","Not this time"))</f>
        <v>Core</v>
      </c>
      <c r="E74" s="17"/>
      <c r="F74" s="18"/>
      <c r="G74" s="13" t="str">
        <f aca="false">IF($D74="Not this time","Not scheduled, above the target",IF($E74="","",IF($E74="R","Full worksheet, taught first",IF($E74="A","Work until 3 right in a row",IF($E74="G","2 question spot check later","")))))</f>
        <v/>
      </c>
      <c r="H74" s="19" t="s">
        <v>59</v>
      </c>
      <c r="I74" s="13" t="s">
        <v>186</v>
      </c>
      <c r="J74" s="19" t="s">
        <v>54</v>
      </c>
      <c r="K74" s="19" t="s">
        <v>55</v>
      </c>
      <c r="L74" s="19" t="s">
        <v>56</v>
      </c>
    </row>
    <row r="75" customFormat="false" ht="15" hidden="false" customHeight="false" outlineLevel="0" collapsed="false">
      <c r="A75" s="21" t="n">
        <v>5</v>
      </c>
      <c r="B75" s="21" t="s">
        <v>81</v>
      </c>
      <c r="C75" s="21" t="s">
        <v>187</v>
      </c>
      <c r="D75" s="21" t="str">
        <f aca="false">IF($A75&lt;=5,"Core",IF($A75=6,"Stretch","Not this time"))</f>
        <v>Core</v>
      </c>
      <c r="E75" s="17"/>
      <c r="F75" s="18"/>
      <c r="G75" s="13" t="str">
        <f aca="false">IF($D75="Not this time","Not scheduled, above the target",IF($E75="","",IF($E75="R","Full worksheet, taught first",IF($E75="A","Work until 3 right in a row",IF($E75="G","2 question spot check later","")))))</f>
        <v/>
      </c>
      <c r="H75" s="19" t="s">
        <v>59</v>
      </c>
      <c r="I75" s="13" t="s">
        <v>188</v>
      </c>
      <c r="J75" s="19" t="s">
        <v>54</v>
      </c>
      <c r="K75" s="19" t="s">
        <v>55</v>
      </c>
      <c r="L75" s="19" t="s">
        <v>56</v>
      </c>
    </row>
    <row r="76" customFormat="false" ht="15" hidden="false" customHeight="false" outlineLevel="0" collapsed="false">
      <c r="A76" s="21" t="n">
        <v>5</v>
      </c>
      <c r="B76" s="21" t="s">
        <v>84</v>
      </c>
      <c r="C76" s="21" t="s">
        <v>189</v>
      </c>
      <c r="D76" s="21" t="str">
        <f aca="false">IF($A76&lt;=5,"Core",IF($A76=6,"Stretch","Not this time"))</f>
        <v>Core</v>
      </c>
      <c r="E76" s="17"/>
      <c r="F76" s="18"/>
      <c r="G76" s="13" t="str">
        <f aca="false">IF($D76="Not this time","Not scheduled, above the target",IF($E76="","",IF($E76="R","Full worksheet, taught first",IF($E76="A","Work until 3 right in a row",IF($E76="G","2 question spot check later","")))))</f>
        <v/>
      </c>
      <c r="H76" s="19" t="s">
        <v>59</v>
      </c>
      <c r="I76" s="13" t="s">
        <v>190</v>
      </c>
      <c r="J76" s="19" t="s">
        <v>54</v>
      </c>
      <c r="K76" s="19" t="s">
        <v>55</v>
      </c>
      <c r="L76" s="19" t="s">
        <v>56</v>
      </c>
    </row>
    <row r="77" customFormat="false" ht="15" hidden="false" customHeight="false" outlineLevel="0" collapsed="false">
      <c r="A77" s="21" t="n">
        <v>5</v>
      </c>
      <c r="B77" s="21" t="s">
        <v>84</v>
      </c>
      <c r="C77" s="21" t="s">
        <v>191</v>
      </c>
      <c r="D77" s="21" t="str">
        <f aca="false">IF($A77&lt;=5,"Core",IF($A77=6,"Stretch","Not this time"))</f>
        <v>Core</v>
      </c>
      <c r="E77" s="17"/>
      <c r="F77" s="18"/>
      <c r="G77" s="13" t="str">
        <f aca="false">IF($D77="Not this time","Not scheduled, above the target",IF($E77="","",IF($E77="R","Full worksheet, taught first",IF($E77="A","Work until 3 right in a row",IF($E77="G","2 question spot check later","")))))</f>
        <v/>
      </c>
      <c r="H77" s="19" t="s">
        <v>59</v>
      </c>
      <c r="I77" s="13" t="s">
        <v>191</v>
      </c>
      <c r="J77" s="19" t="s">
        <v>54</v>
      </c>
      <c r="K77" s="19" t="s">
        <v>55</v>
      </c>
      <c r="L77" s="19" t="s">
        <v>56</v>
      </c>
    </row>
    <row r="78" customFormat="false" ht="15" hidden="false" customHeight="false" outlineLevel="0" collapsed="false">
      <c r="A78" s="21" t="n">
        <v>5</v>
      </c>
      <c r="B78" s="21" t="s">
        <v>86</v>
      </c>
      <c r="C78" s="21" t="s">
        <v>192</v>
      </c>
      <c r="D78" s="21" t="str">
        <f aca="false">IF($A78&lt;=5,"Core",IF($A78=6,"Stretch","Not this time"))</f>
        <v>Core</v>
      </c>
      <c r="E78" s="17"/>
      <c r="F78" s="18"/>
      <c r="G78" s="13" t="str">
        <f aca="false">IF($D78="Not this time","Not scheduled, above the target",IF($E78="","",IF($E78="R","Full worksheet, taught first",IF($E78="A","Work until 3 right in a row",IF($E78="G","2 question spot check later","")))))</f>
        <v/>
      </c>
      <c r="H78" s="19" t="s">
        <v>59</v>
      </c>
      <c r="I78" s="13" t="s">
        <v>88</v>
      </c>
      <c r="J78" s="19" t="s">
        <v>54</v>
      </c>
      <c r="K78" s="19" t="s">
        <v>55</v>
      </c>
      <c r="L78" s="19" t="s">
        <v>56</v>
      </c>
    </row>
    <row r="79" customFormat="false" ht="15" hidden="false" customHeight="false" outlineLevel="0" collapsed="false">
      <c r="A79" s="22" t="n">
        <v>6</v>
      </c>
      <c r="B79" s="22" t="s">
        <v>57</v>
      </c>
      <c r="C79" s="22" t="s">
        <v>193</v>
      </c>
      <c r="D79" s="22" t="str">
        <f aca="false">IF($A79&lt;=5,"Core",IF($A79=6,"Stretch","Not this time"))</f>
        <v>Stretch</v>
      </c>
      <c r="E79" s="17"/>
      <c r="F79" s="18"/>
      <c r="G79" s="13" t="str">
        <f aca="false">IF($D79="Not this time","Not scheduled, above the target",IF($E79="","",IF($E79="R","Full worksheet, taught first",IF($E79="A","Work until 3 right in a row",IF($E79="G","2 question spot check later","")))))</f>
        <v/>
      </c>
      <c r="H79" s="19" t="s">
        <v>59</v>
      </c>
      <c r="I79" s="13" t="s">
        <v>194</v>
      </c>
      <c r="J79" s="19" t="s">
        <v>54</v>
      </c>
      <c r="K79" s="19" t="s">
        <v>55</v>
      </c>
      <c r="L79" s="19" t="s">
        <v>56</v>
      </c>
    </row>
    <row r="80" customFormat="false" ht="15" hidden="false" customHeight="false" outlineLevel="0" collapsed="false">
      <c r="A80" s="22" t="n">
        <v>6</v>
      </c>
      <c r="B80" s="22" t="s">
        <v>61</v>
      </c>
      <c r="C80" s="22" t="s">
        <v>195</v>
      </c>
      <c r="D80" s="22" t="str">
        <f aca="false">IF($A80&lt;=5,"Core",IF($A80=6,"Stretch","Not this time"))</f>
        <v>Stretch</v>
      </c>
      <c r="E80" s="17"/>
      <c r="F80" s="18"/>
      <c r="G80" s="13" t="str">
        <f aca="false">IF($D80="Not this time","Not scheduled, above the target",IF($E80="","",IF($E80="R","Full worksheet, taught first",IF($E80="A","Work until 3 right in a row",IF($E80="G","2 question spot check later","")))))</f>
        <v/>
      </c>
      <c r="H80" s="19" t="s">
        <v>59</v>
      </c>
      <c r="I80" s="13" t="s">
        <v>48</v>
      </c>
      <c r="J80" s="19" t="s">
        <v>54</v>
      </c>
      <c r="K80" s="19" t="s">
        <v>55</v>
      </c>
      <c r="L80" s="19" t="s">
        <v>56</v>
      </c>
    </row>
    <row r="81" customFormat="false" ht="15" hidden="false" customHeight="false" outlineLevel="0" collapsed="false">
      <c r="A81" s="22" t="n">
        <v>6</v>
      </c>
      <c r="B81" s="22" t="s">
        <v>63</v>
      </c>
      <c r="C81" s="22" t="s">
        <v>196</v>
      </c>
      <c r="D81" s="22" t="str">
        <f aca="false">IF($A81&lt;=5,"Core",IF($A81=6,"Stretch","Not this time"))</f>
        <v>Stretch</v>
      </c>
      <c r="E81" s="17"/>
      <c r="F81" s="18"/>
      <c r="G81" s="13" t="str">
        <f aca="false">IF($D81="Not this time","Not scheduled, above the target",IF($E81="","",IF($E81="R","Full worksheet, taught first",IF($E81="A","Work until 3 right in a row",IF($E81="G","2 question spot check later","")))))</f>
        <v/>
      </c>
      <c r="H81" s="19" t="s">
        <v>59</v>
      </c>
      <c r="I81" s="13" t="s">
        <v>197</v>
      </c>
      <c r="J81" s="19" t="s">
        <v>54</v>
      </c>
      <c r="K81" s="19" t="s">
        <v>55</v>
      </c>
      <c r="L81" s="19" t="s">
        <v>56</v>
      </c>
    </row>
    <row r="82" customFormat="false" ht="15" hidden="false" customHeight="false" outlineLevel="0" collapsed="false">
      <c r="A82" s="22" t="n">
        <v>6</v>
      </c>
      <c r="B82" s="22" t="s">
        <v>66</v>
      </c>
      <c r="C82" s="22" t="s">
        <v>198</v>
      </c>
      <c r="D82" s="22" t="str">
        <f aca="false">IF($A82&lt;=5,"Core",IF($A82=6,"Stretch","Not this time"))</f>
        <v>Stretch</v>
      </c>
      <c r="E82" s="17"/>
      <c r="F82" s="18"/>
      <c r="G82" s="13" t="str">
        <f aca="false">IF($D82="Not this time","Not scheduled, above the target",IF($E82="","",IF($E82="R","Full worksheet, taught first",IF($E82="A","Work until 3 right in a row",IF($E82="G","2 question spot check later","")))))</f>
        <v/>
      </c>
      <c r="H82" s="19" t="s">
        <v>59</v>
      </c>
      <c r="I82" s="13" t="s">
        <v>198</v>
      </c>
      <c r="J82" s="19" t="s">
        <v>54</v>
      </c>
      <c r="K82" s="19" t="s">
        <v>55</v>
      </c>
      <c r="L82" s="19" t="s">
        <v>56</v>
      </c>
    </row>
    <row r="83" customFormat="false" ht="15" hidden="false" customHeight="false" outlineLevel="0" collapsed="false">
      <c r="A83" s="22" t="n">
        <v>6</v>
      </c>
      <c r="B83" s="22" t="s">
        <v>69</v>
      </c>
      <c r="C83" s="22" t="s">
        <v>199</v>
      </c>
      <c r="D83" s="22" t="str">
        <f aca="false">IF($A83&lt;=5,"Core",IF($A83=6,"Stretch","Not this time"))</f>
        <v>Stretch</v>
      </c>
      <c r="E83" s="17"/>
      <c r="F83" s="18"/>
      <c r="G83" s="13" t="str">
        <f aca="false">IF($D83="Not this time","Not scheduled, above the target",IF($E83="","",IF($E83="R","Full worksheet, taught first",IF($E83="A","Work until 3 right in a row",IF($E83="G","2 question spot check later","")))))</f>
        <v/>
      </c>
      <c r="H83" s="19" t="s">
        <v>59</v>
      </c>
      <c r="I83" s="13" t="s">
        <v>200</v>
      </c>
      <c r="J83" s="19" t="s">
        <v>54</v>
      </c>
      <c r="K83" s="19" t="s">
        <v>55</v>
      </c>
      <c r="L83" s="19" t="s">
        <v>56</v>
      </c>
    </row>
    <row r="84" customFormat="false" ht="15" hidden="false" customHeight="false" outlineLevel="0" collapsed="false">
      <c r="A84" s="22" t="n">
        <v>6</v>
      </c>
      <c r="B84" s="22" t="s">
        <v>72</v>
      </c>
      <c r="C84" s="22" t="s">
        <v>201</v>
      </c>
      <c r="D84" s="22" t="str">
        <f aca="false">IF($A84&lt;=5,"Core",IF($A84=6,"Stretch","Not this time"))</f>
        <v>Stretch</v>
      </c>
      <c r="E84" s="17"/>
      <c r="F84" s="18"/>
      <c r="G84" s="13" t="str">
        <f aca="false">IF($D84="Not this time","Not scheduled, above the target",IF($E84="","",IF($E84="R","Full worksheet, taught first",IF($E84="A","Work until 3 right in a row",IF($E84="G","2 question spot check later","")))))</f>
        <v/>
      </c>
      <c r="H84" s="19" t="s">
        <v>59</v>
      </c>
      <c r="I84" s="13" t="s">
        <v>202</v>
      </c>
      <c r="J84" s="19" t="s">
        <v>54</v>
      </c>
      <c r="K84" s="19" t="s">
        <v>55</v>
      </c>
      <c r="L84" s="19" t="s">
        <v>56</v>
      </c>
    </row>
    <row r="85" customFormat="false" ht="15" hidden="false" customHeight="false" outlineLevel="0" collapsed="false">
      <c r="A85" s="22" t="n">
        <v>6</v>
      </c>
      <c r="B85" s="22" t="s">
        <v>74</v>
      </c>
      <c r="C85" s="22" t="s">
        <v>203</v>
      </c>
      <c r="D85" s="22" t="str">
        <f aca="false">IF($A85&lt;=5,"Core",IF($A85=6,"Stretch","Not this time"))</f>
        <v>Stretch</v>
      </c>
      <c r="E85" s="17"/>
      <c r="F85" s="18"/>
      <c r="G85" s="13" t="str">
        <f aca="false">IF($D85="Not this time","Not scheduled, above the target",IF($E85="","",IF($E85="R","Full worksheet, taught first",IF($E85="A","Work until 3 right in a row",IF($E85="G","2 question spot check later","")))))</f>
        <v/>
      </c>
      <c r="H85" s="19" t="s">
        <v>59</v>
      </c>
      <c r="I85" s="13" t="s">
        <v>204</v>
      </c>
      <c r="J85" s="19" t="s">
        <v>54</v>
      </c>
      <c r="K85" s="19" t="s">
        <v>55</v>
      </c>
      <c r="L85" s="19" t="s">
        <v>56</v>
      </c>
    </row>
    <row r="86" customFormat="false" ht="15" hidden="false" customHeight="false" outlineLevel="0" collapsed="false">
      <c r="A86" s="22" t="n">
        <v>6</v>
      </c>
      <c r="B86" s="22" t="s">
        <v>76</v>
      </c>
      <c r="C86" s="22" t="s">
        <v>205</v>
      </c>
      <c r="D86" s="22" t="str">
        <f aca="false">IF($A86&lt;=5,"Core",IF($A86=6,"Stretch","Not this time"))</f>
        <v>Stretch</v>
      </c>
      <c r="E86" s="17"/>
      <c r="F86" s="18"/>
      <c r="G86" s="13" t="str">
        <f aca="false">IF($D86="Not this time","Not scheduled, above the target",IF($E86="","",IF($E86="R","Full worksheet, taught first",IF($E86="A","Work until 3 right in a row",IF($E86="G","2 question spot check later","")))))</f>
        <v/>
      </c>
      <c r="H86" s="19" t="s">
        <v>59</v>
      </c>
      <c r="I86" s="13" t="s">
        <v>206</v>
      </c>
      <c r="J86" s="19" t="s">
        <v>54</v>
      </c>
      <c r="K86" s="19" t="s">
        <v>55</v>
      </c>
      <c r="L86" s="19" t="s">
        <v>56</v>
      </c>
    </row>
    <row r="87" customFormat="false" ht="15" hidden="false" customHeight="false" outlineLevel="0" collapsed="false">
      <c r="A87" s="22" t="n">
        <v>6</v>
      </c>
      <c r="B87" s="22" t="s">
        <v>79</v>
      </c>
      <c r="C87" s="22" t="s">
        <v>185</v>
      </c>
      <c r="D87" s="22" t="str">
        <f aca="false">IF($A87&lt;=5,"Core",IF($A87=6,"Stretch","Not this time"))</f>
        <v>Stretch</v>
      </c>
      <c r="E87" s="17"/>
      <c r="F87" s="18"/>
      <c r="G87" s="13" t="str">
        <f aca="false">IF($D87="Not this time","Not scheduled, above the target",IF($E87="","",IF($E87="R","Full worksheet, taught first",IF($E87="A","Work until 3 right in a row",IF($E87="G","2 question spot check later","")))))</f>
        <v/>
      </c>
      <c r="H87" s="19" t="s">
        <v>59</v>
      </c>
      <c r="I87" s="13" t="s">
        <v>186</v>
      </c>
      <c r="J87" s="19" t="s">
        <v>54</v>
      </c>
      <c r="K87" s="19" t="s">
        <v>55</v>
      </c>
      <c r="L87" s="19" t="s">
        <v>56</v>
      </c>
    </row>
    <row r="88" customFormat="false" ht="15" hidden="false" customHeight="false" outlineLevel="0" collapsed="false">
      <c r="A88" s="22" t="n">
        <v>6</v>
      </c>
      <c r="B88" s="22" t="s">
        <v>81</v>
      </c>
      <c r="C88" s="22" t="s">
        <v>207</v>
      </c>
      <c r="D88" s="22" t="str">
        <f aca="false">IF($A88&lt;=5,"Core",IF($A88=6,"Stretch","Not this time"))</f>
        <v>Stretch</v>
      </c>
      <c r="E88" s="17"/>
      <c r="F88" s="18"/>
      <c r="G88" s="13" t="str">
        <f aca="false">IF($D88="Not this time","Not scheduled, above the target",IF($E88="","",IF($E88="R","Full worksheet, taught first",IF($E88="A","Work until 3 right in a row",IF($E88="G","2 question spot check later","")))))</f>
        <v/>
      </c>
      <c r="H88" s="19" t="s">
        <v>59</v>
      </c>
      <c r="I88" s="13" t="s">
        <v>164</v>
      </c>
      <c r="J88" s="19" t="s">
        <v>54</v>
      </c>
      <c r="K88" s="19" t="s">
        <v>55</v>
      </c>
      <c r="L88" s="19" t="s">
        <v>56</v>
      </c>
    </row>
    <row r="89" customFormat="false" ht="15" hidden="false" customHeight="false" outlineLevel="0" collapsed="false">
      <c r="A89" s="22" t="n">
        <v>6</v>
      </c>
      <c r="B89" s="22" t="s">
        <v>84</v>
      </c>
      <c r="C89" s="22" t="s">
        <v>208</v>
      </c>
      <c r="D89" s="22" t="str">
        <f aca="false">IF($A89&lt;=5,"Core",IF($A89=6,"Stretch","Not this time"))</f>
        <v>Stretch</v>
      </c>
      <c r="E89" s="17"/>
      <c r="F89" s="18"/>
      <c r="G89" s="13" t="str">
        <f aca="false">IF($D89="Not this time","Not scheduled, above the target",IF($E89="","",IF($E89="R","Full worksheet, taught first",IF($E89="A","Work until 3 right in a row",IF($E89="G","2 question spot check later","")))))</f>
        <v/>
      </c>
      <c r="H89" s="19" t="s">
        <v>59</v>
      </c>
      <c r="I89" s="13" t="s">
        <v>209</v>
      </c>
      <c r="J89" s="19" t="s">
        <v>54</v>
      </c>
      <c r="K89" s="19" t="s">
        <v>55</v>
      </c>
      <c r="L89" s="19" t="s">
        <v>56</v>
      </c>
    </row>
    <row r="90" customFormat="false" ht="15" hidden="false" customHeight="false" outlineLevel="0" collapsed="false">
      <c r="A90" s="22" t="n">
        <v>6</v>
      </c>
      <c r="B90" s="22" t="s">
        <v>86</v>
      </c>
      <c r="C90" s="22" t="s">
        <v>210</v>
      </c>
      <c r="D90" s="22" t="str">
        <f aca="false">IF($A90&lt;=5,"Core",IF($A90=6,"Stretch","Not this time"))</f>
        <v>Stretch</v>
      </c>
      <c r="E90" s="17"/>
      <c r="F90" s="18"/>
      <c r="G90" s="13" t="str">
        <f aca="false">IF($D90="Not this time","Not scheduled, above the target",IF($E90="","",IF($E90="R","Full worksheet, taught first",IF($E90="A","Work until 3 right in a row",IF($E90="G","2 question spot check later","")))))</f>
        <v/>
      </c>
      <c r="H90" s="19" t="s">
        <v>59</v>
      </c>
      <c r="I90" s="13" t="s">
        <v>211</v>
      </c>
      <c r="J90" s="19" t="s">
        <v>54</v>
      </c>
      <c r="K90" s="19" t="s">
        <v>55</v>
      </c>
      <c r="L90" s="19" t="s">
        <v>56</v>
      </c>
    </row>
    <row r="91" customFormat="false" ht="15" hidden="false" customHeight="false" outlineLevel="0" collapsed="false">
      <c r="A91" s="22" t="n">
        <v>6</v>
      </c>
      <c r="B91" s="22" t="s">
        <v>109</v>
      </c>
      <c r="C91" s="22" t="s">
        <v>212</v>
      </c>
      <c r="D91" s="22" t="str">
        <f aca="false">IF($A91&lt;=5,"Core",IF($A91=6,"Stretch","Not this time"))</f>
        <v>Stretch</v>
      </c>
      <c r="E91" s="17"/>
      <c r="F91" s="18"/>
      <c r="G91" s="13" t="str">
        <f aca="false">IF($D91="Not this time","Not scheduled, above the target",IF($E91="","",IF($E91="R","Full worksheet, taught first",IF($E91="A","Work until 3 right in a row",IF($E91="G","2 question spot check later","")))))</f>
        <v/>
      </c>
      <c r="H91" s="19" t="s">
        <v>59</v>
      </c>
      <c r="I91" s="13" t="s">
        <v>213</v>
      </c>
      <c r="J91" s="19" t="s">
        <v>54</v>
      </c>
      <c r="K91" s="19" t="s">
        <v>55</v>
      </c>
      <c r="L91" s="19" t="s">
        <v>56</v>
      </c>
    </row>
    <row r="92" customFormat="false" ht="15" hidden="false" customHeight="false" outlineLevel="0" collapsed="false">
      <c r="A92" s="22" t="n">
        <v>6</v>
      </c>
      <c r="B92" s="22" t="s">
        <v>111</v>
      </c>
      <c r="C92" s="22" t="s">
        <v>214</v>
      </c>
      <c r="D92" s="22" t="str">
        <f aca="false">IF($A92&lt;=5,"Core",IF($A92=6,"Stretch","Not this time"))</f>
        <v>Stretch</v>
      </c>
      <c r="E92" s="17"/>
      <c r="F92" s="18"/>
      <c r="G92" s="13" t="str">
        <f aca="false">IF($D92="Not this time","Not scheduled, above the target",IF($E92="","",IF($E92="R","Full worksheet, taught first",IF($E92="A","Work until 3 right in a row",IF($E92="G","2 question spot check later","")))))</f>
        <v/>
      </c>
      <c r="H92" s="19" t="s">
        <v>59</v>
      </c>
      <c r="I92" s="13" t="s">
        <v>214</v>
      </c>
      <c r="J92" s="19" t="s">
        <v>54</v>
      </c>
      <c r="K92" s="19" t="s">
        <v>55</v>
      </c>
      <c r="L92" s="19" t="s">
        <v>56</v>
      </c>
    </row>
    <row r="93" customFormat="false" ht="15" hidden="false" customHeight="false" outlineLevel="0" collapsed="false">
      <c r="A93" s="22" t="n">
        <v>6</v>
      </c>
      <c r="B93" s="22" t="s">
        <v>114</v>
      </c>
      <c r="C93" s="22" t="s">
        <v>215</v>
      </c>
      <c r="D93" s="22" t="str">
        <f aca="false">IF($A93&lt;=5,"Core",IF($A93=6,"Stretch","Not this time"))</f>
        <v>Stretch</v>
      </c>
      <c r="E93" s="17"/>
      <c r="F93" s="18"/>
      <c r="G93" s="13" t="str">
        <f aca="false">IF($D93="Not this time","Not scheduled, above the target",IF($E93="","",IF($E93="R","Full worksheet, taught first",IF($E93="A","Work until 3 right in a row",IF($E93="G","2 question spot check later","")))))</f>
        <v/>
      </c>
      <c r="H93" s="19" t="s">
        <v>59</v>
      </c>
      <c r="I93" s="13" t="s">
        <v>216</v>
      </c>
      <c r="J93" s="19" t="s">
        <v>54</v>
      </c>
      <c r="K93" s="19" t="s">
        <v>55</v>
      </c>
      <c r="L93" s="19" t="s">
        <v>56</v>
      </c>
    </row>
    <row r="94" customFormat="false" ht="15" hidden="false" customHeight="false" outlineLevel="0" collapsed="false">
      <c r="A94" s="22" t="n">
        <v>6</v>
      </c>
      <c r="B94" s="22" t="s">
        <v>116</v>
      </c>
      <c r="C94" s="22" t="s">
        <v>217</v>
      </c>
      <c r="D94" s="22" t="str">
        <f aca="false">IF($A94&lt;=5,"Core",IF($A94=6,"Stretch","Not this time"))</f>
        <v>Stretch</v>
      </c>
      <c r="E94" s="17"/>
      <c r="F94" s="18"/>
      <c r="G94" s="13" t="str">
        <f aca="false">IF($D94="Not this time","Not scheduled, above the target",IF($E94="","",IF($E94="R","Full worksheet, taught first",IF($E94="A","Work until 3 right in a row",IF($E94="G","2 question spot check later","")))))</f>
        <v/>
      </c>
      <c r="H94" s="19" t="s">
        <v>59</v>
      </c>
      <c r="I94" s="13" t="s">
        <v>218</v>
      </c>
      <c r="J94" s="19" t="s">
        <v>54</v>
      </c>
      <c r="K94" s="19" t="s">
        <v>55</v>
      </c>
      <c r="L94" s="19" t="s">
        <v>56</v>
      </c>
    </row>
    <row r="95" customFormat="false" ht="15" hidden="false" customHeight="false" outlineLevel="0" collapsed="false">
      <c r="A95" s="22" t="n">
        <v>6</v>
      </c>
      <c r="B95" s="22" t="s">
        <v>141</v>
      </c>
      <c r="C95" s="22" t="s">
        <v>219</v>
      </c>
      <c r="D95" s="22" t="str">
        <f aca="false">IF($A95&lt;=5,"Core",IF($A95=6,"Stretch","Not this time"))</f>
        <v>Stretch</v>
      </c>
      <c r="E95" s="17"/>
      <c r="F95" s="18"/>
      <c r="G95" s="13" t="str">
        <f aca="false">IF($D95="Not this time","Not scheduled, above the target",IF($E95="","",IF($E95="R","Full worksheet, taught first",IF($E95="A","Work until 3 right in a row",IF($E95="G","2 question spot check later","")))))</f>
        <v/>
      </c>
      <c r="H95" s="19" t="s">
        <v>59</v>
      </c>
      <c r="I95" s="13" t="s">
        <v>220</v>
      </c>
      <c r="J95" s="19" t="s">
        <v>54</v>
      </c>
      <c r="K95" s="19" t="s">
        <v>55</v>
      </c>
      <c r="L95" s="19" t="s">
        <v>56</v>
      </c>
    </row>
    <row r="96" customFormat="false" ht="15" hidden="false" customHeight="false" outlineLevel="0" collapsed="false">
      <c r="A96" s="23" t="n">
        <v>7</v>
      </c>
      <c r="B96" s="23" t="s">
        <v>57</v>
      </c>
      <c r="C96" s="23" t="s">
        <v>221</v>
      </c>
      <c r="D96" s="23" t="str">
        <f aca="false">IF($A96&lt;=5,"Core",IF($A96=6,"Stretch","Not this time"))</f>
        <v>Not this time</v>
      </c>
      <c r="E96" s="17"/>
      <c r="F96" s="18"/>
      <c r="G96" s="13" t="str">
        <f aca="false">IF($D96="Not this time","Not scheduled, above the target",IF($E96="","",IF($E96="R","Full worksheet, taught first",IF($E96="A","Work until 3 right in a row",IF($E96="G","2 question spot check later","")))))</f>
        <v>Not scheduled, above the target</v>
      </c>
      <c r="H96" s="19" t="s">
        <v>59</v>
      </c>
      <c r="I96" s="13" t="s">
        <v>221</v>
      </c>
      <c r="J96" s="19" t="s">
        <v>54</v>
      </c>
      <c r="K96" s="19" t="s">
        <v>55</v>
      </c>
      <c r="L96" s="19" t="s">
        <v>56</v>
      </c>
    </row>
    <row r="97" customFormat="false" ht="15" hidden="false" customHeight="false" outlineLevel="0" collapsed="false">
      <c r="A97" s="23" t="n">
        <v>7</v>
      </c>
      <c r="B97" s="23" t="s">
        <v>61</v>
      </c>
      <c r="C97" s="23" t="s">
        <v>222</v>
      </c>
      <c r="D97" s="23" t="str">
        <f aca="false">IF($A97&lt;=5,"Core",IF($A97=6,"Stretch","Not this time"))</f>
        <v>Not this time</v>
      </c>
      <c r="E97" s="17"/>
      <c r="F97" s="18"/>
      <c r="G97" s="13" t="str">
        <f aca="false">IF($D97="Not this time","Not scheduled, above the target",IF($E97="","",IF($E97="R","Full worksheet, taught first",IF($E97="A","Work until 3 right in a row",IF($E97="G","2 question spot check later","")))))</f>
        <v>Not scheduled, above the target</v>
      </c>
      <c r="H97" s="19" t="s">
        <v>59</v>
      </c>
      <c r="I97" s="13" t="s">
        <v>222</v>
      </c>
      <c r="J97" s="19" t="s">
        <v>54</v>
      </c>
      <c r="K97" s="19" t="s">
        <v>55</v>
      </c>
      <c r="L97" s="19" t="s">
        <v>56</v>
      </c>
    </row>
    <row r="98" customFormat="false" ht="15" hidden="false" customHeight="false" outlineLevel="0" collapsed="false">
      <c r="A98" s="23" t="n">
        <v>7</v>
      </c>
      <c r="B98" s="23" t="s">
        <v>63</v>
      </c>
      <c r="C98" s="23" t="s">
        <v>196</v>
      </c>
      <c r="D98" s="23" t="str">
        <f aca="false">IF($A98&lt;=5,"Core",IF($A98=6,"Stretch","Not this time"))</f>
        <v>Not this time</v>
      </c>
      <c r="E98" s="17"/>
      <c r="F98" s="18"/>
      <c r="G98" s="13" t="str">
        <f aca="false">IF($D98="Not this time","Not scheduled, above the target",IF($E98="","",IF($E98="R","Full worksheet, taught first",IF($E98="A","Work until 3 right in a row",IF($E98="G","2 question spot check later","")))))</f>
        <v>Not scheduled, above the target</v>
      </c>
      <c r="H98" s="19" t="s">
        <v>59</v>
      </c>
      <c r="I98" s="13" t="s">
        <v>197</v>
      </c>
      <c r="J98" s="19" t="s">
        <v>54</v>
      </c>
      <c r="K98" s="19" t="s">
        <v>55</v>
      </c>
      <c r="L98" s="19" t="s">
        <v>56</v>
      </c>
    </row>
    <row r="99" customFormat="false" ht="15" hidden="false" customHeight="false" outlineLevel="0" collapsed="false">
      <c r="A99" s="23" t="n">
        <v>7</v>
      </c>
      <c r="B99" s="23" t="s">
        <v>66</v>
      </c>
      <c r="C99" s="23" t="s">
        <v>223</v>
      </c>
      <c r="D99" s="23" t="str">
        <f aca="false">IF($A99&lt;=5,"Core",IF($A99=6,"Stretch","Not this time"))</f>
        <v>Not this time</v>
      </c>
      <c r="E99" s="17"/>
      <c r="F99" s="18"/>
      <c r="G99" s="13" t="str">
        <f aca="false">IF($D99="Not this time","Not scheduled, above the target",IF($E99="","",IF($E99="R","Full worksheet, taught first",IF($E99="A","Work until 3 right in a row",IF($E99="G","2 question spot check later","")))))</f>
        <v>Not scheduled, above the target</v>
      </c>
      <c r="H99" s="19" t="s">
        <v>59</v>
      </c>
      <c r="I99" s="13" t="s">
        <v>181</v>
      </c>
      <c r="J99" s="19" t="s">
        <v>54</v>
      </c>
      <c r="K99" s="19" t="s">
        <v>55</v>
      </c>
      <c r="L99" s="19" t="s">
        <v>56</v>
      </c>
    </row>
    <row r="100" customFormat="false" ht="15" hidden="false" customHeight="false" outlineLevel="0" collapsed="false">
      <c r="A100" s="23" t="n">
        <v>7</v>
      </c>
      <c r="B100" s="23" t="s">
        <v>69</v>
      </c>
      <c r="C100" s="23" t="s">
        <v>224</v>
      </c>
      <c r="D100" s="23" t="str">
        <f aca="false">IF($A100&lt;=5,"Core",IF($A100=6,"Stretch","Not this time"))</f>
        <v>Not this time</v>
      </c>
      <c r="E100" s="17"/>
      <c r="F100" s="18"/>
      <c r="G100" s="13" t="str">
        <f aca="false">IF($D100="Not this time","Not scheduled, above the target",IF($E100="","",IF($E100="R","Full worksheet, taught first",IF($E100="A","Work until 3 right in a row",IF($E100="G","2 question spot check later","")))))</f>
        <v>Not scheduled, above the target</v>
      </c>
      <c r="H100" s="19" t="s">
        <v>59</v>
      </c>
      <c r="I100" s="13" t="s">
        <v>179</v>
      </c>
      <c r="J100" s="19" t="s">
        <v>54</v>
      </c>
      <c r="K100" s="19" t="s">
        <v>55</v>
      </c>
      <c r="L100" s="19" t="s">
        <v>56</v>
      </c>
    </row>
    <row r="101" customFormat="false" ht="15" hidden="false" customHeight="false" outlineLevel="0" collapsed="false">
      <c r="A101" s="23" t="n">
        <v>7</v>
      </c>
      <c r="B101" s="23" t="s">
        <v>72</v>
      </c>
      <c r="C101" s="23" t="s">
        <v>225</v>
      </c>
      <c r="D101" s="23" t="str">
        <f aca="false">IF($A101&lt;=5,"Core",IF($A101=6,"Stretch","Not this time"))</f>
        <v>Not this time</v>
      </c>
      <c r="E101" s="17"/>
      <c r="F101" s="18"/>
      <c r="G101" s="13" t="str">
        <f aca="false">IF($D101="Not this time","Not scheduled, above the target",IF($E101="","",IF($E101="R","Full worksheet, taught first",IF($E101="A","Work until 3 right in a row",IF($E101="G","2 question spot check later","")))))</f>
        <v>Not scheduled, above the target</v>
      </c>
      <c r="H101" s="19" t="s">
        <v>59</v>
      </c>
      <c r="I101" s="13" t="s">
        <v>225</v>
      </c>
      <c r="J101" s="19" t="s">
        <v>54</v>
      </c>
      <c r="K101" s="19" t="s">
        <v>55</v>
      </c>
      <c r="L101" s="19" t="s">
        <v>56</v>
      </c>
    </row>
    <row r="102" customFormat="false" ht="15" hidden="false" customHeight="false" outlineLevel="0" collapsed="false">
      <c r="A102" s="23" t="n">
        <v>7</v>
      </c>
      <c r="B102" s="23" t="s">
        <v>74</v>
      </c>
      <c r="C102" s="23" t="s">
        <v>226</v>
      </c>
      <c r="D102" s="23" t="str">
        <f aca="false">IF($A102&lt;=5,"Core",IF($A102=6,"Stretch","Not this time"))</f>
        <v>Not this time</v>
      </c>
      <c r="E102" s="17"/>
      <c r="F102" s="18"/>
      <c r="G102" s="13" t="str">
        <f aca="false">IF($D102="Not this time","Not scheduled, above the target",IF($E102="","",IF($E102="R","Full worksheet, taught first",IF($E102="A","Work until 3 right in a row",IF($E102="G","2 question spot check later","")))))</f>
        <v>Not scheduled, above the target</v>
      </c>
      <c r="H102" s="19" t="s">
        <v>59</v>
      </c>
      <c r="I102" s="13" t="s">
        <v>177</v>
      </c>
      <c r="J102" s="19" t="s">
        <v>54</v>
      </c>
      <c r="K102" s="19" t="s">
        <v>55</v>
      </c>
      <c r="L102" s="19" t="s">
        <v>56</v>
      </c>
    </row>
    <row r="103" customFormat="false" ht="15" hidden="false" customHeight="false" outlineLevel="0" collapsed="false">
      <c r="A103" s="23" t="n">
        <v>7</v>
      </c>
      <c r="B103" s="23" t="s">
        <v>76</v>
      </c>
      <c r="C103" s="23" t="s">
        <v>227</v>
      </c>
      <c r="D103" s="23" t="str">
        <f aca="false">IF($A103&lt;=5,"Core",IF($A103=6,"Stretch","Not this time"))</f>
        <v>Not this time</v>
      </c>
      <c r="E103" s="17"/>
      <c r="F103" s="18"/>
      <c r="G103" s="13" t="str">
        <f aca="false">IF($D103="Not this time","Not scheduled, above the target",IF($E103="","",IF($E103="R","Full worksheet, taught first",IF($E103="A","Work until 3 right in a row",IF($E103="G","2 question spot check later","")))))</f>
        <v>Not scheduled, above the target</v>
      </c>
      <c r="H103" s="19" t="s">
        <v>59</v>
      </c>
      <c r="I103" s="13" t="s">
        <v>228</v>
      </c>
      <c r="J103" s="19" t="s">
        <v>54</v>
      </c>
      <c r="K103" s="19" t="s">
        <v>55</v>
      </c>
      <c r="L103" s="19" t="s">
        <v>56</v>
      </c>
    </row>
    <row r="104" customFormat="false" ht="15" hidden="false" customHeight="false" outlineLevel="0" collapsed="false">
      <c r="A104" s="23" t="n">
        <v>7</v>
      </c>
      <c r="B104" s="23" t="s">
        <v>79</v>
      </c>
      <c r="C104" s="23" t="s">
        <v>229</v>
      </c>
      <c r="D104" s="23" t="str">
        <f aca="false">IF($A104&lt;=5,"Core",IF($A104=6,"Stretch","Not this time"))</f>
        <v>Not this time</v>
      </c>
      <c r="E104" s="17"/>
      <c r="F104" s="18"/>
      <c r="G104" s="13" t="str">
        <f aca="false">IF($D104="Not this time","Not scheduled, above the target",IF($E104="","",IF($E104="R","Full worksheet, taught first",IF($E104="A","Work until 3 right in a row",IF($E104="G","2 question spot check later","")))))</f>
        <v>Not scheduled, above the target</v>
      </c>
      <c r="H104" s="19" t="s">
        <v>59</v>
      </c>
      <c r="I104" s="13" t="s">
        <v>230</v>
      </c>
      <c r="J104" s="19" t="s">
        <v>54</v>
      </c>
      <c r="K104" s="19" t="s">
        <v>55</v>
      </c>
      <c r="L104" s="19" t="s">
        <v>56</v>
      </c>
    </row>
    <row r="105" customFormat="false" ht="15" hidden="false" customHeight="false" outlineLevel="0" collapsed="false">
      <c r="A105" s="23" t="n">
        <v>7</v>
      </c>
      <c r="B105" s="23" t="s">
        <v>81</v>
      </c>
      <c r="C105" s="23" t="s">
        <v>231</v>
      </c>
      <c r="D105" s="23" t="str">
        <f aca="false">IF($A105&lt;=5,"Core",IF($A105=6,"Stretch","Not this time"))</f>
        <v>Not this time</v>
      </c>
      <c r="E105" s="17"/>
      <c r="F105" s="18"/>
      <c r="G105" s="13" t="str">
        <f aca="false">IF($D105="Not this time","Not scheduled, above the target",IF($E105="","",IF($E105="R","Full worksheet, taught first",IF($E105="A","Work until 3 right in a row",IF($E105="G","2 question spot check later","")))))</f>
        <v>Not scheduled, above the target</v>
      </c>
      <c r="H105" s="19" t="s">
        <v>59</v>
      </c>
      <c r="I105" s="13" t="s">
        <v>230</v>
      </c>
      <c r="J105" s="19" t="s">
        <v>54</v>
      </c>
      <c r="K105" s="19" t="s">
        <v>55</v>
      </c>
      <c r="L105" s="19" t="s">
        <v>56</v>
      </c>
    </row>
    <row r="106" customFormat="false" ht="15" hidden="false" customHeight="false" outlineLevel="0" collapsed="false">
      <c r="A106" s="23" t="n">
        <v>7</v>
      </c>
      <c r="B106" s="23" t="s">
        <v>84</v>
      </c>
      <c r="C106" s="23" t="s">
        <v>232</v>
      </c>
      <c r="D106" s="23" t="str">
        <f aca="false">IF($A106&lt;=5,"Core",IF($A106=6,"Stretch","Not this time"))</f>
        <v>Not this time</v>
      </c>
      <c r="E106" s="17"/>
      <c r="F106" s="18"/>
      <c r="G106" s="13" t="str">
        <f aca="false">IF($D106="Not this time","Not scheduled, above the target",IF($E106="","",IF($E106="R","Full worksheet, taught first",IF($E106="A","Work until 3 right in a row",IF($E106="G","2 question spot check later","")))))</f>
        <v>Not scheduled, above the target</v>
      </c>
      <c r="H106" s="19" t="s">
        <v>59</v>
      </c>
      <c r="I106" s="13" t="s">
        <v>230</v>
      </c>
      <c r="J106" s="19" t="s">
        <v>54</v>
      </c>
      <c r="K106" s="19" t="s">
        <v>55</v>
      </c>
      <c r="L106" s="19" t="s">
        <v>56</v>
      </c>
    </row>
    <row r="107" customFormat="false" ht="15" hidden="false" customHeight="false" outlineLevel="0" collapsed="false">
      <c r="A107" s="23" t="n">
        <v>7</v>
      </c>
      <c r="B107" s="23" t="s">
        <v>86</v>
      </c>
      <c r="C107" s="23" t="s">
        <v>233</v>
      </c>
      <c r="D107" s="23" t="str">
        <f aca="false">IF($A107&lt;=5,"Core",IF($A107=6,"Stretch","Not this time"))</f>
        <v>Not this time</v>
      </c>
      <c r="E107" s="17"/>
      <c r="F107" s="18"/>
      <c r="G107" s="13" t="str">
        <f aca="false">IF($D107="Not this time","Not scheduled, above the target",IF($E107="","",IF($E107="R","Full worksheet, taught first",IF($E107="A","Work until 3 right in a row",IF($E107="G","2 question spot check later","")))))</f>
        <v>Not scheduled, above the target</v>
      </c>
      <c r="H107" s="19" t="s">
        <v>59</v>
      </c>
      <c r="I107" s="13" t="s">
        <v>234</v>
      </c>
      <c r="J107" s="19" t="s">
        <v>54</v>
      </c>
      <c r="K107" s="19" t="s">
        <v>55</v>
      </c>
      <c r="L107" s="19" t="s">
        <v>56</v>
      </c>
    </row>
    <row r="108" customFormat="false" ht="15" hidden="false" customHeight="false" outlineLevel="0" collapsed="false">
      <c r="A108" s="23" t="n">
        <v>7</v>
      </c>
      <c r="B108" s="23" t="s">
        <v>109</v>
      </c>
      <c r="C108" s="23" t="s">
        <v>235</v>
      </c>
      <c r="D108" s="23" t="str">
        <f aca="false">IF($A108&lt;=5,"Core",IF($A108=6,"Stretch","Not this time"))</f>
        <v>Not this time</v>
      </c>
      <c r="E108" s="17"/>
      <c r="F108" s="18"/>
      <c r="G108" s="13" t="str">
        <f aca="false">IF($D108="Not this time","Not scheduled, above the target",IF($E108="","",IF($E108="R","Full worksheet, taught first",IF($E108="A","Work until 3 right in a row",IF($E108="G","2 question spot check later","")))))</f>
        <v>Not scheduled, above the target</v>
      </c>
      <c r="H108" s="19" t="s">
        <v>59</v>
      </c>
      <c r="I108" s="13" t="s">
        <v>218</v>
      </c>
      <c r="J108" s="19" t="s">
        <v>54</v>
      </c>
      <c r="K108" s="19" t="s">
        <v>55</v>
      </c>
      <c r="L108" s="19" t="s">
        <v>56</v>
      </c>
    </row>
    <row r="109" customFormat="false" ht="15" hidden="false" customHeight="false" outlineLevel="0" collapsed="false">
      <c r="A109" s="23" t="n">
        <v>7</v>
      </c>
      <c r="B109" s="23" t="s">
        <v>111</v>
      </c>
      <c r="C109" s="23" t="s">
        <v>236</v>
      </c>
      <c r="D109" s="23" t="str">
        <f aca="false">IF($A109&lt;=5,"Core",IF($A109=6,"Stretch","Not this time"))</f>
        <v>Not this time</v>
      </c>
      <c r="E109" s="17"/>
      <c r="F109" s="18"/>
      <c r="G109" s="13" t="str">
        <f aca="false">IF($D109="Not this time","Not scheduled, above the target",IF($E109="","",IF($E109="R","Full worksheet, taught first",IF($E109="A","Work until 3 right in a row",IF($E109="G","2 question spot check later","")))))</f>
        <v>Not scheduled, above the target</v>
      </c>
      <c r="H109" s="19" t="s">
        <v>59</v>
      </c>
      <c r="I109" s="13" t="s">
        <v>236</v>
      </c>
      <c r="J109" s="19" t="s">
        <v>54</v>
      </c>
      <c r="K109" s="19" t="s">
        <v>55</v>
      </c>
      <c r="L109" s="19" t="s">
        <v>56</v>
      </c>
    </row>
    <row r="110" customFormat="false" ht="15" hidden="false" customHeight="false" outlineLevel="0" collapsed="false">
      <c r="A110" s="23" t="n">
        <v>7</v>
      </c>
      <c r="B110" s="23" t="s">
        <v>114</v>
      </c>
      <c r="C110" s="23" t="s">
        <v>237</v>
      </c>
      <c r="D110" s="23" t="str">
        <f aca="false">IF($A110&lt;=5,"Core",IF($A110=6,"Stretch","Not this time"))</f>
        <v>Not this time</v>
      </c>
      <c r="E110" s="17"/>
      <c r="F110" s="18"/>
      <c r="G110" s="13" t="str">
        <f aca="false">IF($D110="Not this time","Not scheduled, above the target",IF($E110="","",IF($E110="R","Full worksheet, taught first",IF($E110="A","Work until 3 right in a row",IF($E110="G","2 question spot check later","")))))</f>
        <v>Not scheduled, above the target</v>
      </c>
      <c r="H110" s="19" t="s">
        <v>59</v>
      </c>
      <c r="I110" s="13" t="s">
        <v>237</v>
      </c>
      <c r="J110" s="19" t="s">
        <v>54</v>
      </c>
      <c r="K110" s="19" t="s">
        <v>55</v>
      </c>
      <c r="L110" s="19" t="s">
        <v>56</v>
      </c>
    </row>
    <row r="111" customFormat="false" ht="15" hidden="false" customHeight="false" outlineLevel="0" collapsed="false">
      <c r="A111" s="23" t="n">
        <v>8</v>
      </c>
      <c r="B111" s="23" t="s">
        <v>238</v>
      </c>
      <c r="C111" s="23" t="s">
        <v>239</v>
      </c>
      <c r="D111" s="23" t="str">
        <f aca="false">IF($A111&lt;=5,"Core",IF($A111=6,"Stretch","Not this time"))</f>
        <v>Not this time</v>
      </c>
      <c r="E111" s="17"/>
      <c r="F111" s="18"/>
      <c r="G111" s="13" t="str">
        <f aca="false">IF($D111="Not this time","Not scheduled, above the target",IF($E111="","",IF($E111="R","Full worksheet, taught first",IF($E111="A","Work until 3 right in a row",IF($E111="G","2 question spot check later","")))))</f>
        <v>Not scheduled, above the target</v>
      </c>
      <c r="H111" s="19" t="s">
        <v>59</v>
      </c>
      <c r="I111" s="13" t="s">
        <v>184</v>
      </c>
      <c r="J111" s="19" t="s">
        <v>54</v>
      </c>
      <c r="K111" s="19" t="s">
        <v>55</v>
      </c>
      <c r="L111" s="19" t="s">
        <v>56</v>
      </c>
    </row>
    <row r="112" customFormat="false" ht="15" hidden="false" customHeight="false" outlineLevel="0" collapsed="false">
      <c r="A112" s="23" t="n">
        <v>8</v>
      </c>
      <c r="B112" s="23" t="s">
        <v>240</v>
      </c>
      <c r="C112" s="23" t="s">
        <v>241</v>
      </c>
      <c r="D112" s="23" t="str">
        <f aca="false">IF($A112&lt;=5,"Core",IF($A112=6,"Stretch","Not this time"))</f>
        <v>Not this time</v>
      </c>
      <c r="E112" s="17"/>
      <c r="F112" s="18"/>
      <c r="G112" s="13" t="str">
        <f aca="false">IF($D112="Not this time","Not scheduled, above the target",IF($E112="","",IF($E112="R","Full worksheet, taught first",IF($E112="A","Work until 3 right in a row",IF($E112="G","2 question spot check later","")))))</f>
        <v>Not scheduled, above the target</v>
      </c>
      <c r="H112" s="19" t="s">
        <v>59</v>
      </c>
      <c r="I112" s="13" t="s">
        <v>242</v>
      </c>
      <c r="J112" s="19" t="s">
        <v>54</v>
      </c>
      <c r="K112" s="19" t="s">
        <v>55</v>
      </c>
      <c r="L112" s="19" t="s">
        <v>56</v>
      </c>
    </row>
    <row r="113" customFormat="false" ht="15" hidden="false" customHeight="false" outlineLevel="0" collapsed="false">
      <c r="A113" s="23" t="n">
        <v>8</v>
      </c>
      <c r="B113" s="23" t="s">
        <v>243</v>
      </c>
      <c r="C113" s="23" t="s">
        <v>244</v>
      </c>
      <c r="D113" s="23" t="str">
        <f aca="false">IF($A113&lt;=5,"Core",IF($A113=6,"Stretch","Not this time"))</f>
        <v>Not this time</v>
      </c>
      <c r="E113" s="17"/>
      <c r="F113" s="18"/>
      <c r="G113" s="13" t="str">
        <f aca="false">IF($D113="Not this time","Not scheduled, above the target",IF($E113="","",IF($E113="R","Full worksheet, taught first",IF($E113="A","Work until 3 right in a row",IF($E113="G","2 question spot check later","")))))</f>
        <v>Not scheduled, above the target</v>
      </c>
      <c r="H113" s="19" t="s">
        <v>59</v>
      </c>
      <c r="I113" s="13" t="s">
        <v>245</v>
      </c>
      <c r="J113" s="19" t="s">
        <v>54</v>
      </c>
      <c r="K113" s="19" t="s">
        <v>55</v>
      </c>
      <c r="L113" s="19" t="s">
        <v>56</v>
      </c>
    </row>
    <row r="114" customFormat="false" ht="15" hidden="false" customHeight="false" outlineLevel="0" collapsed="false">
      <c r="A114" s="23" t="n">
        <v>8</v>
      </c>
      <c r="B114" s="23" t="s">
        <v>246</v>
      </c>
      <c r="C114" s="23" t="s">
        <v>247</v>
      </c>
      <c r="D114" s="23" t="str">
        <f aca="false">IF($A114&lt;=5,"Core",IF($A114=6,"Stretch","Not this time"))</f>
        <v>Not this time</v>
      </c>
      <c r="E114" s="17"/>
      <c r="F114" s="18"/>
      <c r="G114" s="13" t="str">
        <f aca="false">IF($D114="Not this time","Not scheduled, above the target",IF($E114="","",IF($E114="R","Full worksheet, taught first",IF($E114="A","Work until 3 right in a row",IF($E114="G","2 question spot check later","")))))</f>
        <v>Not scheduled, above the target</v>
      </c>
      <c r="H114" s="19" t="s">
        <v>59</v>
      </c>
      <c r="I114" s="13" t="s">
        <v>248</v>
      </c>
      <c r="J114" s="19" t="s">
        <v>54</v>
      </c>
      <c r="K114" s="19" t="s">
        <v>55</v>
      </c>
      <c r="L114" s="19" t="s">
        <v>56</v>
      </c>
    </row>
    <row r="115" customFormat="false" ht="15" hidden="false" customHeight="false" outlineLevel="0" collapsed="false">
      <c r="A115" s="23" t="n">
        <v>8</v>
      </c>
      <c r="B115" s="23" t="s">
        <v>249</v>
      </c>
      <c r="C115" s="23" t="s">
        <v>250</v>
      </c>
      <c r="D115" s="23" t="str">
        <f aca="false">IF($A115&lt;=5,"Core",IF($A115=6,"Stretch","Not this time"))</f>
        <v>Not this time</v>
      </c>
      <c r="E115" s="17"/>
      <c r="F115" s="18"/>
      <c r="G115" s="13" t="str">
        <f aca="false">IF($D115="Not this time","Not scheduled, above the target",IF($E115="","",IF($E115="R","Full worksheet, taught first",IF($E115="A","Work until 3 right in a row",IF($E115="G","2 question spot check later","")))))</f>
        <v>Not scheduled, above the target</v>
      </c>
      <c r="H115" s="19" t="s">
        <v>59</v>
      </c>
      <c r="I115" s="13" t="s">
        <v>251</v>
      </c>
      <c r="J115" s="19" t="s">
        <v>54</v>
      </c>
      <c r="K115" s="19" t="s">
        <v>55</v>
      </c>
      <c r="L115" s="19" t="s">
        <v>56</v>
      </c>
    </row>
    <row r="116" customFormat="false" ht="15" hidden="false" customHeight="false" outlineLevel="0" collapsed="false">
      <c r="A116" s="23" t="n">
        <v>8</v>
      </c>
      <c r="B116" s="23" t="s">
        <v>252</v>
      </c>
      <c r="C116" s="23" t="s">
        <v>253</v>
      </c>
      <c r="D116" s="23" t="str">
        <f aca="false">IF($A116&lt;=5,"Core",IF($A116=6,"Stretch","Not this time"))</f>
        <v>Not this time</v>
      </c>
      <c r="E116" s="17"/>
      <c r="F116" s="18"/>
      <c r="G116" s="13" t="str">
        <f aca="false">IF($D116="Not this time","Not scheduled, above the target",IF($E116="","",IF($E116="R","Full worksheet, taught first",IF($E116="A","Work until 3 right in a row",IF($E116="G","2 question spot check later","")))))</f>
        <v>Not scheduled, above the target</v>
      </c>
      <c r="H116" s="19" t="s">
        <v>59</v>
      </c>
      <c r="I116" s="13" t="s">
        <v>253</v>
      </c>
      <c r="J116" s="19" t="s">
        <v>54</v>
      </c>
      <c r="K116" s="19" t="s">
        <v>55</v>
      </c>
      <c r="L116" s="19" t="s">
        <v>56</v>
      </c>
    </row>
    <row r="117" customFormat="false" ht="15" hidden="false" customHeight="false" outlineLevel="0" collapsed="false">
      <c r="A117" s="23" t="n">
        <v>8</v>
      </c>
      <c r="B117" s="23" t="s">
        <v>254</v>
      </c>
      <c r="C117" s="23" t="s">
        <v>255</v>
      </c>
      <c r="D117" s="23" t="str">
        <f aca="false">IF($A117&lt;=5,"Core",IF($A117=6,"Stretch","Not this time"))</f>
        <v>Not this time</v>
      </c>
      <c r="E117" s="17"/>
      <c r="F117" s="18"/>
      <c r="G117" s="13" t="str">
        <f aca="false">IF($D117="Not this time","Not scheduled, above the target",IF($E117="","",IF($E117="R","Full worksheet, taught first",IF($E117="A","Work until 3 right in a row",IF($E117="G","2 question spot check later","")))))</f>
        <v>Not scheduled, above the target</v>
      </c>
      <c r="H117" s="19" t="s">
        <v>59</v>
      </c>
      <c r="I117" s="13" t="s">
        <v>155</v>
      </c>
      <c r="J117" s="19" t="s">
        <v>54</v>
      </c>
      <c r="K117" s="19" t="s">
        <v>55</v>
      </c>
      <c r="L117" s="19" t="s">
        <v>56</v>
      </c>
    </row>
    <row r="118" customFormat="false" ht="15" hidden="false" customHeight="false" outlineLevel="0" collapsed="false">
      <c r="A118" s="23" t="n">
        <v>8</v>
      </c>
      <c r="B118" s="23" t="s">
        <v>256</v>
      </c>
      <c r="C118" s="23" t="s">
        <v>257</v>
      </c>
      <c r="D118" s="23" t="str">
        <f aca="false">IF($A118&lt;=5,"Core",IF($A118=6,"Stretch","Not this time"))</f>
        <v>Not this time</v>
      </c>
      <c r="E118" s="17"/>
      <c r="F118" s="18"/>
      <c r="G118" s="13" t="str">
        <f aca="false">IF($D118="Not this time","Not scheduled, above the target",IF($E118="","",IF($E118="R","Full worksheet, taught first",IF($E118="A","Work until 3 right in a row",IF($E118="G","2 question spot check later","")))))</f>
        <v>Not scheduled, above the target</v>
      </c>
      <c r="H118" s="19" t="s">
        <v>59</v>
      </c>
      <c r="I118" s="13" t="s">
        <v>71</v>
      </c>
      <c r="J118" s="20"/>
      <c r="K118" s="20"/>
      <c r="L118" s="20"/>
    </row>
    <row r="119" customFormat="false" ht="15" hidden="false" customHeight="false" outlineLevel="0" collapsed="false">
      <c r="A119" s="23" t="n">
        <v>8</v>
      </c>
      <c r="B119" s="23" t="s">
        <v>258</v>
      </c>
      <c r="C119" s="23" t="s">
        <v>259</v>
      </c>
      <c r="D119" s="23" t="str">
        <f aca="false">IF($A119&lt;=5,"Core",IF($A119=6,"Stretch","Not this time"))</f>
        <v>Not this time</v>
      </c>
      <c r="E119" s="17"/>
      <c r="F119" s="18"/>
      <c r="G119" s="13" t="str">
        <f aca="false">IF($D119="Not this time","Not scheduled, above the target",IF($E119="","",IF($E119="R","Full worksheet, taught first",IF($E119="A","Work until 3 right in a row",IF($E119="G","2 question spot check later","")))))</f>
        <v>Not scheduled, above the target</v>
      </c>
      <c r="H119" s="19" t="s">
        <v>59</v>
      </c>
      <c r="I119" s="13" t="s">
        <v>260</v>
      </c>
      <c r="J119" s="19" t="s">
        <v>54</v>
      </c>
      <c r="K119" s="19" t="s">
        <v>55</v>
      </c>
      <c r="L119" s="19" t="s">
        <v>56</v>
      </c>
    </row>
    <row r="120" customFormat="false" ht="15" hidden="false" customHeight="false" outlineLevel="0" collapsed="false">
      <c r="A120" s="23" t="n">
        <v>8</v>
      </c>
      <c r="B120" s="23" t="s">
        <v>261</v>
      </c>
      <c r="C120" s="23" t="s">
        <v>262</v>
      </c>
      <c r="D120" s="23" t="str">
        <f aca="false">IF($A120&lt;=5,"Core",IF($A120=6,"Stretch","Not this time"))</f>
        <v>Not this time</v>
      </c>
      <c r="E120" s="17"/>
      <c r="F120" s="18"/>
      <c r="G120" s="13" t="str">
        <f aca="false">IF($D120="Not this time","Not scheduled, above the target",IF($E120="","",IF($E120="R","Full worksheet, taught first",IF($E120="A","Work until 3 right in a row",IF($E120="G","2 question spot check later","")))))</f>
        <v>Not scheduled, above the target</v>
      </c>
      <c r="H120" s="19" t="s">
        <v>59</v>
      </c>
      <c r="I120" s="13" t="s">
        <v>263</v>
      </c>
      <c r="J120" s="19" t="s">
        <v>54</v>
      </c>
      <c r="K120" s="19" t="s">
        <v>55</v>
      </c>
      <c r="L120" s="19" t="s">
        <v>56</v>
      </c>
    </row>
  </sheetData>
  <conditionalFormatting sqref="E2:E120">
    <cfRule type="cellIs" priority="2" operator="equal" aboveAverage="0" equalAverage="0" bottom="0" percent="0" rank="0" text="" dxfId="0">
      <formula>"R"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2">
      <formula>"G"</formula>
    </cfRule>
  </conditionalFormatting>
  <dataValidations count="1">
    <dataValidation allowBlank="true" error="Enter R, A or G" errorStyle="stop" operator="between" prompt="R = cannot do it, A = shaky, G = confident" showDropDown="false" showErrorMessage="false" showInputMessage="false" sqref="E2:E120" type="list">
      <formula1>"R,A,G"</formula1>
      <formula2>0</formula2>
    </dataValidation>
  </dataValidations>
  <hyperlinks>
    <hyperlink ref="H2" r:id="rId1" display="open"/>
    <hyperlink ref="J2" r:id="rId2" display="QP"/>
    <hyperlink ref="K2" r:id="rId3" display="MS"/>
    <hyperlink ref="L2" r:id="rId4" display="Ans"/>
    <hyperlink ref="H3" r:id="rId5" display="open"/>
    <hyperlink ref="J3" r:id="rId6" display="QP"/>
    <hyperlink ref="K3" r:id="rId7" display="MS"/>
    <hyperlink ref="L3" r:id="rId8" display="Ans"/>
    <hyperlink ref="H4" r:id="rId9" display="open"/>
    <hyperlink ref="J4" r:id="rId10" display="QP"/>
    <hyperlink ref="K4" r:id="rId11" display="MS"/>
    <hyperlink ref="L4" r:id="rId12" display="Ans"/>
    <hyperlink ref="H5" r:id="rId13" display="open"/>
    <hyperlink ref="J5" r:id="rId14" display="QP"/>
    <hyperlink ref="K5" r:id="rId15" display="MS"/>
    <hyperlink ref="L5" r:id="rId16" display="Ans"/>
    <hyperlink ref="H6" r:id="rId17" display="open"/>
    <hyperlink ref="H7" r:id="rId18" display="open"/>
    <hyperlink ref="J7" r:id="rId19" display="QP"/>
    <hyperlink ref="K7" r:id="rId20" display="MS"/>
    <hyperlink ref="L7" r:id="rId21" display="Ans"/>
    <hyperlink ref="H8" r:id="rId22" display="open"/>
    <hyperlink ref="J8" r:id="rId23" display="QP"/>
    <hyperlink ref="K8" r:id="rId24" display="MS"/>
    <hyperlink ref="L8" r:id="rId25" display="Ans"/>
    <hyperlink ref="H9" r:id="rId26" display="open"/>
    <hyperlink ref="J9" r:id="rId27" display="QP"/>
    <hyperlink ref="K9" r:id="rId28" display="MS"/>
    <hyperlink ref="L9" r:id="rId29" display="Ans"/>
    <hyperlink ref="H10" r:id="rId30" display="open"/>
    <hyperlink ref="J10" r:id="rId31" display="QP"/>
    <hyperlink ref="K10" r:id="rId32" display="MS"/>
    <hyperlink ref="L10" r:id="rId33" display="Ans"/>
    <hyperlink ref="H11" r:id="rId34" display="open"/>
    <hyperlink ref="J11" r:id="rId35" display="QP"/>
    <hyperlink ref="K11" r:id="rId36" display="MS"/>
    <hyperlink ref="L11" r:id="rId37" display="Ans"/>
    <hyperlink ref="H12" r:id="rId38" display="open"/>
    <hyperlink ref="J12" r:id="rId39" display="QP"/>
    <hyperlink ref="K12" r:id="rId40" display="MS"/>
    <hyperlink ref="L12" r:id="rId41" display="Ans"/>
    <hyperlink ref="H13" r:id="rId42" display="open"/>
    <hyperlink ref="J13" r:id="rId43" display="QP"/>
    <hyperlink ref="K13" r:id="rId44" display="MS"/>
    <hyperlink ref="L13" r:id="rId45" display="Ans"/>
    <hyperlink ref="H14" r:id="rId46" display="open"/>
    <hyperlink ref="J14" r:id="rId47" display="QP"/>
    <hyperlink ref="K14" r:id="rId48" display="MS"/>
    <hyperlink ref="L14" r:id="rId49" display="Ans"/>
    <hyperlink ref="H15" r:id="rId50" display="open"/>
    <hyperlink ref="H16" r:id="rId51" display="open"/>
    <hyperlink ref="J16" r:id="rId52" display="QP"/>
    <hyperlink ref="K16" r:id="rId53" display="MS"/>
    <hyperlink ref="L16" r:id="rId54" display="Ans"/>
    <hyperlink ref="H17" r:id="rId55" display="open"/>
    <hyperlink ref="J17" r:id="rId56" display="QP"/>
    <hyperlink ref="K17" r:id="rId57" display="MS"/>
    <hyperlink ref="L17" r:id="rId58" display="Ans"/>
    <hyperlink ref="H18" r:id="rId59" display="open"/>
    <hyperlink ref="J18" r:id="rId60" display="QP"/>
    <hyperlink ref="K18" r:id="rId61" display="MS"/>
    <hyperlink ref="L18" r:id="rId62" display="Ans"/>
    <hyperlink ref="H19" r:id="rId63" display="open"/>
    <hyperlink ref="J19" r:id="rId64" display="QP"/>
    <hyperlink ref="K19" r:id="rId65" display="MS"/>
    <hyperlink ref="L19" r:id="rId66" display="Ans"/>
    <hyperlink ref="H20" r:id="rId67" display="open"/>
    <hyperlink ref="J20" r:id="rId68" display="QP"/>
    <hyperlink ref="K20" r:id="rId69" display="MS"/>
    <hyperlink ref="L20" r:id="rId70" display="Ans"/>
    <hyperlink ref="H21" r:id="rId71" display="open"/>
    <hyperlink ref="H22" r:id="rId72" display="open"/>
    <hyperlink ref="J22" r:id="rId73" display="QP"/>
    <hyperlink ref="K22" r:id="rId74" display="MS"/>
    <hyperlink ref="L22" r:id="rId75" display="Ans"/>
    <hyperlink ref="H23" r:id="rId76" display="open"/>
    <hyperlink ref="J23" r:id="rId77" display="QP"/>
    <hyperlink ref="K23" r:id="rId78" display="MS"/>
    <hyperlink ref="L23" r:id="rId79" display="Ans"/>
    <hyperlink ref="H24" r:id="rId80" display="open"/>
    <hyperlink ref="J24" r:id="rId81" display="QP"/>
    <hyperlink ref="K24" r:id="rId82" display="MS"/>
    <hyperlink ref="L24" r:id="rId83" display="Ans"/>
    <hyperlink ref="H25" r:id="rId84" display="open"/>
    <hyperlink ref="J25" r:id="rId85" display="QP"/>
    <hyperlink ref="K25" r:id="rId86" display="MS"/>
    <hyperlink ref="L25" r:id="rId87" display="Ans"/>
    <hyperlink ref="H26" r:id="rId88" display="open"/>
    <hyperlink ref="J26" r:id="rId89" display="QP"/>
    <hyperlink ref="K26" r:id="rId90" display="MS"/>
    <hyperlink ref="L26" r:id="rId91" display="Ans"/>
    <hyperlink ref="H27" r:id="rId92" display="open"/>
    <hyperlink ref="J27" r:id="rId93" display="QP"/>
    <hyperlink ref="K27" r:id="rId94" display="MS"/>
    <hyperlink ref="L27" r:id="rId95" display="Ans"/>
    <hyperlink ref="H28" r:id="rId96" display="open"/>
    <hyperlink ref="J28" r:id="rId97" display="QP"/>
    <hyperlink ref="K28" r:id="rId98" display="MS"/>
    <hyperlink ref="L28" r:id="rId99" display="Ans"/>
    <hyperlink ref="H29" r:id="rId100" display="open"/>
    <hyperlink ref="J29" r:id="rId101" display="QP"/>
    <hyperlink ref="K29" r:id="rId102" display="MS"/>
    <hyperlink ref="L29" r:id="rId103" display="Ans"/>
    <hyperlink ref="H30" r:id="rId104" display="open"/>
    <hyperlink ref="J30" r:id="rId105" display="QP"/>
    <hyperlink ref="K30" r:id="rId106" display="MS"/>
    <hyperlink ref="L30" r:id="rId107" display="Ans"/>
    <hyperlink ref="H31" r:id="rId108" display="open"/>
    <hyperlink ref="J31" r:id="rId109" display="QP"/>
    <hyperlink ref="K31" r:id="rId110" display="MS"/>
    <hyperlink ref="L31" r:id="rId111" display="Ans"/>
    <hyperlink ref="H32" r:id="rId112" display="open"/>
    <hyperlink ref="J32" r:id="rId113" display="QP"/>
    <hyperlink ref="K32" r:id="rId114" display="MS"/>
    <hyperlink ref="L32" r:id="rId115" display="Ans"/>
    <hyperlink ref="H33" r:id="rId116" display="open"/>
    <hyperlink ref="J33" r:id="rId117" display="QP"/>
    <hyperlink ref="K33" r:id="rId118" display="MS"/>
    <hyperlink ref="L33" r:id="rId119" display="Ans"/>
    <hyperlink ref="H34" r:id="rId120" display="open"/>
    <hyperlink ref="J34" r:id="rId121" display="QP"/>
    <hyperlink ref="K34" r:id="rId122" display="MS"/>
    <hyperlink ref="L34" r:id="rId123" display="Ans"/>
    <hyperlink ref="H35" r:id="rId124" display="open"/>
    <hyperlink ref="J35" r:id="rId125" display="QP"/>
    <hyperlink ref="K35" r:id="rId126" display="MS"/>
    <hyperlink ref="L35" r:id="rId127" display="Ans"/>
    <hyperlink ref="H36" r:id="rId128" display="open"/>
    <hyperlink ref="J36" r:id="rId129" display="QP"/>
    <hyperlink ref="K36" r:id="rId130" display="MS"/>
    <hyperlink ref="L36" r:id="rId131" display="Ans"/>
    <hyperlink ref="H37" r:id="rId132" display="open"/>
    <hyperlink ref="J37" r:id="rId133" display="QP"/>
    <hyperlink ref="K37" r:id="rId134" display="MS"/>
    <hyperlink ref="L37" r:id="rId135" display="Ans"/>
    <hyperlink ref="H38" r:id="rId136" display="open"/>
    <hyperlink ref="J38" r:id="rId137" display="QP"/>
    <hyperlink ref="K38" r:id="rId138" display="MS"/>
    <hyperlink ref="L38" r:id="rId139" display="Ans"/>
    <hyperlink ref="H39" r:id="rId140" display="open"/>
    <hyperlink ref="J39" r:id="rId141" display="QP"/>
    <hyperlink ref="K39" r:id="rId142" display="MS"/>
    <hyperlink ref="L39" r:id="rId143" display="Ans"/>
    <hyperlink ref="H40" r:id="rId144" display="open"/>
    <hyperlink ref="J40" r:id="rId145" display="QP"/>
    <hyperlink ref="K40" r:id="rId146" display="MS"/>
    <hyperlink ref="L40" r:id="rId147" display="Ans"/>
    <hyperlink ref="H41" r:id="rId148" display="open"/>
    <hyperlink ref="J41" r:id="rId149" display="QP"/>
    <hyperlink ref="K41" r:id="rId150" display="MS"/>
    <hyperlink ref="L41" r:id="rId151" display="Ans"/>
    <hyperlink ref="H42" r:id="rId152" display="open"/>
    <hyperlink ref="J42" r:id="rId153" display="QP"/>
    <hyperlink ref="K42" r:id="rId154" display="MS"/>
    <hyperlink ref="L42" r:id="rId155" display="Ans"/>
    <hyperlink ref="H43" r:id="rId156" display="open"/>
    <hyperlink ref="J43" r:id="rId157" display="QP"/>
    <hyperlink ref="K43" r:id="rId158" display="MS"/>
    <hyperlink ref="L43" r:id="rId159" display="Ans"/>
    <hyperlink ref="H44" r:id="rId160" display="open"/>
    <hyperlink ref="J44" r:id="rId161" display="QP"/>
    <hyperlink ref="K44" r:id="rId162" display="MS"/>
    <hyperlink ref="L44" r:id="rId163" display="Ans"/>
    <hyperlink ref="H45" r:id="rId164" display="open"/>
    <hyperlink ref="J45" r:id="rId165" display="QP"/>
    <hyperlink ref="K45" r:id="rId166" display="MS"/>
    <hyperlink ref="L45" r:id="rId167" display="Ans"/>
    <hyperlink ref="H46" r:id="rId168" display="open"/>
    <hyperlink ref="J46" r:id="rId169" display="QP"/>
    <hyperlink ref="K46" r:id="rId170" display="MS"/>
    <hyperlink ref="L46" r:id="rId171" display="Ans"/>
    <hyperlink ref="H47" r:id="rId172" display="open"/>
    <hyperlink ref="J47" r:id="rId173" display="QP"/>
    <hyperlink ref="K47" r:id="rId174" display="MS"/>
    <hyperlink ref="L47" r:id="rId175" display="Ans"/>
    <hyperlink ref="H48" r:id="rId176" display="open"/>
    <hyperlink ref="J48" r:id="rId177" display="QP"/>
    <hyperlink ref="K48" r:id="rId178" display="MS"/>
    <hyperlink ref="L48" r:id="rId179" display="Ans"/>
    <hyperlink ref="H49" r:id="rId180" display="open"/>
    <hyperlink ref="J49" r:id="rId181" display="QP"/>
    <hyperlink ref="K49" r:id="rId182" display="MS"/>
    <hyperlink ref="L49" r:id="rId183" display="Ans"/>
    <hyperlink ref="H50" r:id="rId184" display="open"/>
    <hyperlink ref="J50" r:id="rId185" display="QP"/>
    <hyperlink ref="K50" r:id="rId186" display="MS"/>
    <hyperlink ref="L50" r:id="rId187" display="Ans"/>
    <hyperlink ref="H51" r:id="rId188" display="open"/>
    <hyperlink ref="J51" r:id="rId189" display="QP"/>
    <hyperlink ref="K51" r:id="rId190" display="MS"/>
    <hyperlink ref="L51" r:id="rId191" display="Ans"/>
    <hyperlink ref="H52" r:id="rId192" display="open"/>
    <hyperlink ref="J52" r:id="rId193" display="QP"/>
    <hyperlink ref="K52" r:id="rId194" display="MS"/>
    <hyperlink ref="L52" r:id="rId195" display="Ans"/>
    <hyperlink ref="H53" r:id="rId196" display="open"/>
    <hyperlink ref="J53" r:id="rId197" display="QP"/>
    <hyperlink ref="K53" r:id="rId198" display="MS"/>
    <hyperlink ref="L53" r:id="rId199" display="Ans"/>
    <hyperlink ref="H54" r:id="rId200" display="open"/>
    <hyperlink ref="J54" r:id="rId201" display="QP"/>
    <hyperlink ref="K54" r:id="rId202" display="MS"/>
    <hyperlink ref="L54" r:id="rId203" display="Ans"/>
    <hyperlink ref="H55" r:id="rId204" display="open"/>
    <hyperlink ref="J55" r:id="rId205" display="QP"/>
    <hyperlink ref="K55" r:id="rId206" display="MS"/>
    <hyperlink ref="L55" r:id="rId207" display="Ans"/>
    <hyperlink ref="H56" r:id="rId208" display="open"/>
    <hyperlink ref="J56" r:id="rId209" display="QP"/>
    <hyperlink ref="K56" r:id="rId210" display="MS"/>
    <hyperlink ref="L56" r:id="rId211" display="Ans"/>
    <hyperlink ref="H57" r:id="rId212" display="open"/>
    <hyperlink ref="J57" r:id="rId213" display="QP"/>
    <hyperlink ref="K57" r:id="rId214" display="MS"/>
    <hyperlink ref="L57" r:id="rId215" display="Ans"/>
    <hyperlink ref="H58" r:id="rId216" display="open"/>
    <hyperlink ref="J58" r:id="rId217" display="QP"/>
    <hyperlink ref="K58" r:id="rId218" display="MS"/>
    <hyperlink ref="L58" r:id="rId219" display="Ans"/>
    <hyperlink ref="H59" r:id="rId220" display="open"/>
    <hyperlink ref="J59" r:id="rId221" display="QP"/>
    <hyperlink ref="K59" r:id="rId222" display="MS"/>
    <hyperlink ref="L59" r:id="rId223" display="Ans"/>
    <hyperlink ref="H60" r:id="rId224" display="open"/>
    <hyperlink ref="J60" r:id="rId225" display="QP"/>
    <hyperlink ref="K60" r:id="rId226" display="MS"/>
    <hyperlink ref="L60" r:id="rId227" display="Ans"/>
    <hyperlink ref="H61" r:id="rId228" display="open"/>
    <hyperlink ref="J61" r:id="rId229" display="QP"/>
    <hyperlink ref="K61" r:id="rId230" display="MS"/>
    <hyperlink ref="L61" r:id="rId231" display="Ans"/>
    <hyperlink ref="H62" r:id="rId232" display="open"/>
    <hyperlink ref="J62" r:id="rId233" display="QP"/>
    <hyperlink ref="K62" r:id="rId234" display="MS"/>
    <hyperlink ref="L62" r:id="rId235" display="Ans"/>
    <hyperlink ref="H63" r:id="rId236" display="open"/>
    <hyperlink ref="J63" r:id="rId237" display="QP"/>
    <hyperlink ref="K63" r:id="rId238" display="MS"/>
    <hyperlink ref="L63" r:id="rId239" display="Ans"/>
    <hyperlink ref="H64" r:id="rId240" display="open"/>
    <hyperlink ref="J64" r:id="rId241" display="QP"/>
    <hyperlink ref="K64" r:id="rId242" display="MS"/>
    <hyperlink ref="L64" r:id="rId243" display="Ans"/>
    <hyperlink ref="H65" r:id="rId244" display="open"/>
    <hyperlink ref="J65" r:id="rId245" display="QP"/>
    <hyperlink ref="K65" r:id="rId246" display="MS"/>
    <hyperlink ref="L65" r:id="rId247" display="Ans"/>
    <hyperlink ref="H66" r:id="rId248" display="open"/>
    <hyperlink ref="J66" r:id="rId249" display="QP"/>
    <hyperlink ref="K66" r:id="rId250" display="MS"/>
    <hyperlink ref="L66" r:id="rId251" display="Ans"/>
    <hyperlink ref="H67" r:id="rId252" display="open"/>
    <hyperlink ref="J67" r:id="rId253" display="QP"/>
    <hyperlink ref="K67" r:id="rId254" display="MS"/>
    <hyperlink ref="L67" r:id="rId255" display="Ans"/>
    <hyperlink ref="H68" r:id="rId256" display="open"/>
    <hyperlink ref="J68" r:id="rId257" display="QP"/>
    <hyperlink ref="K68" r:id="rId258" display="MS"/>
    <hyperlink ref="L68" r:id="rId259" display="Ans"/>
    <hyperlink ref="H69" r:id="rId260" display="open"/>
    <hyperlink ref="J69" r:id="rId261" display="QP"/>
    <hyperlink ref="K69" r:id="rId262" display="MS"/>
    <hyperlink ref="L69" r:id="rId263" display="Ans"/>
    <hyperlink ref="H70" r:id="rId264" display="open"/>
    <hyperlink ref="J70" r:id="rId265" display="QP"/>
    <hyperlink ref="K70" r:id="rId266" display="MS"/>
    <hyperlink ref="L70" r:id="rId267" display="Ans"/>
    <hyperlink ref="H71" r:id="rId268" display="open"/>
    <hyperlink ref="J71" r:id="rId269" display="QP"/>
    <hyperlink ref="K71" r:id="rId270" display="MS"/>
    <hyperlink ref="L71" r:id="rId271" display="Ans"/>
    <hyperlink ref="H72" r:id="rId272" display="open"/>
    <hyperlink ref="J72" r:id="rId273" display="QP"/>
    <hyperlink ref="K72" r:id="rId274" display="MS"/>
    <hyperlink ref="L72" r:id="rId275" display="Ans"/>
    <hyperlink ref="H73" r:id="rId276" display="open"/>
    <hyperlink ref="J73" r:id="rId277" display="QP"/>
    <hyperlink ref="K73" r:id="rId278" display="MS"/>
    <hyperlink ref="L73" r:id="rId279" display="Ans"/>
    <hyperlink ref="H74" r:id="rId280" display="open"/>
    <hyperlink ref="J74" r:id="rId281" display="QP"/>
    <hyperlink ref="K74" r:id="rId282" display="MS"/>
    <hyperlink ref="L74" r:id="rId283" display="Ans"/>
    <hyperlink ref="H75" r:id="rId284" display="open"/>
    <hyperlink ref="J75" r:id="rId285" display="QP"/>
    <hyperlink ref="K75" r:id="rId286" display="MS"/>
    <hyperlink ref="L75" r:id="rId287" display="Ans"/>
    <hyperlink ref="H76" r:id="rId288" display="open"/>
    <hyperlink ref="J76" r:id="rId289" display="QP"/>
    <hyperlink ref="K76" r:id="rId290" display="MS"/>
    <hyperlink ref="L76" r:id="rId291" display="Ans"/>
    <hyperlink ref="H77" r:id="rId292" display="open"/>
    <hyperlink ref="J77" r:id="rId293" display="QP"/>
    <hyperlink ref="K77" r:id="rId294" display="MS"/>
    <hyperlink ref="L77" r:id="rId295" display="Ans"/>
    <hyperlink ref="H78" r:id="rId296" display="open"/>
    <hyperlink ref="J78" r:id="rId297" display="QP"/>
    <hyperlink ref="K78" r:id="rId298" display="MS"/>
    <hyperlink ref="L78" r:id="rId299" display="Ans"/>
    <hyperlink ref="H79" r:id="rId300" display="open"/>
    <hyperlink ref="J79" r:id="rId301" display="QP"/>
    <hyperlink ref="K79" r:id="rId302" display="MS"/>
    <hyperlink ref="L79" r:id="rId303" display="Ans"/>
    <hyperlink ref="H80" r:id="rId304" display="open"/>
    <hyperlink ref="J80" r:id="rId305" display="QP"/>
    <hyperlink ref="K80" r:id="rId306" display="MS"/>
    <hyperlink ref="L80" r:id="rId307" display="Ans"/>
    <hyperlink ref="H81" r:id="rId308" display="open"/>
    <hyperlink ref="J81" r:id="rId309" display="QP"/>
    <hyperlink ref="K81" r:id="rId310" display="MS"/>
    <hyperlink ref="L81" r:id="rId311" display="Ans"/>
    <hyperlink ref="H82" r:id="rId312" display="open"/>
    <hyperlink ref="J82" r:id="rId313" display="QP"/>
    <hyperlink ref="K82" r:id="rId314" display="MS"/>
    <hyperlink ref="L82" r:id="rId315" display="Ans"/>
    <hyperlink ref="H83" r:id="rId316" display="open"/>
    <hyperlink ref="J83" r:id="rId317" display="QP"/>
    <hyperlink ref="K83" r:id="rId318" display="MS"/>
    <hyperlink ref="L83" r:id="rId319" display="Ans"/>
    <hyperlink ref="H84" r:id="rId320" display="open"/>
    <hyperlink ref="J84" r:id="rId321" display="QP"/>
    <hyperlink ref="K84" r:id="rId322" display="MS"/>
    <hyperlink ref="L84" r:id="rId323" display="Ans"/>
    <hyperlink ref="H85" r:id="rId324" display="open"/>
    <hyperlink ref="J85" r:id="rId325" display="QP"/>
    <hyperlink ref="K85" r:id="rId326" display="MS"/>
    <hyperlink ref="L85" r:id="rId327" display="Ans"/>
    <hyperlink ref="H86" r:id="rId328" display="open"/>
    <hyperlink ref="J86" r:id="rId329" display="QP"/>
    <hyperlink ref="K86" r:id="rId330" display="MS"/>
    <hyperlink ref="L86" r:id="rId331" display="Ans"/>
    <hyperlink ref="H87" r:id="rId332" display="open"/>
    <hyperlink ref="J87" r:id="rId333" display="QP"/>
    <hyperlink ref="K87" r:id="rId334" display="MS"/>
    <hyperlink ref="L87" r:id="rId335" display="Ans"/>
    <hyperlink ref="H88" r:id="rId336" display="open"/>
    <hyperlink ref="J88" r:id="rId337" display="QP"/>
    <hyperlink ref="K88" r:id="rId338" display="MS"/>
    <hyperlink ref="L88" r:id="rId339" display="Ans"/>
    <hyperlink ref="H89" r:id="rId340" display="open"/>
    <hyperlink ref="J89" r:id="rId341" display="QP"/>
    <hyperlink ref="K89" r:id="rId342" display="MS"/>
    <hyperlink ref="L89" r:id="rId343" display="Ans"/>
    <hyperlink ref="H90" r:id="rId344" display="open"/>
    <hyperlink ref="J90" r:id="rId345" display="QP"/>
    <hyperlink ref="K90" r:id="rId346" display="MS"/>
    <hyperlink ref="L90" r:id="rId347" display="Ans"/>
    <hyperlink ref="H91" r:id="rId348" display="open"/>
    <hyperlink ref="J91" r:id="rId349" display="QP"/>
    <hyperlink ref="K91" r:id="rId350" display="MS"/>
    <hyperlink ref="L91" r:id="rId351" display="Ans"/>
    <hyperlink ref="H92" r:id="rId352" display="open"/>
    <hyperlink ref="J92" r:id="rId353" display="QP"/>
    <hyperlink ref="K92" r:id="rId354" display="MS"/>
    <hyperlink ref="L92" r:id="rId355" display="Ans"/>
    <hyperlink ref="H93" r:id="rId356" display="open"/>
    <hyperlink ref="J93" r:id="rId357" display="QP"/>
    <hyperlink ref="K93" r:id="rId358" display="MS"/>
    <hyperlink ref="L93" r:id="rId359" display="Ans"/>
    <hyperlink ref="H94" r:id="rId360" display="open"/>
    <hyperlink ref="J94" r:id="rId361" display="QP"/>
    <hyperlink ref="K94" r:id="rId362" display="MS"/>
    <hyperlink ref="L94" r:id="rId363" display="Ans"/>
    <hyperlink ref="H95" r:id="rId364" display="open"/>
    <hyperlink ref="J95" r:id="rId365" display="QP"/>
    <hyperlink ref="K95" r:id="rId366" display="MS"/>
    <hyperlink ref="L95" r:id="rId367" display="Ans"/>
    <hyperlink ref="H96" r:id="rId368" display="open"/>
    <hyperlink ref="J96" r:id="rId369" display="QP"/>
    <hyperlink ref="K96" r:id="rId370" display="MS"/>
    <hyperlink ref="L96" r:id="rId371" display="Ans"/>
    <hyperlink ref="H97" r:id="rId372" display="open"/>
    <hyperlink ref="J97" r:id="rId373" display="QP"/>
    <hyperlink ref="K97" r:id="rId374" display="MS"/>
    <hyperlink ref="L97" r:id="rId375" display="Ans"/>
    <hyperlink ref="H98" r:id="rId376" display="open"/>
    <hyperlink ref="J98" r:id="rId377" display="QP"/>
    <hyperlink ref="K98" r:id="rId378" display="MS"/>
    <hyperlink ref="L98" r:id="rId379" display="Ans"/>
    <hyperlink ref="H99" r:id="rId380" display="open"/>
    <hyperlink ref="J99" r:id="rId381" display="QP"/>
    <hyperlink ref="K99" r:id="rId382" display="MS"/>
    <hyperlink ref="L99" r:id="rId383" display="Ans"/>
    <hyperlink ref="H100" r:id="rId384" display="open"/>
    <hyperlink ref="J100" r:id="rId385" display="QP"/>
    <hyperlink ref="K100" r:id="rId386" display="MS"/>
    <hyperlink ref="L100" r:id="rId387" display="Ans"/>
    <hyperlink ref="H101" r:id="rId388" display="open"/>
    <hyperlink ref="J101" r:id="rId389" display="QP"/>
    <hyperlink ref="K101" r:id="rId390" display="MS"/>
    <hyperlink ref="L101" r:id="rId391" display="Ans"/>
    <hyperlink ref="H102" r:id="rId392" display="open"/>
    <hyperlink ref="J102" r:id="rId393" display="QP"/>
    <hyperlink ref="K102" r:id="rId394" display="MS"/>
    <hyperlink ref="L102" r:id="rId395" display="Ans"/>
    <hyperlink ref="H103" r:id="rId396" display="open"/>
    <hyperlink ref="J103" r:id="rId397" display="QP"/>
    <hyperlink ref="K103" r:id="rId398" display="MS"/>
    <hyperlink ref="L103" r:id="rId399" display="Ans"/>
    <hyperlink ref="H104" r:id="rId400" display="open"/>
    <hyperlink ref="J104" r:id="rId401" display="QP"/>
    <hyperlink ref="K104" r:id="rId402" display="MS"/>
    <hyperlink ref="L104" r:id="rId403" display="Ans"/>
    <hyperlink ref="H105" r:id="rId404" display="open"/>
    <hyperlink ref="J105" r:id="rId405" display="QP"/>
    <hyperlink ref="K105" r:id="rId406" display="MS"/>
    <hyperlink ref="L105" r:id="rId407" display="Ans"/>
    <hyperlink ref="H106" r:id="rId408" display="open"/>
    <hyperlink ref="J106" r:id="rId409" display="QP"/>
    <hyperlink ref="K106" r:id="rId410" display="MS"/>
    <hyperlink ref="L106" r:id="rId411" display="Ans"/>
    <hyperlink ref="H107" r:id="rId412" display="open"/>
    <hyperlink ref="J107" r:id="rId413" display="QP"/>
    <hyperlink ref="K107" r:id="rId414" display="MS"/>
    <hyperlink ref="L107" r:id="rId415" display="Ans"/>
    <hyperlink ref="H108" r:id="rId416" display="open"/>
    <hyperlink ref="J108" r:id="rId417" display="QP"/>
    <hyperlink ref="K108" r:id="rId418" display="MS"/>
    <hyperlink ref="L108" r:id="rId419" display="Ans"/>
    <hyperlink ref="H109" r:id="rId420" display="open"/>
    <hyperlink ref="J109" r:id="rId421" display="QP"/>
    <hyperlink ref="K109" r:id="rId422" display="MS"/>
    <hyperlink ref="L109" r:id="rId423" display="Ans"/>
    <hyperlink ref="H110" r:id="rId424" display="open"/>
    <hyperlink ref="J110" r:id="rId425" display="QP"/>
    <hyperlink ref="K110" r:id="rId426" display="MS"/>
    <hyperlink ref="L110" r:id="rId427" display="Ans"/>
    <hyperlink ref="H111" r:id="rId428" display="open"/>
    <hyperlink ref="J111" r:id="rId429" display="QP"/>
    <hyperlink ref="K111" r:id="rId430" display="MS"/>
    <hyperlink ref="L111" r:id="rId431" display="Ans"/>
    <hyperlink ref="H112" r:id="rId432" display="open"/>
    <hyperlink ref="J112" r:id="rId433" display="QP"/>
    <hyperlink ref="K112" r:id="rId434" display="MS"/>
    <hyperlink ref="L112" r:id="rId435" display="Ans"/>
    <hyperlink ref="H113" r:id="rId436" display="open"/>
    <hyperlink ref="J113" r:id="rId437" display="QP"/>
    <hyperlink ref="K113" r:id="rId438" display="MS"/>
    <hyperlink ref="L113" r:id="rId439" display="Ans"/>
    <hyperlink ref="H114" r:id="rId440" display="open"/>
    <hyperlink ref="J114" r:id="rId441" display="QP"/>
    <hyperlink ref="K114" r:id="rId442" display="MS"/>
    <hyperlink ref="L114" r:id="rId443" display="Ans"/>
    <hyperlink ref="H115" r:id="rId444" display="open"/>
    <hyperlink ref="J115" r:id="rId445" display="QP"/>
    <hyperlink ref="K115" r:id="rId446" display="MS"/>
    <hyperlink ref="L115" r:id="rId447" display="Ans"/>
    <hyperlink ref="H116" r:id="rId448" display="open"/>
    <hyperlink ref="J116" r:id="rId449" display="QP"/>
    <hyperlink ref="K116" r:id="rId450" display="MS"/>
    <hyperlink ref="L116" r:id="rId451" display="Ans"/>
    <hyperlink ref="H117" r:id="rId452" display="open"/>
    <hyperlink ref="J117" r:id="rId453" display="QP"/>
    <hyperlink ref="K117" r:id="rId454" display="MS"/>
    <hyperlink ref="L117" r:id="rId455" display="Ans"/>
    <hyperlink ref="H118" r:id="rId456" display="open"/>
    <hyperlink ref="H119" r:id="rId457" display="open"/>
    <hyperlink ref="J119" r:id="rId458" display="QP"/>
    <hyperlink ref="K119" r:id="rId459" display="MS"/>
    <hyperlink ref="L119" r:id="rId460" display="Ans"/>
    <hyperlink ref="H120" r:id="rId461" display="open"/>
    <hyperlink ref="J120" r:id="rId462" display="QP"/>
    <hyperlink ref="K120" r:id="rId463" display="MS"/>
    <hyperlink ref="L120" r:id="rId464" display="A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24" t="s">
        <v>264</v>
      </c>
    </row>
    <row r="2" customFormat="false" ht="15" hidden="false" customHeight="false" outlineLevel="0" collapsed="false">
      <c r="A2" s="2" t="s">
        <v>265</v>
      </c>
    </row>
    <row r="4" customFormat="false" ht="15" hidden="false" customHeight="false" outlineLevel="0" collapsed="false">
      <c r="A4" s="3" t="s">
        <v>266</v>
      </c>
      <c r="B4" s="3" t="s">
        <v>267</v>
      </c>
      <c r="C4" s="3" t="s">
        <v>268</v>
      </c>
      <c r="D4" s="3" t="s">
        <v>269</v>
      </c>
    </row>
    <row r="5" customFormat="false" ht="27.75" hidden="false" customHeight="true" outlineLevel="0" collapsed="false">
      <c r="A5" s="13" t="s">
        <v>270</v>
      </c>
      <c r="B5" s="13" t="s">
        <v>271</v>
      </c>
      <c r="C5" s="13" t="s">
        <v>272</v>
      </c>
      <c r="D5" s="13" t="s">
        <v>273</v>
      </c>
    </row>
    <row r="6" customFormat="false" ht="27.75" hidden="false" customHeight="true" outlineLevel="0" collapsed="false">
      <c r="A6" s="13" t="s">
        <v>274</v>
      </c>
      <c r="B6" s="13" t="s">
        <v>68</v>
      </c>
      <c r="C6" s="13" t="s">
        <v>275</v>
      </c>
      <c r="D6" s="13" t="s">
        <v>273</v>
      </c>
    </row>
    <row r="7" customFormat="false" ht="27.75" hidden="false" customHeight="true" outlineLevel="0" collapsed="false">
      <c r="A7" s="13" t="s">
        <v>276</v>
      </c>
      <c r="B7" s="13" t="s">
        <v>277</v>
      </c>
      <c r="C7" s="13" t="s">
        <v>278</v>
      </c>
      <c r="D7" s="13" t="s">
        <v>273</v>
      </c>
    </row>
    <row r="8" customFormat="false" ht="27.75" hidden="false" customHeight="true" outlineLevel="0" collapsed="false">
      <c r="A8" s="13" t="s">
        <v>279</v>
      </c>
      <c r="B8" s="13" t="s">
        <v>280</v>
      </c>
      <c r="C8" s="13" t="s">
        <v>281</v>
      </c>
      <c r="D8" s="13" t="s">
        <v>273</v>
      </c>
    </row>
    <row r="9" customFormat="false" ht="27.75" hidden="false" customHeight="true" outlineLevel="0" collapsed="false">
      <c r="A9" s="13" t="s">
        <v>282</v>
      </c>
      <c r="B9" s="13" t="s">
        <v>283</v>
      </c>
      <c r="C9" s="13" t="s">
        <v>191</v>
      </c>
      <c r="D9" s="13" t="s">
        <v>273</v>
      </c>
    </row>
    <row r="10" customFormat="false" ht="27.75" hidden="false" customHeight="true" outlineLevel="0" collapsed="false">
      <c r="A10" s="13" t="s">
        <v>284</v>
      </c>
      <c r="B10" s="13" t="s">
        <v>96</v>
      </c>
      <c r="C10" s="13" t="s">
        <v>285</v>
      </c>
      <c r="D10" s="13" t="s">
        <v>273</v>
      </c>
    </row>
    <row r="11" customFormat="false" ht="27.75" hidden="false" customHeight="true" outlineLevel="0" collapsed="false">
      <c r="A11" s="13" t="s">
        <v>286</v>
      </c>
      <c r="B11" s="13" t="s">
        <v>287</v>
      </c>
      <c r="C11" s="13" t="s">
        <v>288</v>
      </c>
      <c r="D11" s="13" t="s">
        <v>273</v>
      </c>
    </row>
    <row r="12" customFormat="false" ht="27.75" hidden="false" customHeight="true" outlineLevel="0" collapsed="false">
      <c r="A12" s="13" t="s">
        <v>289</v>
      </c>
      <c r="B12" s="13" t="s">
        <v>290</v>
      </c>
      <c r="C12" s="13" t="s">
        <v>291</v>
      </c>
      <c r="D12" s="13" t="s">
        <v>273</v>
      </c>
    </row>
    <row r="13" customFormat="false" ht="27.75" hidden="false" customHeight="true" outlineLevel="0" collapsed="false">
      <c r="A13" s="13" t="s">
        <v>292</v>
      </c>
      <c r="B13" s="13" t="s">
        <v>293</v>
      </c>
      <c r="C13" s="13" t="s">
        <v>173</v>
      </c>
      <c r="D13" s="13" t="s">
        <v>273</v>
      </c>
    </row>
    <row r="14" customFormat="false" ht="27.75" hidden="false" customHeight="true" outlineLevel="0" collapsed="false">
      <c r="A14" s="13" t="s">
        <v>294</v>
      </c>
      <c r="B14" s="13" t="s">
        <v>295</v>
      </c>
      <c r="C14" s="13" t="s">
        <v>296</v>
      </c>
      <c r="D14" s="13" t="s">
        <v>273</v>
      </c>
    </row>
    <row r="15" customFormat="false" ht="27.75" hidden="false" customHeight="true" outlineLevel="0" collapsed="false">
      <c r="A15" s="13" t="s">
        <v>297</v>
      </c>
      <c r="B15" s="13" t="s">
        <v>298</v>
      </c>
      <c r="C15" s="13" t="s">
        <v>91</v>
      </c>
      <c r="D15" s="13" t="s">
        <v>273</v>
      </c>
    </row>
    <row r="16" customFormat="false" ht="27.75" hidden="false" customHeight="true" outlineLevel="0" collapsed="false">
      <c r="A16" s="13" t="s">
        <v>299</v>
      </c>
      <c r="B16" s="13" t="s">
        <v>300</v>
      </c>
      <c r="C16" s="13" t="s">
        <v>301</v>
      </c>
      <c r="D16" s="13" t="s">
        <v>273</v>
      </c>
    </row>
    <row r="17" customFormat="false" ht="27.75" hidden="false" customHeight="true" outlineLevel="0" collapsed="false">
      <c r="A17" s="13" t="s">
        <v>302</v>
      </c>
      <c r="B17" s="13" t="s">
        <v>303</v>
      </c>
      <c r="C17" s="13" t="s">
        <v>304</v>
      </c>
      <c r="D17" s="13" t="s">
        <v>273</v>
      </c>
    </row>
    <row r="18" customFormat="false" ht="27.75" hidden="false" customHeight="true" outlineLevel="0" collapsed="false">
      <c r="A18" s="13" t="s">
        <v>305</v>
      </c>
      <c r="B18" s="13" t="s">
        <v>306</v>
      </c>
      <c r="C18" s="13" t="s">
        <v>307</v>
      </c>
      <c r="D18" s="13" t="s">
        <v>273</v>
      </c>
    </row>
    <row r="19" customFormat="false" ht="27.75" hidden="false" customHeight="true" outlineLevel="0" collapsed="false">
      <c r="A19" s="13" t="s">
        <v>308</v>
      </c>
      <c r="B19" s="13" t="s">
        <v>309</v>
      </c>
      <c r="C19" s="13" t="s">
        <v>310</v>
      </c>
      <c r="D19" s="13" t="s">
        <v>273</v>
      </c>
    </row>
    <row r="20" customFormat="false" ht="27.75" hidden="false" customHeight="true" outlineLevel="0" collapsed="false">
      <c r="A20" s="13" t="s">
        <v>311</v>
      </c>
      <c r="B20" s="13" t="s">
        <v>122</v>
      </c>
      <c r="C20" s="13" t="s">
        <v>196</v>
      </c>
      <c r="D20" s="13" t="s">
        <v>273</v>
      </c>
    </row>
    <row r="21" customFormat="false" ht="27.75" hidden="false" customHeight="true" outlineLevel="0" collapsed="false">
      <c r="A21" s="13" t="s">
        <v>312</v>
      </c>
      <c r="B21" s="13" t="s">
        <v>313</v>
      </c>
      <c r="C21" s="13" t="s">
        <v>314</v>
      </c>
      <c r="D21" s="13" t="s">
        <v>273</v>
      </c>
    </row>
    <row r="22" customFormat="false" ht="27.75" hidden="false" customHeight="true" outlineLevel="0" collapsed="false">
      <c r="A22" s="13" t="s">
        <v>315</v>
      </c>
      <c r="B22" s="13" t="s">
        <v>316</v>
      </c>
      <c r="C22" s="13" t="s">
        <v>317</v>
      </c>
      <c r="D22" s="13" t="s">
        <v>273</v>
      </c>
    </row>
    <row r="23" customFormat="false" ht="27.75" hidden="false" customHeight="true" outlineLevel="0" collapsed="false">
      <c r="A23" s="13" t="s">
        <v>318</v>
      </c>
      <c r="B23" s="13" t="s">
        <v>151</v>
      </c>
      <c r="C23" s="13" t="s">
        <v>319</v>
      </c>
      <c r="D23" s="13" t="s">
        <v>273</v>
      </c>
    </row>
    <row r="24" customFormat="false" ht="27.75" hidden="false" customHeight="true" outlineLevel="0" collapsed="false">
      <c r="A24" s="13" t="s">
        <v>320</v>
      </c>
      <c r="B24" s="13" t="s">
        <v>155</v>
      </c>
      <c r="C24" s="13" t="s">
        <v>321</v>
      </c>
      <c r="D24" s="13" t="s">
        <v>273</v>
      </c>
    </row>
    <row r="25" customFormat="false" ht="27.75" hidden="false" customHeight="true" outlineLevel="0" collapsed="false">
      <c r="A25" s="13" t="s">
        <v>322</v>
      </c>
      <c r="B25" s="13" t="s">
        <v>323</v>
      </c>
      <c r="C25" s="13" t="s">
        <v>324</v>
      </c>
      <c r="D25" s="13" t="s">
        <v>273</v>
      </c>
    </row>
    <row r="26" customFormat="false" ht="27.75" hidden="false" customHeight="true" outlineLevel="0" collapsed="false">
      <c r="A26" s="13" t="s">
        <v>325</v>
      </c>
      <c r="B26" s="13" t="s">
        <v>326</v>
      </c>
      <c r="C26" s="13" t="s">
        <v>327</v>
      </c>
      <c r="D26" s="13" t="s">
        <v>273</v>
      </c>
    </row>
    <row r="27" customFormat="false" ht="27.75" hidden="false" customHeight="true" outlineLevel="0" collapsed="false">
      <c r="A27" s="13" t="s">
        <v>328</v>
      </c>
      <c r="B27" s="13" t="s">
        <v>329</v>
      </c>
      <c r="C27" s="13" t="s">
        <v>257</v>
      </c>
      <c r="D27" s="13" t="s">
        <v>273</v>
      </c>
    </row>
    <row r="28" customFormat="false" ht="27.75" hidden="false" customHeight="true" outlineLevel="0" collapsed="false">
      <c r="A28" s="13" t="s">
        <v>330</v>
      </c>
      <c r="B28" s="13" t="s">
        <v>331</v>
      </c>
      <c r="C28" s="13" t="s">
        <v>332</v>
      </c>
      <c r="D28" s="13" t="s">
        <v>273</v>
      </c>
    </row>
    <row r="29" customFormat="false" ht="27.75" hidden="false" customHeight="true" outlineLevel="0" collapsed="false">
      <c r="A29" s="13" t="s">
        <v>333</v>
      </c>
      <c r="B29" s="13" t="s">
        <v>334</v>
      </c>
      <c r="C29" s="13" t="s">
        <v>335</v>
      </c>
      <c r="D29" s="13" t="s">
        <v>273</v>
      </c>
    </row>
    <row r="30" customFormat="false" ht="27.75" hidden="false" customHeight="true" outlineLevel="0" collapsed="false">
      <c r="A30" s="25" t="s">
        <v>336</v>
      </c>
      <c r="B30" s="25" t="s">
        <v>337</v>
      </c>
      <c r="C30" s="25" t="s">
        <v>338</v>
      </c>
      <c r="D30" s="25" t="s">
        <v>339</v>
      </c>
    </row>
    <row r="31" customFormat="false" ht="27.75" hidden="false" customHeight="true" outlineLevel="0" collapsed="false">
      <c r="A31" s="13" t="s">
        <v>340</v>
      </c>
      <c r="B31" s="13" t="s">
        <v>341</v>
      </c>
      <c r="C31" s="13" t="s">
        <v>342</v>
      </c>
      <c r="D31" s="13" t="s">
        <v>273</v>
      </c>
    </row>
    <row r="32" customFormat="false" ht="27.75" hidden="false" customHeight="true" outlineLevel="0" collapsed="false">
      <c r="A32" s="13" t="s">
        <v>343</v>
      </c>
      <c r="B32" s="13" t="s">
        <v>167</v>
      </c>
      <c r="C32" s="13" t="s">
        <v>167</v>
      </c>
      <c r="D32" s="13" t="s">
        <v>273</v>
      </c>
    </row>
    <row r="33" customFormat="false" ht="27.75" hidden="false" customHeight="true" outlineLevel="0" collapsed="false">
      <c r="A33" s="13" t="s">
        <v>344</v>
      </c>
      <c r="B33" s="13" t="s">
        <v>345</v>
      </c>
      <c r="C33" s="13" t="s">
        <v>346</v>
      </c>
      <c r="D33" s="13" t="s">
        <v>273</v>
      </c>
    </row>
    <row r="34" customFormat="false" ht="27.75" hidden="false" customHeight="true" outlineLevel="0" collapsed="false">
      <c r="A34" s="13" t="s">
        <v>347</v>
      </c>
      <c r="B34" s="13" t="s">
        <v>348</v>
      </c>
      <c r="C34" s="13" t="s">
        <v>349</v>
      </c>
      <c r="D34" s="13" t="s">
        <v>273</v>
      </c>
    </row>
    <row r="35" customFormat="false" ht="27.75" hidden="false" customHeight="true" outlineLevel="0" collapsed="false">
      <c r="A35" s="13" t="s">
        <v>350</v>
      </c>
      <c r="B35" s="13" t="s">
        <v>351</v>
      </c>
      <c r="C35" s="13" t="s">
        <v>352</v>
      </c>
      <c r="D35" s="13" t="s">
        <v>273</v>
      </c>
    </row>
    <row r="36" customFormat="false" ht="27.75" hidden="false" customHeight="true" outlineLevel="0" collapsed="false">
      <c r="A36" s="13" t="s">
        <v>353</v>
      </c>
      <c r="B36" s="13" t="s">
        <v>354</v>
      </c>
      <c r="C36" s="13" t="s">
        <v>355</v>
      </c>
      <c r="D36" s="13" t="s">
        <v>273</v>
      </c>
    </row>
    <row r="37" customFormat="false" ht="27.75" hidden="false" customHeight="true" outlineLevel="0" collapsed="false">
      <c r="A37" s="13" t="s">
        <v>356</v>
      </c>
      <c r="B37" s="13" t="s">
        <v>357</v>
      </c>
      <c r="C37" s="13" t="s">
        <v>358</v>
      </c>
      <c r="D37" s="13" t="s">
        <v>273</v>
      </c>
    </row>
    <row r="38" customFormat="false" ht="27.75" hidden="false" customHeight="true" outlineLevel="0" collapsed="false">
      <c r="A38" s="13" t="s">
        <v>359</v>
      </c>
      <c r="B38" s="13" t="s">
        <v>360</v>
      </c>
      <c r="C38" s="13" t="s">
        <v>361</v>
      </c>
      <c r="D38" s="13" t="s">
        <v>273</v>
      </c>
    </row>
    <row r="39" customFormat="false" ht="27.75" hidden="false" customHeight="true" outlineLevel="0" collapsed="false">
      <c r="A39" s="13" t="s">
        <v>362</v>
      </c>
      <c r="B39" s="13" t="s">
        <v>217</v>
      </c>
      <c r="C39" s="13" t="s">
        <v>363</v>
      </c>
      <c r="D39" s="13" t="s">
        <v>273</v>
      </c>
    </row>
    <row r="40" customFormat="false" ht="27.75" hidden="false" customHeight="true" outlineLevel="0" collapsed="false">
      <c r="A40" s="13" t="s">
        <v>364</v>
      </c>
      <c r="B40" s="13" t="s">
        <v>365</v>
      </c>
      <c r="C40" s="13" t="s">
        <v>139</v>
      </c>
      <c r="D40" s="13" t="s">
        <v>273</v>
      </c>
    </row>
    <row r="41" customFormat="false" ht="27.75" hidden="false" customHeight="true" outlineLevel="0" collapsed="false">
      <c r="A41" s="13" t="s">
        <v>366</v>
      </c>
      <c r="B41" s="13" t="s">
        <v>367</v>
      </c>
      <c r="C41" s="13" t="s">
        <v>368</v>
      </c>
      <c r="D41" s="13" t="s">
        <v>273</v>
      </c>
    </row>
    <row r="42" customFormat="false" ht="27.75" hidden="false" customHeight="true" outlineLevel="0" collapsed="false">
      <c r="A42" s="13" t="s">
        <v>369</v>
      </c>
      <c r="B42" s="13" t="s">
        <v>370</v>
      </c>
      <c r="C42" s="13" t="s">
        <v>371</v>
      </c>
      <c r="D42" s="13" t="s">
        <v>273</v>
      </c>
    </row>
    <row r="43" customFormat="false" ht="27.75" hidden="false" customHeight="true" outlineLevel="0" collapsed="false">
      <c r="A43" s="13" t="s">
        <v>372</v>
      </c>
      <c r="B43" s="13" t="s">
        <v>108</v>
      </c>
      <c r="C43" s="13" t="s">
        <v>373</v>
      </c>
      <c r="D43" s="13" t="s">
        <v>273</v>
      </c>
    </row>
    <row r="45" customFormat="false" ht="15" hidden="false" customHeight="false" outlineLevel="0" collapsed="false">
      <c r="A45" s="10" t="s">
        <v>47</v>
      </c>
    </row>
    <row r="46" customFormat="false" ht="15" hidden="false" customHeight="false" outlineLevel="0" collapsed="false">
      <c r="A46" s="26" t="s">
        <v>374</v>
      </c>
    </row>
    <row r="47" customFormat="false" ht="15" hidden="false" customHeight="false" outlineLevel="0" collapsed="false">
      <c r="A47" s="26" t="s">
        <v>375</v>
      </c>
    </row>
    <row r="48" customFormat="false" ht="15" hidden="false" customHeight="false" outlineLevel="0" collapsed="false">
      <c r="A48" s="26" t="s">
        <v>376</v>
      </c>
    </row>
    <row r="49" customFormat="false" ht="15" hidden="false" customHeight="false" outlineLevel="0" collapsed="false">
      <c r="A49" s="26" t="s">
        <v>377</v>
      </c>
    </row>
    <row r="50" customFormat="false" ht="15" hidden="false" customHeight="false" outlineLevel="0" collapsed="false">
      <c r="A50" s="26" t="s">
        <v>378</v>
      </c>
    </row>
    <row r="51" customFormat="false" ht="15" hidden="false" customHeight="false" outlineLevel="0" collapsed="false">
      <c r="A51" s="26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2026-09-21T16:42:58Z</dcterms:created>
  <dc:creator>openpyxl</dc:creator>
  <dc:description/>
  <dc:language>en-US</dc:language>
  <cp:lastModifiedBy/>
  <dcterms:modified xsi:type="dcterms:W3CDTF">2026-09-21T16:42:58Z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