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art here" sheetId="2" state="visible" r:id="rId4"/>
    <sheet name="RAG tracker" sheetId="3" state="visible" r:id="rId5"/>
    <sheet name="Workshee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<sst xmlns="http://schemas.openxmlformats.org/spreadsheetml/2006/main" count="1179" uniqueCount="321">
  <si>
    <t xml:space="preserve">Summary</t>
  </si>
  <si>
    <t xml:space="preserve">Fills in automatically once the RAG tracker is completed.</t>
  </si>
  <si>
    <t xml:space="preserve">Rating</t>
  </si>
  <si>
    <t xml:space="preserve">Topics</t>
  </si>
  <si>
    <t xml:space="preserve">What we do</t>
  </si>
  <si>
    <t xml:space="preserve">Questions each</t>
  </si>
  <si>
    <t xml:space="preserve">Questions total</t>
  </si>
  <si>
    <t xml:space="preserve">R</t>
  </si>
  <si>
    <t xml:space="preserve">Full worksheet, taught first</t>
  </si>
  <si>
    <t xml:space="preserve">A</t>
  </si>
  <si>
    <t xml:space="preserve">Work until 3 right in a row</t>
  </si>
  <si>
    <t xml:space="preserve">G</t>
  </si>
  <si>
    <t xml:space="preserve">2 question spot check</t>
  </si>
  <si>
    <t xml:space="preserve">Not yet rated</t>
  </si>
  <si>
    <t xml:space="preserve">Total questions</t>
  </si>
  <si>
    <t xml:space="preserve">Hours at about 2.5 min a question</t>
  </si>
  <si>
    <t xml:space="preserve">Hours per week over six weeks</t>
  </si>
  <si>
    <t xml:space="preserve">Assumptions</t>
  </si>
  <si>
    <t xml:space="preserve">13 questions per worksheet is the measured median of the PMT Higher sheets (13 pages, about 45 marks).</t>
  </si>
  <si>
    <t xml:space="preserve">2.5 minutes a question is an estimate. Charlotte has extra time, so treat the hours as a floor.</t>
  </si>
  <si>
    <t xml:space="preserve">Amber topics stop at 3 correct in a row, so 6 is an average rather than a fixed number.</t>
  </si>
  <si>
    <t xml:space="preserve">Rows marked 'Not this time' in the plan column sit above a grade 5 and are not scheduled, whatever the rating.</t>
  </si>
  <si>
    <t xml:space="preserve">3.4 Calculus is on the Higher specification but PMT has no topic worksheet for it.</t>
  </si>
  <si>
    <t xml:space="preserve">Charlotte: maths topic check</t>
  </si>
  <si>
    <t xml:space="preserve">Edexcel International GCSE Mathematics A (4MA1), Higher Tier. Every topic below is taken from the Pearson specification.</t>
  </si>
  <si>
    <t xml:space="preserve">What to do</t>
  </si>
  <si>
    <t xml:space="preserve">Go to the RAG tracker tab. For each row, read the topic and what it covers, then put R, A or G in the 'Your rating' column. That is the only column you need to fill in, plus Notes if you want.</t>
  </si>
  <si>
    <t xml:space="preserve">I could not start this, or I would get it wrong.</t>
  </si>
  <si>
    <t xml:space="preserve">I can do it but slowly, or I get some of it right and some wrong.</t>
  </si>
  <si>
    <t xml:space="preserve">I can do this confidently and quickly.</t>
  </si>
  <si>
    <t xml:space="preserve">Be honest rather than kind</t>
  </si>
  <si>
    <t xml:space="preserve">A topic marked G gets almost no time from us. If you are unsure between two ratings, pick the lower one.</t>
  </si>
  <si>
    <t xml:space="preserve">Higher only rows</t>
  </si>
  <si>
    <t xml:space="preserve">Some rows are marked 'Higher only'. Those are the harder end of the paper. Rate them anyway, even if you have never seen them.</t>
  </si>
  <si>
    <t xml:space="preserve">How long</t>
  </si>
  <si>
    <t xml:space="preserve">About 55 rows. It should take 20 to 30 minutes. You do not need to do any maths to fill it in.</t>
  </si>
  <si>
    <t xml:space="preserve">Example of a filled row</t>
  </si>
  <si>
    <t xml:space="preserve">Ref</t>
  </si>
  <si>
    <t xml:space="preserve">Topic</t>
  </si>
  <si>
    <t xml:space="preserve">What it covers</t>
  </si>
  <si>
    <t xml:space="preserve">Level</t>
  </si>
  <si>
    <t xml:space="preserve">Your rating</t>
  </si>
  <si>
    <t xml:space="preserve">Notes</t>
  </si>
  <si>
    <t xml:space="preserve">1.2</t>
  </si>
  <si>
    <t xml:space="preserve">Fractions</t>
  </si>
  <si>
    <t xml:space="preserve">Equivalent fractions and simplifying, mixed numbers, all four operations</t>
  </si>
  <si>
    <t xml:space="preserve">Foundation</t>
  </si>
  <si>
    <t xml:space="preserve">Fine adding, always get stuck dividing</t>
  </si>
  <si>
    <t xml:space="preserve">In our plan</t>
  </si>
  <si>
    <t xml:space="preserve">What we do about it</t>
  </si>
  <si>
    <t xml:space="preserve">1.1</t>
  </si>
  <si>
    <t xml:space="preserve">Integers and the number system</t>
  </si>
  <si>
    <t xml:space="preserve">Negative numbers, place value, ordering, the four operations, order of operations, factors, multiples and primes</t>
  </si>
  <si>
    <t xml:space="preserve">Core</t>
  </si>
  <si>
    <t xml:space="preserve">Equivalent fractions and simplifying, mixed numbers, all four operations, a fraction of a quantity, converting to decimals and percentages</t>
  </si>
  <si>
    <t xml:space="preserve">1.3</t>
  </si>
  <si>
    <t xml:space="preserve">Decimals</t>
  </si>
  <si>
    <t xml:space="preserve">Place value, ordering decimals, converting decimals to fractions and percentages</t>
  </si>
  <si>
    <t xml:space="preserve">1.3H</t>
  </si>
  <si>
    <t xml:space="preserve">Recurring decimals</t>
  </si>
  <si>
    <t xml:space="preserve">Converting a recurring decimal into a fraction</t>
  </si>
  <si>
    <t xml:space="preserve">Higher only</t>
  </si>
  <si>
    <t xml:space="preserve">Not this time</t>
  </si>
  <si>
    <t xml:space="preserve">1.4</t>
  </si>
  <si>
    <t xml:space="preserve">Powers and roots</t>
  </si>
  <si>
    <t xml:space="preserve">Squares, cubes and their roots, index laws for positive and negative powers, product of prime factors, HCF and LCM</t>
  </si>
  <si>
    <t xml:space="preserve">1.4H</t>
  </si>
  <si>
    <t xml:space="preserve">Surds and fractional indices</t>
  </si>
  <si>
    <t xml:space="preserve">Simplifying and manipulating surds, rationalising a denominator, fractional and negative powers</t>
  </si>
  <si>
    <t xml:space="preserve">1.5</t>
  </si>
  <si>
    <t xml:space="preserve">Set language and Venn diagrams</t>
  </si>
  <si>
    <t xml:space="preserve">Set notation, universal and empty set, complement, Venn diagrams, n(A), subsets</t>
  </si>
  <si>
    <t xml:space="preserve">Foundation + Higher</t>
  </si>
  <si>
    <t xml:space="preserve">1.6</t>
  </si>
  <si>
    <t xml:space="preserve">Percentages</t>
  </si>
  <si>
    <t xml:space="preserve">Percentage of a quantity, one number as a percentage of another, increase and decrease, reverse percentages, compound interest and depreciation, repeated percentage change</t>
  </si>
  <si>
    <t xml:space="preserve">1.7</t>
  </si>
  <si>
    <t xml:space="preserve">Ratio and proportion</t>
  </si>
  <si>
    <t xml:space="preserve">Ratio notation and simplifying, dividing a quantity in a ratio, unitary method, direct proportion, maps and scale diagrams</t>
  </si>
  <si>
    <t xml:space="preserve">1.8</t>
  </si>
  <si>
    <t xml:space="preserve">Degree of accuracy</t>
  </si>
  <si>
    <t xml:space="preserve">Rounding to decimal places and significant figures, estimating by rounding to 1 significant figure</t>
  </si>
  <si>
    <t xml:space="preserve">1.8H</t>
  </si>
  <si>
    <t xml:space="preserve">Upper and lower bounds</t>
  </si>
  <si>
    <t xml:space="preserve">Identifying bounds and solving problems using them</t>
  </si>
  <si>
    <t xml:space="preserve">1.9</t>
  </si>
  <si>
    <t xml:space="preserve">Standard form</t>
  </si>
  <si>
    <t xml:space="preserve">Calculating with and interpreting numbers in standard form, and solving problems with it</t>
  </si>
  <si>
    <t xml:space="preserve">1.10</t>
  </si>
  <si>
    <t xml:space="preserve">Applying number</t>
  </si>
  <si>
    <t xml:space="preserve">Units of mass, length, area, volume and capacity, time calculations, money and currency</t>
  </si>
  <si>
    <t xml:space="preserve">1.11</t>
  </si>
  <si>
    <t xml:space="preserve">Calculator use</t>
  </si>
  <si>
    <t xml:space="preserve">Using a scientific calculator to get accurate numerical results</t>
  </si>
  <si>
    <t xml:space="preserve">2.1</t>
  </si>
  <si>
    <t xml:space="preserve">Use of symbols</t>
  </si>
  <si>
    <t xml:space="preserve">Symbols for numbers and variables, index notation including zero and negative powers, index laws</t>
  </si>
  <si>
    <t xml:space="preserve">2.2</t>
  </si>
  <si>
    <t xml:space="preserve">Algebraic manipulation</t>
  </si>
  <si>
    <t xml:space="preserve">Substituting values, collecting like terms, expanding a single bracket and two brackets, taking out common factors, factorising quadratics</t>
  </si>
  <si>
    <t xml:space="preserve">2.2H</t>
  </si>
  <si>
    <t xml:space="preserve">Harder algebraic manipulation</t>
  </si>
  <si>
    <t xml:space="preserve">Triple brackets, algebraic fractions, completing the square, algebraic proof</t>
  </si>
  <si>
    <t xml:space="preserve">2.3</t>
  </si>
  <si>
    <t xml:space="preserve">Expressions and formulae</t>
  </si>
  <si>
    <t xml:space="preserve">Writing and using formulae, substitution, deriving an expression, changing the subject including when the subject appears twice</t>
  </si>
  <si>
    <t xml:space="preserve">2.4</t>
  </si>
  <si>
    <t xml:space="preserve">Linear equations</t>
  </si>
  <si>
    <t xml:space="preserve">Solving equations with the unknown on one or both sides, including fractional coefficients, and setting them up from given information</t>
  </si>
  <si>
    <t xml:space="preserve">2.5</t>
  </si>
  <si>
    <t xml:space="preserve">Proportion (algebraic)</t>
  </si>
  <si>
    <t xml:space="preserve">Setting up direct and inverse proportion problems and relating them to graphs</t>
  </si>
  <si>
    <t xml:space="preserve">Stretch</t>
  </si>
  <si>
    <t xml:space="preserve">2.6</t>
  </si>
  <si>
    <t xml:space="preserve">Simultaneous equations</t>
  </si>
  <si>
    <t xml:space="preserve">Solving two linear equations in two unknowns, and reading the solution as the intersection of two lines</t>
  </si>
  <si>
    <t xml:space="preserve">2.7</t>
  </si>
  <si>
    <t xml:space="preserve">Quadratic equations</t>
  </si>
  <si>
    <t xml:space="preserve">Solving by factorising</t>
  </si>
  <si>
    <t xml:space="preserve">2.7H</t>
  </si>
  <si>
    <t xml:space="preserve">Harder quadratics</t>
  </si>
  <si>
    <t xml:space="preserve">The quadratic formula, completing the square, forming quadratics from context, one linear and one quadratic simultaneously</t>
  </si>
  <si>
    <t xml:space="preserve">2.8</t>
  </si>
  <si>
    <t xml:space="preserve">Inequalities</t>
  </si>
  <si>
    <t xml:space="preserve">Inequality symbols, number lines, solving linear inequalities, shading regions on a graph</t>
  </si>
  <si>
    <t xml:space="preserve">2.8H</t>
  </si>
  <si>
    <t xml:space="preserve">Quadratic inequalities</t>
  </si>
  <si>
    <t xml:space="preserve">Solving quadratic inequalities and harder shaded regions</t>
  </si>
  <si>
    <t xml:space="preserve">3.1</t>
  </si>
  <si>
    <t xml:space="preserve">Sequences</t>
  </si>
  <si>
    <t xml:space="preserve">Term to term and position to term rules, continuing a sequence, the nth term of an arithmetic sequence</t>
  </si>
  <si>
    <t xml:space="preserve">3.1H</t>
  </si>
  <si>
    <t xml:space="preserve">Arithmetic series</t>
  </si>
  <si>
    <t xml:space="preserve">First term and common difference, the nth term formula, the sum of the first n terms</t>
  </si>
  <si>
    <t xml:space="preserve">3.2</t>
  </si>
  <si>
    <t xml:space="preserve">Function notation</t>
  </si>
  <si>
    <t xml:space="preserve">f(x) notation, domain and range, composite and inverse functions</t>
  </si>
  <si>
    <t xml:space="preserve">3.3</t>
  </si>
  <si>
    <t xml:space="preserve">Coordinates and straight lines</t>
  </si>
  <si>
    <t xml:space="preserve">Coordinates in four quadrants, midpoint of a line segment, gradient, y = mx + c, drawing and interpreting straight line graphs including conversion graphs</t>
  </si>
  <si>
    <t xml:space="preserve">3.3b</t>
  </si>
  <si>
    <t xml:space="preserve">Curves and real life graphs</t>
  </si>
  <si>
    <t xml:space="preserve">Plotting and interpreting quadratic graphs, distance time and speed time graphs</t>
  </si>
  <si>
    <t xml:space="preserve">3.3H</t>
  </si>
  <si>
    <t xml:space="preserve">Harder graphs</t>
  </si>
  <si>
    <t xml:space="preserve">Cubic, reciprocal, exponential and trigonometric graphs, transformations of y = f(x), gradients of curves by tangent, circle equations</t>
  </si>
  <si>
    <t xml:space="preserve">3.4</t>
  </si>
  <si>
    <t xml:space="preserve">Calculus</t>
  </si>
  <si>
    <t xml:space="preserve">Differentiating powers of x, gradients and rates of change, stationary points, maxima and minima, linear kinematics</t>
  </si>
  <si>
    <t xml:space="preserve">4.1</t>
  </si>
  <si>
    <t xml:space="preserve">Angles, lines and triangles</t>
  </si>
  <si>
    <t xml:space="preserve">Types of angle, angles on a line and at a point, parallel line angles, angle sum and exterior angle of a triangle, isosceles and equilateral properties</t>
  </si>
  <si>
    <t xml:space="preserve">4.2</t>
  </si>
  <si>
    <t xml:space="preserve">Polygons</t>
  </si>
  <si>
    <t xml:space="preserve">Naming polygons and quadrilaterals, their properties, interior and exterior angles of regular polygons, angle sum of a polygon, congruence</t>
  </si>
  <si>
    <t xml:space="preserve">4.3</t>
  </si>
  <si>
    <t xml:space="preserve">Symmetry</t>
  </si>
  <si>
    <t xml:space="preserve">Lines of symmetry and order of rotational symmetry</t>
  </si>
  <si>
    <t xml:space="preserve">4.4</t>
  </si>
  <si>
    <t xml:space="preserve">Measures</t>
  </si>
  <si>
    <t xml:space="preserve">Reading scales, 12 and 24 hour clock, estimating measures, three figure bearings, measuring angles, speed distance time, compound measures such as density and pressure</t>
  </si>
  <si>
    <t xml:space="preserve">4.5</t>
  </si>
  <si>
    <t xml:space="preserve">Construction</t>
  </si>
  <si>
    <t xml:space="preserve">Measuring and drawing accurately, constructing triangles, scale drawings, perpendicular bisector and angle bisector with compasses</t>
  </si>
  <si>
    <t xml:space="preserve">4.6</t>
  </si>
  <si>
    <t xml:space="preserve">Circle properties</t>
  </si>
  <si>
    <t xml:space="preserve">Circle vocabulary, chord and tangent properties</t>
  </si>
  <si>
    <t xml:space="preserve">4.6H</t>
  </si>
  <si>
    <t xml:space="preserve">Circle theorems</t>
  </si>
  <si>
    <t xml:space="preserve">Intersecting chord properties, cyclic quadrilaterals, angle at the centre, angle in a semicircle, alternate segment</t>
  </si>
  <si>
    <t xml:space="preserve">4.7</t>
  </si>
  <si>
    <t xml:space="preserve">Geometrical reasoning</t>
  </si>
  <si>
    <t xml:space="preserve">Giving reasons for angle answers using standard geometrical statements</t>
  </si>
  <si>
    <t xml:space="preserve">4.8</t>
  </si>
  <si>
    <t xml:space="preserve">Pythagoras and trigonometry in 2D</t>
  </si>
  <si>
    <t xml:space="preserve">Pythagoras' theorem, sine cosine and tangent in right angled triangles, problems in two dimensions including bearings</t>
  </si>
  <si>
    <t xml:space="preserve">4.8H</t>
  </si>
  <si>
    <t xml:space="preserve">Advanced trigonometry</t>
  </si>
  <si>
    <t xml:space="preserve">Obtuse angles, elevation and depression, sine and cosine rules, area of a triangle using ½ab sin C, Pythagoras and trigonometry in 3D</t>
  </si>
  <si>
    <t xml:space="preserve">4.9</t>
  </si>
  <si>
    <t xml:space="preserve">Perimeter and area</t>
  </si>
  <si>
    <t xml:space="preserve">Converting area units, perimeter and area of triangles, rectangles, parallelograms and trapezia, circumference and area of circles and semicircles</t>
  </si>
  <si>
    <t xml:space="preserve">4.9H</t>
  </si>
  <si>
    <t xml:space="preserve">Sectors and arcs</t>
  </si>
  <si>
    <t xml:space="preserve">Perimeter and area of sectors of circles</t>
  </si>
  <si>
    <t xml:space="preserve">4.10</t>
  </si>
  <si>
    <t xml:space="preserve">3D shapes and volume</t>
  </si>
  <si>
    <t xml:space="preserve">Naming solids, faces edges and vertices, surface area, surface area of a cylinder, volume of prisms and cylinders, converting volume units</t>
  </si>
  <si>
    <t xml:space="preserve">4.10H</t>
  </si>
  <si>
    <t xml:space="preserve">Spheres and cones</t>
  </si>
  <si>
    <t xml:space="preserve">Surface area and volume of a sphere and a right circular cone</t>
  </si>
  <si>
    <t xml:space="preserve">4.11</t>
  </si>
  <si>
    <t xml:space="preserve">Similarity</t>
  </si>
  <si>
    <t xml:space="preserve">Similar figures have corresponding lengths in the same ratio, using and interpreting maps and scale drawings</t>
  </si>
  <si>
    <t xml:space="preserve">4.11H</t>
  </si>
  <si>
    <t xml:space="preserve">Area and volume of similar shapes</t>
  </si>
  <si>
    <t xml:space="preserve">Areas in the ratio of the square, volumes in the ratio of the cube, and using these to solve problems</t>
  </si>
  <si>
    <t xml:space="preserve">5.1</t>
  </si>
  <si>
    <t xml:space="preserve">Vectors</t>
  </si>
  <si>
    <t xml:space="preserve">Magnitude and direction, column vectors, multiplying by a scalar, adding and subtracting, modulus, resultant, vector proof</t>
  </si>
  <si>
    <t xml:space="preserve">5.2</t>
  </si>
  <si>
    <t xml:space="preserve">Transformation geometry</t>
  </si>
  <si>
    <t xml:space="preserve">Rotations about a point, reflections in a mirror line, translations by a column vector, enlargement by a scale factor about a centre, describing a transformation fully</t>
  </si>
  <si>
    <t xml:space="preserve">6.1</t>
  </si>
  <si>
    <t xml:space="preserve">Presenting data</t>
  </si>
  <si>
    <t xml:space="preserve">Pictograms, bar charts, pie charts, two way tables, tabulating data and interpreting statistical diagrams</t>
  </si>
  <si>
    <t xml:space="preserve">6.1H</t>
  </si>
  <si>
    <t xml:space="preserve">Histograms and cumulative frequency</t>
  </si>
  <si>
    <t xml:space="preserve">Histograms with unequal class intervals, constructing and using cumulative frequency diagrams</t>
  </si>
  <si>
    <t xml:space="preserve">6.2</t>
  </si>
  <si>
    <t xml:space="preserve">Averages</t>
  </si>
  <si>
    <t xml:space="preserve">Mean, median, mode and range, estimated mean for grouped data, the modal class</t>
  </si>
  <si>
    <t xml:space="preserve">6.2H</t>
  </si>
  <si>
    <t xml:space="preserve">Spread and quartiles</t>
  </si>
  <si>
    <t xml:space="preserve">Median from a cumulative frequency diagram, interquartile range from a data set and from a diagram</t>
  </si>
  <si>
    <t xml:space="preserve">6.3</t>
  </si>
  <si>
    <t xml:space="preserve">Probability</t>
  </si>
  <si>
    <t xml:space="preserve">Probability language and scale, sample space, listing outcomes, Venn diagrams, complement, addition rule for mutually exclusive events, expected frequency</t>
  </si>
  <si>
    <t xml:space="preserve">6.3H</t>
  </si>
  <si>
    <t xml:space="preserve">Tree diagrams and conditional probability</t>
  </si>
  <si>
    <t xml:space="preserve">Tree diagrams, independent events, simple conditional probability</t>
  </si>
  <si>
    <t xml:space="preserve">PMT worksheet</t>
  </si>
  <si>
    <t xml:space="preserve">Questions</t>
  </si>
  <si>
    <t xml:space="preserve">QP</t>
  </si>
  <si>
    <t xml:space="preserve">MS</t>
  </si>
  <si>
    <t xml:space="preserve">Answers</t>
  </si>
  <si>
    <t xml:space="preserve">Started</t>
  </si>
  <si>
    <t xml:space="preserve">3 in a row</t>
  </si>
  <si>
    <t xml:space="preserve">Cleared</t>
  </si>
  <si>
    <t xml:space="preserve">Four Operations</t>
  </si>
  <si>
    <t xml:space="preserve">Ans</t>
  </si>
  <si>
    <t xml:space="preserve">Primes, Factors and Multiples</t>
  </si>
  <si>
    <t xml:space="preserve">Calculating Problems</t>
  </si>
  <si>
    <t xml:space="preserve">Recurring Decimals into Fractions</t>
  </si>
  <si>
    <t xml:space="preserve">Roots and Powers</t>
  </si>
  <si>
    <t xml:space="preserve">Indices</t>
  </si>
  <si>
    <t xml:space="preserve">Surds</t>
  </si>
  <si>
    <t xml:space="preserve">Venn Diagrams</t>
  </si>
  <si>
    <t xml:space="preserve">Percentage Increase or Decrease</t>
  </si>
  <si>
    <t xml:space="preserve">Compound Interest</t>
  </si>
  <si>
    <t xml:space="preserve">Ratio</t>
  </si>
  <si>
    <t xml:space="preserve">Proportion</t>
  </si>
  <si>
    <t xml:space="preserve">Scale Factors</t>
  </si>
  <si>
    <t xml:space="preserve">Maps and Scale Drawings</t>
  </si>
  <si>
    <t xml:space="preserve">Rounding</t>
  </si>
  <si>
    <t xml:space="preserve">Approximation and Estimation</t>
  </si>
  <si>
    <t xml:space="preserve">Bounds</t>
  </si>
  <si>
    <t xml:space="preserve">Standard Form</t>
  </si>
  <si>
    <t xml:space="preserve">Units of Measure</t>
  </si>
  <si>
    <t xml:space="preserve">Using Measures</t>
  </si>
  <si>
    <t xml:space="preserve">No PMT worksheet for this topic</t>
  </si>
  <si>
    <t xml:space="preserve">Simplifying Expressions</t>
  </si>
  <si>
    <t xml:space="preserve">Expanding Equations</t>
  </si>
  <si>
    <t xml:space="preserve">Factorising Equations</t>
  </si>
  <si>
    <t xml:space="preserve">Substitution into Equations</t>
  </si>
  <si>
    <t xml:space="preserve">Expanding Triple Brackets</t>
  </si>
  <si>
    <t xml:space="preserve">Algebraic Fractions</t>
  </si>
  <si>
    <t xml:space="preserve">Completing the square</t>
  </si>
  <si>
    <t xml:space="preserve">Algebraic Proof</t>
  </si>
  <si>
    <t xml:space="preserve">Manipulation of Formulae</t>
  </si>
  <si>
    <t xml:space="preserve">Deriving Expressions</t>
  </si>
  <si>
    <t xml:space="preserve">Forming Equations</t>
  </si>
  <si>
    <t xml:space="preserve">Solving Linear Equations</t>
  </si>
  <si>
    <t xml:space="preserve">Direct and Inverse Proportion</t>
  </si>
  <si>
    <t xml:space="preserve">Algebraic Direct and Inverse Proportions</t>
  </si>
  <si>
    <t xml:space="preserve">Simultaneous Equations</t>
  </si>
  <si>
    <t xml:space="preserve">Simultaneous Equations on Graphs</t>
  </si>
  <si>
    <t xml:space="preserve">Solving Quadratic Equations</t>
  </si>
  <si>
    <t xml:space="preserve">Inequalities on Graphs</t>
  </si>
  <si>
    <t xml:space="preserve">Quadratic Inequalities</t>
  </si>
  <si>
    <t xml:space="preserve">Functions (Composite or Inverse)</t>
  </si>
  <si>
    <t xml:space="preserve">Coordinates</t>
  </si>
  <si>
    <t xml:space="preserve">Equations of Straight Lines</t>
  </si>
  <si>
    <t xml:space="preserve">Gradients of Straight lines</t>
  </si>
  <si>
    <t xml:space="preserve">Graphs of Linear Equations</t>
  </si>
  <si>
    <t xml:space="preserve">Interpreting Gradients</t>
  </si>
  <si>
    <t xml:space="preserve">Graphs of Quadratic Equations</t>
  </si>
  <si>
    <t xml:space="preserve">Cubic and Reciprocal Graphs</t>
  </si>
  <si>
    <t xml:space="preserve">Exponential and Trigonometric Graphs</t>
  </si>
  <si>
    <t xml:space="preserve">Translations and Reflections of Functions</t>
  </si>
  <si>
    <t xml:space="preserve">Circle Equations and Tangents</t>
  </si>
  <si>
    <t xml:space="preserve">Graphs of Circles</t>
  </si>
  <si>
    <t xml:space="preserve">Parallel or Perpendicular Lines</t>
  </si>
  <si>
    <t xml:space="preserve">Properties of Angles</t>
  </si>
  <si>
    <t xml:space="preserve">Triangles</t>
  </si>
  <si>
    <t xml:space="preserve">Properties of Polygons</t>
  </si>
  <si>
    <t xml:space="preserve">2D and 3D Shapes</t>
  </si>
  <si>
    <t xml:space="preserve">Vocabulary and Notation</t>
  </si>
  <si>
    <t xml:space="preserve">Bearings</t>
  </si>
  <si>
    <t xml:space="preserve">Speed</t>
  </si>
  <si>
    <t xml:space="preserve">Compound Measures</t>
  </si>
  <si>
    <t xml:space="preserve">Compound Units</t>
  </si>
  <si>
    <t xml:space="preserve">Constructions</t>
  </si>
  <si>
    <t xml:space="preserve">Properties of Circles</t>
  </si>
  <si>
    <t xml:space="preserve">Circle Theorems</t>
  </si>
  <si>
    <t xml:space="preserve">Pythagoras' Theorem</t>
  </si>
  <si>
    <t xml:space="preserve">Trig Ratios and Exact Values</t>
  </si>
  <si>
    <t xml:space="preserve">Sine Rule, Cosine Rule and Area</t>
  </si>
  <si>
    <t xml:space="preserve">Pythagoras and trig (3D)</t>
  </si>
  <si>
    <t xml:space="preserve">Area</t>
  </si>
  <si>
    <t xml:space="preserve">Perimeter</t>
  </si>
  <si>
    <t xml:space="preserve">Compound Area</t>
  </si>
  <si>
    <t xml:space="preserve">Area of Shaded Region</t>
  </si>
  <si>
    <t xml:space="preserve">Area or Perimeter Problem</t>
  </si>
  <si>
    <t xml:space="preserve">Sectors, Segments and Arcs</t>
  </si>
  <si>
    <t xml:space="preserve">Volume and Surface Area</t>
  </si>
  <si>
    <t xml:space="preserve">Congruence and Similarity</t>
  </si>
  <si>
    <t xml:space="preserve">Similar (2D or 3D)</t>
  </si>
  <si>
    <t xml:space="preserve">Manipulating Vectors</t>
  </si>
  <si>
    <t xml:space="preserve">Vector Proof</t>
  </si>
  <si>
    <t xml:space="preserve">Translations as 2D vectors</t>
  </si>
  <si>
    <t xml:space="preserve">Transformations of Shapes</t>
  </si>
  <si>
    <t xml:space="preserve">Interpreting Data</t>
  </si>
  <si>
    <t xml:space="preserve">Frequency Tables</t>
  </si>
  <si>
    <t xml:space="preserve">Histograms</t>
  </si>
  <si>
    <t xml:space="preserve">Cumulative Frequency Graphs</t>
  </si>
  <si>
    <t xml:space="preserve">Mean, Median, Mode, Range</t>
  </si>
  <si>
    <t xml:space="preserve">Probability of Events</t>
  </si>
  <si>
    <t xml:space="preserve">Probability Equations</t>
  </si>
  <si>
    <t xml:space="preserve">Tree Diagrams</t>
  </si>
  <si>
    <t xml:space="preserve">Conditional Probability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</si>
</sst>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947"/>
      <name val="Arial"/>
      <family val="0"/>
      <charset val="1"/>
    </font>
    <font>
      <i val="true"/>
      <sz val="10"/>
      <color rgb="FF5D6471"/>
      <name val="Arial"/>
      <family val="0"/>
      <charset val="1"/>
    </font>
    <font>
      <b val="true"/>
      <sz val="10"/>
      <color rgb="FFF6F4E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62947"/>
      <name val="Arial"/>
      <family val="0"/>
      <charset val="1"/>
    </font>
    <font>
      <sz val="10"/>
      <color rgb="FF5D6471"/>
      <name val="Arial"/>
      <family val="0"/>
      <charset val="1"/>
    </font>
    <font>
      <b val="true"/>
      <sz val="10"/>
      <color rgb="FF162947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62947"/>
        <bgColor rgb="FF333333"/>
      </patternFill>
    </fill>
    <fill>
      <patternFill patternType="solid">
        <fgColor rgb="FFF4CCCC"/>
        <bgColor rgb="FFD8D3C6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EFEBE1"/>
      </patternFill>
    </fill>
    <fill>
      <patternFill patternType="solid">
        <fgColor rgb="FFEFEBE1"/>
        <bgColor rgb="FFF6F4EF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D9EAD3"/>
        </patternFill>
      </fill>
    </dxf>
  </dxfs>
  <colors>
    <indexedColors>
      <rgbColor rgb="FF000000"/>
      <rgbColor rgb="FFF6F4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3C6"/>
      <rgbColor rgb="FF808080"/>
      <rgbColor rgb="FF9999FF"/>
      <rgbColor rgb="FF993366"/>
      <rgbColor rgb="FFFFF2CC"/>
      <rgbColor rgb="FFEFEBE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D6471"/>
      <rgbColor rgb="FF969696"/>
      <rgbColor rgb="FF1629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pmt.physicsandmathstutor.com/download/Maths/GCSE/Topic-Qs/Edexcel-IGCSE/Number/QP/Higher/Structure-and-Calculation/Four%20Operations%20(H)%20QP.pdf" TargetMode="External"/><Relationship Id="rId2" Type="http://schemas.openxmlformats.org/officeDocument/2006/relationships/hyperlink" Target="https://pmt.physicsandmathstutor.com/download/Maths/GCSE/Topic-Qs/Edexcel-IGCSE/Number/MS/Higher/Structure-and-Calculation/Four%20Operations%20(H)%20MS.pdf" TargetMode="External"/><Relationship Id="rId3" Type="http://schemas.openxmlformats.org/officeDocument/2006/relationships/hyperlink" Target="https://pmt.physicsandmathstutor.com/download/Maths/GCSE/Topic-Qs/Edexcel-IGCSE/Number/MA/Higher/Structure-and-Calculation/Four%20Operations%20(H)%20MA.pdf" TargetMode="External"/><Relationship Id="rId4" Type="http://schemas.openxmlformats.org/officeDocument/2006/relationships/hyperlink" Target="https://pmt.physicsandmathstutor.com/download/Maths/GCSE/Topic-Qs/Edexcel-IGCSE/Number/QP/Higher/Structure-and-Calculation/Primes,%20Factors%20and%20Multiples%20(H)%20QP.pdf" TargetMode="External"/><Relationship Id="rId5" Type="http://schemas.openxmlformats.org/officeDocument/2006/relationships/hyperlink" Target="https://pmt.physicsandmathstutor.com/download/Maths/GCSE/Topic-Qs/Edexcel-IGCSE/Number/MS/Higher/Structure-and-Calculation/Primes,%20Factors%20and%20Multiples%20(H)%20MS.pdf" TargetMode="External"/><Relationship Id="rId6" Type="http://schemas.openxmlformats.org/officeDocument/2006/relationships/hyperlink" Target="https://pmt.physicsandmathstutor.com/download/Maths/GCSE/Topic-Qs/Edexcel-IGCSE/Number/MA/Higher/Structure-and-Calculation/Primes,%20Factors%20and%20Multiples%20(H)%20MA.pdf" TargetMode="External"/><Relationship Id="rId7" Type="http://schemas.openxmlformats.org/officeDocument/2006/relationships/hyperlink" Target="https://pmt.physicsandmathstutor.com/download/Maths/GCSE/Topic-Qs/Edexcel-IGCSE/Number/QP/Higher/Structure-and-Calculation/Calculating%20Problems%20(H)%20QP.pdf" TargetMode="External"/><Relationship Id="rId8" Type="http://schemas.openxmlformats.org/officeDocument/2006/relationships/hyperlink" Target="https://pmt.physicsandmathstutor.com/download/Maths/GCSE/Topic-Qs/Edexcel-IGCSE/Number/MS/Higher/Structure-and-Calculation/Calculating%20Problems%20(H)%20MS.pdf" TargetMode="External"/><Relationship Id="rId9" Type="http://schemas.openxmlformats.org/officeDocument/2006/relationships/hyperlink" Target="https://pmt.physicsandmathstutor.com/download/Maths/GCSE/Topic-Qs/Edexcel-IGCSE/Number/MA/Higher/Structure-and-Calculation/Calculating%20Problems%20(H)%20MA.pdf" TargetMode="External"/><Relationship Id="rId10" Type="http://schemas.openxmlformats.org/officeDocument/2006/relationships/hyperlink" Target="https://pmt.physicsandmathstutor.com/download/Maths/GCSE/Topic-Qs/Edexcel-IGCSE/Number/QP/Higher/Fractions-Decimals-and-Percentages/Fractions%20(H)%20QP.pdf" TargetMode="External"/><Relationship Id="rId11" Type="http://schemas.openxmlformats.org/officeDocument/2006/relationships/hyperlink" Target="https://pmt.physicsandmathstutor.com/download/Maths/GCSE/Topic-Qs/Edexcel-IGCSE/Number/MS/Higher/Fractions-Decimals-and-Percentages/Fractions%20(H)%20MS.pdf" TargetMode="External"/><Relationship Id="rId12" Type="http://schemas.openxmlformats.org/officeDocument/2006/relationships/hyperlink" Target="https://pmt.physicsandmathstutor.com/download/Maths/GCSE/Topic-Qs/Edexcel-IGCSE/Number/MA/Higher/Fractions-Decimals-and-Percentages/Fractions%20(H)%20MA.pdf" TargetMode="External"/><Relationship Id="rId13" Type="http://schemas.openxmlformats.org/officeDocument/2006/relationships/hyperlink" Target="https://pmt.physicsandmathstutor.com/download/Maths/GCSE/Topic-Qs/Edexcel-IGCSE/Number/QP/Higher/Fractions-Decimals-and-Percentages/Fractions%20(H)%20QP.pdf" TargetMode="External"/><Relationship Id="rId14" Type="http://schemas.openxmlformats.org/officeDocument/2006/relationships/hyperlink" Target="https://pmt.physicsandmathstutor.com/download/Maths/GCSE/Topic-Qs/Edexcel-IGCSE/Number/MS/Higher/Fractions-Decimals-and-Percentages/Fractions%20(H)%20MS.pdf" TargetMode="External"/><Relationship Id="rId15" Type="http://schemas.openxmlformats.org/officeDocument/2006/relationships/hyperlink" Target="https://pmt.physicsandmathstutor.com/download/Maths/GCSE/Topic-Qs/Edexcel-IGCSE/Number/MA/Higher/Fractions-Decimals-and-Percentages/Fractions%20(H)%20MA.pdf" TargetMode="External"/><Relationship Id="rId16" Type="http://schemas.openxmlformats.org/officeDocument/2006/relationships/hyperlink" Target="https://pmt.physicsandmathstutor.com/download/Maths/GCSE/Topic-Qs/Edexcel-IGCSE/Number/QP/Higher/Fractions-Decimals-and-Percentages/Recurring%20Decimals%20into%20Fractions%20(H)%20QP.pdf" TargetMode="External"/><Relationship Id="rId17" Type="http://schemas.openxmlformats.org/officeDocument/2006/relationships/hyperlink" Target="https://pmt.physicsandmathstutor.com/download/Maths/GCSE/Topic-Qs/Edexcel-IGCSE/Number/MS/Higher/Fractions-Decimals-and-Percentages/Recurring%20Decimals%20into%20Fractions%20(H)%20MS.pdf" TargetMode="External"/><Relationship Id="rId18" Type="http://schemas.openxmlformats.org/officeDocument/2006/relationships/hyperlink" Target="https://pmt.physicsandmathstutor.com/download/Maths/GCSE/Topic-Qs/Edexcel-IGCSE/Number/MA/Higher/Fractions-Decimals-and-Percentages/Recurring%20Decimals%20into%20Fractions%20(H)%20MA.pdf" TargetMode="External"/><Relationship Id="rId19" Type="http://schemas.openxmlformats.org/officeDocument/2006/relationships/hyperlink" Target="https://pmt.physicsandmathstutor.com/download/Maths/GCSE/Topic-Qs/Edexcel-IGCSE/Number/QP/Higher/Structure-and-Calculation/Roots%20and%20Powers%20(H)%20QP.pdf" TargetMode="External"/><Relationship Id="rId20" Type="http://schemas.openxmlformats.org/officeDocument/2006/relationships/hyperlink" Target="https://pmt.physicsandmathstutor.com/download/Maths/GCSE/Topic-Qs/Edexcel-IGCSE/Number/MS/Higher/Structure-and-Calculation/Roots%20and%20Powers%20(H)%20MS.pdf" TargetMode="External"/><Relationship Id="rId21" Type="http://schemas.openxmlformats.org/officeDocument/2006/relationships/hyperlink" Target="https://pmt.physicsandmathstutor.com/download/Maths/GCSE/Topic-Qs/Edexcel-IGCSE/Number/MA/Higher/Structure-and-Calculation/Roots%20and%20Powers%20(H)%20MA.pdf" TargetMode="External"/><Relationship Id="rId22" Type="http://schemas.openxmlformats.org/officeDocument/2006/relationships/hyperlink" Target="https://pmt.physicsandmathstutor.com/download/Maths/GCSE/Topic-Qs/Edexcel-IGCSE/Number/QP/Higher/Structure-and-Calculation/Indices%20(H)%20QP.pdf" TargetMode="External"/><Relationship Id="rId23" Type="http://schemas.openxmlformats.org/officeDocument/2006/relationships/hyperlink" Target="https://pmt.physicsandmathstutor.com/download/Maths/GCSE/Topic-Qs/Edexcel-IGCSE/Number/MS/Higher/Structure-and-Calculation/Indices%20(H)%20MS.pdf" TargetMode="External"/><Relationship Id="rId24" Type="http://schemas.openxmlformats.org/officeDocument/2006/relationships/hyperlink" Target="https://pmt.physicsandmathstutor.com/download/Maths/GCSE/Topic-Qs/Edexcel-IGCSE/Number/MA/Higher/Structure-and-Calculation/Indices%20(H)%20MA.pdf" TargetMode="External"/><Relationship Id="rId25" Type="http://schemas.openxmlformats.org/officeDocument/2006/relationships/hyperlink" Target="https://pmt.physicsandmathstutor.com/download/Maths/GCSE/Topic-Qs/Edexcel-IGCSE/Number/QP/Higher/Structure-and-Calculation/Primes,%20Factors%20and%20Multiples%20(H)%20QP.pdf" TargetMode="External"/><Relationship Id="rId26" Type="http://schemas.openxmlformats.org/officeDocument/2006/relationships/hyperlink" Target="https://pmt.physicsandmathstutor.com/download/Maths/GCSE/Topic-Qs/Edexcel-IGCSE/Number/MS/Higher/Structure-and-Calculation/Primes,%20Factors%20and%20Multiples%20(H)%20MS.pdf" TargetMode="External"/><Relationship Id="rId27" Type="http://schemas.openxmlformats.org/officeDocument/2006/relationships/hyperlink" Target="https://pmt.physicsandmathstutor.com/download/Maths/GCSE/Topic-Qs/Edexcel-IGCSE/Number/MA/Higher/Structure-and-Calculation/Primes,%20Factors%20and%20Multiples%20(H)%20MA.pdf" TargetMode="External"/><Relationship Id="rId28" Type="http://schemas.openxmlformats.org/officeDocument/2006/relationships/hyperlink" Target="https://pmt.physicsandmathstutor.com/download/Maths/GCSE/Topic-Qs/Edexcel-IGCSE/Number/QP/Higher/Structure-and-Calculation/Surds%20(H)%20QP.pdf" TargetMode="External"/><Relationship Id="rId29" Type="http://schemas.openxmlformats.org/officeDocument/2006/relationships/hyperlink" Target="https://pmt.physicsandmathstutor.com/download/Maths/GCSE/Topic-Qs/Edexcel-IGCSE/Number/MS/Higher/Structure-and-Calculation/Surds%20(H)%20MS.pdf" TargetMode="External"/><Relationship Id="rId30" Type="http://schemas.openxmlformats.org/officeDocument/2006/relationships/hyperlink" Target="https://pmt.physicsandmathstutor.com/download/Maths/GCSE/Topic-Qs/Edexcel-IGCSE/Number/MA/Higher/Structure-and-Calculation/Surds%20(H)%20MA.pdf" TargetMode="External"/><Relationship Id="rId31" Type="http://schemas.openxmlformats.org/officeDocument/2006/relationships/hyperlink" Target="https://pmt.physicsandmathstutor.com/download/Maths/GCSE/Topic-Qs/Edexcel-IGCSE/Number/QP/Higher/Structure-and-Calculation/Indices%20(H)%20QP.pdf" TargetMode="External"/><Relationship Id="rId32" Type="http://schemas.openxmlformats.org/officeDocument/2006/relationships/hyperlink" Target="https://pmt.physicsandmathstutor.com/download/Maths/GCSE/Topic-Qs/Edexcel-IGCSE/Number/MS/Higher/Structure-and-Calculation/Indices%20(H)%20MS.pdf" TargetMode="External"/><Relationship Id="rId33" Type="http://schemas.openxmlformats.org/officeDocument/2006/relationships/hyperlink" Target="https://pmt.physicsandmathstutor.com/download/Maths/GCSE/Topic-Qs/Edexcel-IGCSE/Number/MA/Higher/Structure-and-Calculation/Indices%20(H)%20MA.pdf" TargetMode="External"/><Relationship Id="rId34" Type="http://schemas.openxmlformats.org/officeDocument/2006/relationships/hyperlink" Target="https://pmt.physicsandmathstutor.com/download/Maths/GCSE/Topic-Qs/Edexcel-IGCSE/Probability/QP/Higher/Venn%20Diagrams%20(H)%20QP.pdf" TargetMode="External"/><Relationship Id="rId35" Type="http://schemas.openxmlformats.org/officeDocument/2006/relationships/hyperlink" Target="https://pmt.physicsandmathstutor.com/download/Maths/GCSE/Topic-Qs/Edexcel-IGCSE/Probability/MS/Higher/Venn%20Diagrams%20(H)%20MS.pdf" TargetMode="External"/><Relationship Id="rId36" Type="http://schemas.openxmlformats.org/officeDocument/2006/relationships/hyperlink" Target="https://pmt.physicsandmathstutor.com/download/Maths/GCSE/Topic-Qs/Edexcel-IGCSE/Probability/MA/Higher/Venn%20Diagrams%20(H)%20MA.pdf" TargetMode="External"/><Relationship Id="rId37" Type="http://schemas.openxmlformats.org/officeDocument/2006/relationships/hyperlink" Target="https://pmt.physicsandmathstutor.com/download/Maths/GCSE/Topic-Qs/Edexcel-IGCSE/Number/QP/Higher/Fractions-Decimals-and-Percentages/Percentages%20(H)%20QP.pdf" TargetMode="External"/><Relationship Id="rId38" Type="http://schemas.openxmlformats.org/officeDocument/2006/relationships/hyperlink" Target="https://pmt.physicsandmathstutor.com/download/Maths/GCSE/Topic-Qs/Edexcel-IGCSE/Number/MS/Higher/Fractions-Decimals-and-Percentages/Percentages%20(H)%20MS.pdf" TargetMode="External"/><Relationship Id="rId39" Type="http://schemas.openxmlformats.org/officeDocument/2006/relationships/hyperlink" Target="https://pmt.physicsandmathstutor.com/download/Maths/GCSE/Topic-Qs/Edexcel-IGCSE/Number/MA/Higher/Fractions-Decimals-and-Percentages/Percentages%20(H)%20MA.pdf" TargetMode="External"/><Relationship Id="rId40" Type="http://schemas.openxmlformats.org/officeDocument/2006/relationships/hyperlink" Target="https://pmt.physicsandmathstutor.com/download/Maths/GCSE/Topic-Qs/Edexcel-IGCSE/Ratio-Proportion-and-Rates-of-Change/QP/Higher/Percentage%20Increase%20or%20Decrease%20(H)%20QP.pdf" TargetMode="External"/><Relationship Id="rId41" Type="http://schemas.openxmlformats.org/officeDocument/2006/relationships/hyperlink" Target="https://pmt.physicsandmathstutor.com/download/Maths/GCSE/Topic-Qs/Edexcel-IGCSE/Ratio-Proportion-and-Rates-of-Change/MS/Higher/Percentage%20Increase%20or%20Decrease%20(H)%20MS.pdf" TargetMode="External"/><Relationship Id="rId42" Type="http://schemas.openxmlformats.org/officeDocument/2006/relationships/hyperlink" Target="https://pmt.physicsandmathstutor.com/download/Maths/GCSE/Topic-Qs/Edexcel-IGCSE/Ratio-Proportion-and-Rates-of-Change/MA/Higher/Percentage%20Increase%20or%20Decrease%20(H)%20MA.pdf" TargetMode="External"/><Relationship Id="rId43" Type="http://schemas.openxmlformats.org/officeDocument/2006/relationships/hyperlink" Target="https://pmt.physicsandmathstutor.com/download/Maths/GCSE/Topic-Qs/Edexcel-IGCSE/Ratio-Proportion-and-Rates-of-Change/QP/Higher/Compound%20Interest%20(H)%20QP.pdf" TargetMode="External"/><Relationship Id="rId44" Type="http://schemas.openxmlformats.org/officeDocument/2006/relationships/hyperlink" Target="https://pmt.physicsandmathstutor.com/download/Maths/GCSE/Topic-Qs/Edexcel-IGCSE/Ratio-Proportion-and-Rates-of-Change/MS/Higher/Compound%20Interest%20(H)%20MS.pdf" TargetMode="External"/><Relationship Id="rId45" Type="http://schemas.openxmlformats.org/officeDocument/2006/relationships/hyperlink" Target="https://pmt.physicsandmathstutor.com/download/Maths/GCSE/Topic-Qs/Edexcel-IGCSE/Ratio-Proportion-and-Rates-of-Change/MA/Higher/Compound%20Interest%20(H)%20MA.pdf" TargetMode="External"/><Relationship Id="rId46" Type="http://schemas.openxmlformats.org/officeDocument/2006/relationships/hyperlink" Target="https://pmt.physicsandmathstutor.com/download/Maths/GCSE/Topic-Qs/Edexcel-IGCSE/Ratio-Proportion-and-Rates-of-Change/QP/Higher/Ratio%20(H)%20QP.pdf" TargetMode="External"/><Relationship Id="rId47" Type="http://schemas.openxmlformats.org/officeDocument/2006/relationships/hyperlink" Target="https://pmt.physicsandmathstutor.com/download/Maths/GCSE/Topic-Qs/Edexcel-IGCSE/Ratio-Proportion-and-Rates-of-Change/MS/Higher/Ratio%20(H)%20MS.pdf" TargetMode="External"/><Relationship Id="rId48" Type="http://schemas.openxmlformats.org/officeDocument/2006/relationships/hyperlink" Target="https://pmt.physicsandmathstutor.com/download/Maths/GCSE/Topic-Qs/Edexcel-IGCSE/Ratio-Proportion-and-Rates-of-Change/MA/Higher/Ratio%20(H)%20MA.pdf" TargetMode="External"/><Relationship Id="rId49" Type="http://schemas.openxmlformats.org/officeDocument/2006/relationships/hyperlink" Target="https://pmt.physicsandmathstutor.com/download/Maths/GCSE/Topic-Qs/Edexcel-IGCSE/Ratio-Proportion-and-Rates-of-Change/QP/Higher/Proportion%20(H)%20QP.pdf" TargetMode="External"/><Relationship Id="rId50" Type="http://schemas.openxmlformats.org/officeDocument/2006/relationships/hyperlink" Target="https://pmt.physicsandmathstutor.com/download/Maths/GCSE/Topic-Qs/Edexcel-IGCSE/Ratio-Proportion-and-Rates-of-Change/MS/Higher/Proportion%20(H)%20MS.pdf" TargetMode="External"/><Relationship Id="rId51" Type="http://schemas.openxmlformats.org/officeDocument/2006/relationships/hyperlink" Target="https://pmt.physicsandmathstutor.com/download/Maths/GCSE/Topic-Qs/Edexcel-IGCSE/Ratio-Proportion-and-Rates-of-Change/MA/Higher/Proportion%20(H)%20MA.pdf" TargetMode="External"/><Relationship Id="rId52" Type="http://schemas.openxmlformats.org/officeDocument/2006/relationships/hyperlink" Target="https://pmt.physicsandmathstutor.com/download/Maths/GCSE/Topic-Qs/Edexcel-IGCSE/Ratio-Proportion-and-Rates-of-Change/QP/Higher/Scale%20Factors%20(H)%20QP.pdf" TargetMode="External"/><Relationship Id="rId53" Type="http://schemas.openxmlformats.org/officeDocument/2006/relationships/hyperlink" Target="https://pmt.physicsandmathstutor.com/download/Maths/GCSE/Topic-Qs/Edexcel-IGCSE/Ratio-Proportion-and-Rates-of-Change/MS/Higher/Scale%20Factors%20(H)%20MS.pdf" TargetMode="External"/><Relationship Id="rId54" Type="http://schemas.openxmlformats.org/officeDocument/2006/relationships/hyperlink" Target="https://pmt.physicsandmathstutor.com/download/Maths/GCSE/Topic-Qs/Edexcel-IGCSE/Ratio-Proportion-and-Rates-of-Change/MA/Higher/Scale%20Factors%20(H)%20MA.pdf" TargetMode="External"/><Relationship Id="rId55" Type="http://schemas.openxmlformats.org/officeDocument/2006/relationships/hyperlink" Target="https://pmt.physicsandmathstutor.com/download/Maths/GCSE/Topic-Qs/Edexcel-IGCSE/Geometry-and-Measures/QP/Higher/Properties-and-Constructions/Maps%20and%20Scale%20Drawings%20(H)%20QP.pdf" TargetMode="External"/><Relationship Id="rId56" Type="http://schemas.openxmlformats.org/officeDocument/2006/relationships/hyperlink" Target="https://pmt.physicsandmathstutor.com/download/Maths/GCSE/Topic-Qs/Edexcel-IGCSE/Geometry-and-Measures/MS/Higher/Properties-and-Constructions/Maps%20and%20Scale%20Drawings%20(H)%20MS.pdf" TargetMode="External"/><Relationship Id="rId57" Type="http://schemas.openxmlformats.org/officeDocument/2006/relationships/hyperlink" Target="https://pmt.physicsandmathstutor.com/download/Maths/GCSE/Topic-Qs/Edexcel-IGCSE/Geometry-and-Measures/MA/Higher/Properties-and-Constructions/Maps%20and%20Scale%20Drawings%20(H)%20MA.pdf" TargetMode="External"/><Relationship Id="rId58" Type="http://schemas.openxmlformats.org/officeDocument/2006/relationships/hyperlink" Target="https://pmt.physicsandmathstutor.com/download/Maths/GCSE/Topic-Qs/Edexcel-IGCSE/Number/QP/Higher/Measures-and-Accuracy/Rounding%20(H)%20QP.pdf" TargetMode="External"/><Relationship Id="rId59" Type="http://schemas.openxmlformats.org/officeDocument/2006/relationships/hyperlink" Target="https://pmt.physicsandmathstutor.com/download/Maths/GCSE/Topic-Qs/Edexcel-IGCSE/Number/MS/Higher/Measures-and-Accuracy/Rounding%20(H)%20MS.pdf" TargetMode="External"/><Relationship Id="rId60" Type="http://schemas.openxmlformats.org/officeDocument/2006/relationships/hyperlink" Target="https://pmt.physicsandmathstutor.com/download/Maths/GCSE/Topic-Qs/Edexcel-IGCSE/Number/MA/Higher/Measures-and-Accuracy/Rounding%20(H)%20MA.pdf" TargetMode="External"/><Relationship Id="rId61" Type="http://schemas.openxmlformats.org/officeDocument/2006/relationships/hyperlink" Target="https://pmt.physicsandmathstutor.com/download/Maths/GCSE/Topic-Qs/Edexcel-IGCSE/Number/QP/Higher/Measures-and-Accuracy/Approximation%20and%20Estimation%20(H)%20QP.pdf" TargetMode="External"/><Relationship Id="rId62" Type="http://schemas.openxmlformats.org/officeDocument/2006/relationships/hyperlink" Target="https://pmt.physicsandmathstutor.com/download/Maths/GCSE/Topic-Qs/Edexcel-IGCSE/Number/MS/Higher/Measures-and-Accuracy/Approximation%20and%20Estimation%20(H)%20MS.pdf" TargetMode="External"/><Relationship Id="rId63" Type="http://schemas.openxmlformats.org/officeDocument/2006/relationships/hyperlink" Target="https://pmt.physicsandmathstutor.com/download/Maths/GCSE/Topic-Qs/Edexcel-IGCSE/Number/MA/Higher/Measures-and-Accuracy/Approximation%20and%20Estimation%20(H)%20MA.pdf" TargetMode="External"/><Relationship Id="rId64" Type="http://schemas.openxmlformats.org/officeDocument/2006/relationships/hyperlink" Target="https://pmt.physicsandmathstutor.com/download/Maths/GCSE/Topic-Qs/Edexcel-IGCSE/Number/QP/Higher/Measures-and-Accuracy/Bounds%20(H)%20QP.pdf" TargetMode="External"/><Relationship Id="rId65" Type="http://schemas.openxmlformats.org/officeDocument/2006/relationships/hyperlink" Target="https://pmt.physicsandmathstutor.com/download/Maths/GCSE/Topic-Qs/Edexcel-IGCSE/Number/MS/Higher/Measures-and-Accuracy/Bounds%20(H)%20MS.pdf" TargetMode="External"/><Relationship Id="rId66" Type="http://schemas.openxmlformats.org/officeDocument/2006/relationships/hyperlink" Target="https://pmt.physicsandmathstutor.com/download/Maths/GCSE/Topic-Qs/Edexcel-IGCSE/Number/MA/Higher/Measures-and-Accuracy/Bounds%20(H)%20MA.pdf" TargetMode="External"/><Relationship Id="rId67" Type="http://schemas.openxmlformats.org/officeDocument/2006/relationships/hyperlink" Target="https://pmt.physicsandmathstutor.com/download/Maths/GCSE/Topic-Qs/Edexcel-IGCSE/Number/QP/Higher/Structure-and-Calculation/Standard%20Form%20(H)%20QP.pdf" TargetMode="External"/><Relationship Id="rId68" Type="http://schemas.openxmlformats.org/officeDocument/2006/relationships/hyperlink" Target="https://pmt.physicsandmathstutor.com/download/Maths/GCSE/Topic-Qs/Edexcel-IGCSE/Number/MS/Higher/Structure-and-Calculation/Standard%20Form%20(H)%20MS.pdf" TargetMode="External"/><Relationship Id="rId69" Type="http://schemas.openxmlformats.org/officeDocument/2006/relationships/hyperlink" Target="https://pmt.physicsandmathstutor.com/download/Maths/GCSE/Topic-Qs/Edexcel-IGCSE/Number/MA/Higher/Structure-and-Calculation/Standard%20Form%20(H)%20MA.pdf" TargetMode="External"/><Relationship Id="rId70" Type="http://schemas.openxmlformats.org/officeDocument/2006/relationships/hyperlink" Target="https://pmt.physicsandmathstutor.com/download/Maths/GCSE/Topic-Qs/Edexcel-IGCSE/Ratio-Proportion-and-Rates-of-Change/QP/Higher/Units%20of%20Measure%20(H)%20QP.pdf" TargetMode="External"/><Relationship Id="rId71" Type="http://schemas.openxmlformats.org/officeDocument/2006/relationships/hyperlink" Target="https://pmt.physicsandmathstutor.com/download/Maths/GCSE/Topic-Qs/Edexcel-IGCSE/Ratio-Proportion-and-Rates-of-Change/MS/Higher/Units%20of%20Measure%20(H)%20MS.pdf" TargetMode="External"/><Relationship Id="rId72" Type="http://schemas.openxmlformats.org/officeDocument/2006/relationships/hyperlink" Target="https://pmt.physicsandmathstutor.com/download/Maths/GCSE/Topic-Qs/Edexcel-IGCSE/Ratio-Proportion-and-Rates-of-Change/MA/Higher/Units%20of%20Measure%20(H)%20MA.pdf" TargetMode="External"/><Relationship Id="rId73" Type="http://schemas.openxmlformats.org/officeDocument/2006/relationships/hyperlink" Target="https://pmt.physicsandmathstutor.com/download/Maths/GCSE/Topic-Qs/Edexcel-IGCSE/Number/QP/Higher/Measures-and-Accuracy/Using%20Measures%20(H)%20QP.pdf" TargetMode="External"/><Relationship Id="rId74" Type="http://schemas.openxmlformats.org/officeDocument/2006/relationships/hyperlink" Target="https://pmt.physicsandmathstutor.com/download/Maths/GCSE/Topic-Qs/Edexcel-IGCSE/Number/MS/Higher/Measures-and-Accuracy/Using%20Measures%20(H)%20MS.pdf" TargetMode="External"/><Relationship Id="rId75" Type="http://schemas.openxmlformats.org/officeDocument/2006/relationships/hyperlink" Target="https://pmt.physicsandmathstutor.com/download/Maths/GCSE/Topic-Qs/Edexcel-IGCSE/Number/MA/Higher/Measures-and-Accuracy/Using%20Measures%20(H)%20MA.pdf" TargetMode="External"/><Relationship Id="rId76" Type="http://schemas.openxmlformats.org/officeDocument/2006/relationships/hyperlink" Target="https://pmt.physicsandmathstutor.com/download/Maths/GCSE/Topic-Qs/Edexcel-IGCSE/Number/QP/Higher/Structure-and-Calculation/Calculating%20Problems%20(H)%20QP.pdf" TargetMode="External"/><Relationship Id="rId77" Type="http://schemas.openxmlformats.org/officeDocument/2006/relationships/hyperlink" Target="https://pmt.physicsandmathstutor.com/download/Maths/GCSE/Topic-Qs/Edexcel-IGCSE/Number/MS/Higher/Structure-and-Calculation/Calculating%20Problems%20(H)%20MS.pdf" TargetMode="External"/><Relationship Id="rId78" Type="http://schemas.openxmlformats.org/officeDocument/2006/relationships/hyperlink" Target="https://pmt.physicsandmathstutor.com/download/Maths/GCSE/Topic-Qs/Edexcel-IGCSE/Number/MA/Higher/Structure-and-Calculation/Calculating%20Problems%20(H)%20MA.pdf" TargetMode="External"/><Relationship Id="rId79" Type="http://schemas.openxmlformats.org/officeDocument/2006/relationships/hyperlink" Target="https://pmt.physicsandmathstutor.com/download/Maths/GCSE/Topic-Qs/Edexcel-IGCSE/Algebra/QP/Higher/Notation-Vocabulary-and-Manipulation/Simplifying%20Expressions%20(H)%20QP.pdf" TargetMode="External"/><Relationship Id="rId80" Type="http://schemas.openxmlformats.org/officeDocument/2006/relationships/hyperlink" Target="https://pmt.physicsandmathstutor.com/download/Maths/GCSE/Topic-Qs/Edexcel-IGCSE/Algebra/MS/Higher/Notation-Vocabulary-and-Manipulation/Simplifying%20Expressions%20(H)%20MS.pdf" TargetMode="External"/><Relationship Id="rId81" Type="http://schemas.openxmlformats.org/officeDocument/2006/relationships/hyperlink" Target="https://pmt.physicsandmathstutor.com/download/Maths/GCSE/Topic-Qs/Edexcel-IGCSE/Algebra/MA/Higher/Notation-Vocabulary-and-Manipulation/Simplifying%20Expressions%20(H)%20MA.pdf" TargetMode="External"/><Relationship Id="rId82" Type="http://schemas.openxmlformats.org/officeDocument/2006/relationships/hyperlink" Target="https://pmt.physicsandmathstutor.com/download/Maths/GCSE/Topic-Qs/Edexcel-IGCSE/Number/QP/Higher/Structure-and-Calculation/Indices%20(H)%20QP.pdf" TargetMode="External"/><Relationship Id="rId83" Type="http://schemas.openxmlformats.org/officeDocument/2006/relationships/hyperlink" Target="https://pmt.physicsandmathstutor.com/download/Maths/GCSE/Topic-Qs/Edexcel-IGCSE/Number/MS/Higher/Structure-and-Calculation/Indices%20(H)%20MS.pdf" TargetMode="External"/><Relationship Id="rId84" Type="http://schemas.openxmlformats.org/officeDocument/2006/relationships/hyperlink" Target="https://pmt.physicsandmathstutor.com/download/Maths/GCSE/Topic-Qs/Edexcel-IGCSE/Number/MA/Higher/Structure-and-Calculation/Indices%20(H)%20MA.pdf" TargetMode="External"/><Relationship Id="rId85" Type="http://schemas.openxmlformats.org/officeDocument/2006/relationships/hyperlink" Target="https://pmt.physicsandmathstutor.com/download/Maths/GCSE/Topic-Qs/Edexcel-IGCSE/Algebra/QP/Higher/Notation-Vocabulary-and-Manipulation/Expanding%20Equations%20(H)%20QP.pdf" TargetMode="External"/><Relationship Id="rId86" Type="http://schemas.openxmlformats.org/officeDocument/2006/relationships/hyperlink" Target="https://pmt.physicsandmathstutor.com/download/Maths/GCSE/Topic-Qs/Edexcel-IGCSE/Algebra/MS/Higher/Notation-Vocabulary-and-Manipulation/Expanding%20Equations%20(H)%20MS.pdf" TargetMode="External"/><Relationship Id="rId87" Type="http://schemas.openxmlformats.org/officeDocument/2006/relationships/hyperlink" Target="https://pmt.physicsandmathstutor.com/download/Maths/GCSE/Topic-Qs/Edexcel-IGCSE/Algebra/MA/Higher/Notation-Vocabulary-and-Manipulation/Expanding%20Equations%20(H)%20MA.pdf" TargetMode="External"/><Relationship Id="rId88" Type="http://schemas.openxmlformats.org/officeDocument/2006/relationships/hyperlink" Target="https://pmt.physicsandmathstutor.com/download/Maths/GCSE/Topic-Qs/Edexcel-IGCSE/Algebra/QP/Higher/Notation-Vocabulary-and-Manipulation/Factorising%20Equations%20(H)%20QP.pdf" TargetMode="External"/><Relationship Id="rId89" Type="http://schemas.openxmlformats.org/officeDocument/2006/relationships/hyperlink" Target="https://pmt.physicsandmathstutor.com/download/Maths/GCSE/Topic-Qs/Edexcel-IGCSE/Algebra/MS/Higher/Notation-Vocabulary-and-Manipulation/Factorising%20Equations%20(H)%20MS.pdf" TargetMode="External"/><Relationship Id="rId90" Type="http://schemas.openxmlformats.org/officeDocument/2006/relationships/hyperlink" Target="https://pmt.physicsandmathstutor.com/download/Maths/GCSE/Topic-Qs/Edexcel-IGCSE/Algebra/MA/Higher/Notation-Vocabulary-and-Manipulation/Factorising%20Equations%20(H)%20MA.pdf" TargetMode="External"/><Relationship Id="rId91" Type="http://schemas.openxmlformats.org/officeDocument/2006/relationships/hyperlink" Target="https://pmt.physicsandmathstutor.com/download/Maths/GCSE/Topic-Qs/Edexcel-IGCSE/Algebra/QP/Higher/Notation-Vocabulary-and-Manipulation/Simplifying%20Expressions%20(H)%20QP.pdf" TargetMode="External"/><Relationship Id="rId92" Type="http://schemas.openxmlformats.org/officeDocument/2006/relationships/hyperlink" Target="https://pmt.physicsandmathstutor.com/download/Maths/GCSE/Topic-Qs/Edexcel-IGCSE/Algebra/MS/Higher/Notation-Vocabulary-and-Manipulation/Simplifying%20Expressions%20(H)%20MS.pdf" TargetMode="External"/><Relationship Id="rId93" Type="http://schemas.openxmlformats.org/officeDocument/2006/relationships/hyperlink" Target="https://pmt.physicsandmathstutor.com/download/Maths/GCSE/Topic-Qs/Edexcel-IGCSE/Algebra/MA/Higher/Notation-Vocabulary-and-Manipulation/Simplifying%20Expressions%20(H)%20MA.pdf" TargetMode="External"/><Relationship Id="rId94" Type="http://schemas.openxmlformats.org/officeDocument/2006/relationships/hyperlink" Target="https://pmt.physicsandmathstutor.com/download/Maths/GCSE/Topic-Qs/Edexcel-IGCSE/Algebra/QP/Higher/Notation-Vocabulary-and-Manipulation/Substitution%20into%20Equations%20(H)%20QP.pdf" TargetMode="External"/><Relationship Id="rId95" Type="http://schemas.openxmlformats.org/officeDocument/2006/relationships/hyperlink" Target="https://pmt.physicsandmathstutor.com/download/Maths/GCSE/Topic-Qs/Edexcel-IGCSE/Algebra/MS/Higher/Notation-Vocabulary-and-Manipulation/Substitution%20into%20Equations%20(H)%20MS.pdf" TargetMode="External"/><Relationship Id="rId96" Type="http://schemas.openxmlformats.org/officeDocument/2006/relationships/hyperlink" Target="https://pmt.physicsandmathstutor.com/download/Maths/GCSE/Topic-Qs/Edexcel-IGCSE/Algebra/MA/Higher/Notation-Vocabulary-and-Manipulation/Substitution%20into%20Equations%20(H)%20MA.pdf" TargetMode="External"/><Relationship Id="rId97" Type="http://schemas.openxmlformats.org/officeDocument/2006/relationships/hyperlink" Target="https://pmt.physicsandmathstutor.com/download/Maths/GCSE/Topic-Qs/Edexcel-IGCSE/Algebra/QP/Higher/Notation-Vocabulary-and-Manipulation/Expanding%20Triple%20Brackets%20(H)%20QP.pdf" TargetMode="External"/><Relationship Id="rId98" Type="http://schemas.openxmlformats.org/officeDocument/2006/relationships/hyperlink" Target="https://pmt.physicsandmathstutor.com/download/Maths/GCSE/Topic-Qs/Edexcel-IGCSE/Algebra/MS/Higher/Notation-Vocabulary-and-Manipulation/Expanding%20Triple%20Brackets%20(H)%20MS.pdf" TargetMode="External"/><Relationship Id="rId99" Type="http://schemas.openxmlformats.org/officeDocument/2006/relationships/hyperlink" Target="https://pmt.physicsandmathstutor.com/download/Maths/GCSE/Topic-Qs/Edexcel-IGCSE/Algebra/MA/Higher/Notation-Vocabulary-and-Manipulation/Expanding%20Triple%20Brackets%20(H)%20MA.pdf" TargetMode="External"/><Relationship Id="rId100" Type="http://schemas.openxmlformats.org/officeDocument/2006/relationships/hyperlink" Target="https://pmt.physicsandmathstutor.com/download/Maths/GCSE/Topic-Qs/Edexcel-IGCSE/Algebra/QP/Higher/Notation-Vocabulary-and-Manipulation/Algebraic%20Fractions%20(H)%20QP.pdf" TargetMode="External"/><Relationship Id="rId101" Type="http://schemas.openxmlformats.org/officeDocument/2006/relationships/hyperlink" Target="https://pmt.physicsandmathstutor.com/download/Maths/GCSE/Topic-Qs/Edexcel-IGCSE/Algebra/MS/Higher/Notation-Vocabulary-and-Manipulation/Algebraic%20Fractions%20(H)%20MS.pdf" TargetMode="External"/><Relationship Id="rId102" Type="http://schemas.openxmlformats.org/officeDocument/2006/relationships/hyperlink" Target="https://pmt.physicsandmathstutor.com/download/Maths/GCSE/Topic-Qs/Edexcel-IGCSE/Algebra/MA/Higher/Notation-Vocabulary-and-Manipulation/Algebraic%20Fractions%20(H)%20MA.pdf" TargetMode="External"/><Relationship Id="rId103" Type="http://schemas.openxmlformats.org/officeDocument/2006/relationships/hyperlink" Target="https://pmt.physicsandmathstutor.com/download/Maths/GCSE/Topic-Qs/Edexcel-IGCSE/Algebra/QP/Higher/Solving-Equations-and-Inequalities/Completing%20the%20square%20(H)%20QP.pdf" TargetMode="External"/><Relationship Id="rId104" Type="http://schemas.openxmlformats.org/officeDocument/2006/relationships/hyperlink" Target="https://pmt.physicsandmathstutor.com/download/Maths/GCSE/Topic-Qs/Edexcel-IGCSE/Algebra/MS/Higher/Solving-Equations-and-Inequalities/Completing%20the%20square%20(H)%20MS.pdf" TargetMode="External"/><Relationship Id="rId105" Type="http://schemas.openxmlformats.org/officeDocument/2006/relationships/hyperlink" Target="https://pmt.physicsandmathstutor.com/download/Maths/GCSE/Topic-Qs/Edexcel-IGCSE/Algebra/MA/Higher/Solving-Equations-and-Inequalities/Completing%20the%20square%20(H)%20MA.pdf" TargetMode="External"/><Relationship Id="rId106" Type="http://schemas.openxmlformats.org/officeDocument/2006/relationships/hyperlink" Target="https://pmt.physicsandmathstutor.com/download/Maths/GCSE/Topic-Qs/Edexcel-IGCSE/Algebra/QP/Higher/Notation-Vocabulary-and-Manipulation/Algebraic%20Proof%20(H)%20QP.pdf" TargetMode="External"/><Relationship Id="rId107" Type="http://schemas.openxmlformats.org/officeDocument/2006/relationships/hyperlink" Target="https://pmt.physicsandmathstutor.com/download/Maths/GCSE/Topic-Qs/Edexcel-IGCSE/Algebra/MS/Higher/Notation-Vocabulary-and-Manipulation/Algebraic%20Proof%20(H)%20MS.pdf" TargetMode="External"/><Relationship Id="rId108" Type="http://schemas.openxmlformats.org/officeDocument/2006/relationships/hyperlink" Target="https://pmt.physicsandmathstutor.com/download/Maths/GCSE/Topic-Qs/Edexcel-IGCSE/Algebra/MA/Higher/Notation-Vocabulary-and-Manipulation/Algebraic%20Proof%20(H)%20MA.pdf" TargetMode="External"/><Relationship Id="rId109" Type="http://schemas.openxmlformats.org/officeDocument/2006/relationships/hyperlink" Target="https://pmt.physicsandmathstutor.com/download/Maths/GCSE/Topic-Qs/Edexcel-IGCSE/Algebra/QP/Higher/Notation-Vocabulary-and-Manipulation/Manipulation%20of%20Formulae%20(H)%20QP.pdf" TargetMode="External"/><Relationship Id="rId110" Type="http://schemas.openxmlformats.org/officeDocument/2006/relationships/hyperlink" Target="https://pmt.physicsandmathstutor.com/download/Maths/GCSE/Topic-Qs/Edexcel-IGCSE/Algebra/MS/Higher/Notation-Vocabulary-and-Manipulation/Manipulation%20of%20Formulae%20(H)%20MS.pdf" TargetMode="External"/><Relationship Id="rId111" Type="http://schemas.openxmlformats.org/officeDocument/2006/relationships/hyperlink" Target="https://pmt.physicsandmathstutor.com/download/Maths/GCSE/Topic-Qs/Edexcel-IGCSE/Algebra/MA/Higher/Notation-Vocabulary-and-Manipulation/Manipulation%20of%20Formulae%20(H)%20MA.pdf" TargetMode="External"/><Relationship Id="rId112" Type="http://schemas.openxmlformats.org/officeDocument/2006/relationships/hyperlink" Target="https://pmt.physicsandmathstutor.com/download/Maths/GCSE/Topic-Qs/Edexcel-IGCSE/Algebra/QP/Higher/Notation-Vocabulary-and-Manipulation/Deriving%20Expressions%20(H)%20QP.pdf" TargetMode="External"/><Relationship Id="rId113" Type="http://schemas.openxmlformats.org/officeDocument/2006/relationships/hyperlink" Target="https://pmt.physicsandmathstutor.com/download/Maths/GCSE/Topic-Qs/Edexcel-IGCSE/Algebra/MS/Higher/Notation-Vocabulary-and-Manipulation/Deriving%20Expressions%20(H)%20MS.pdf" TargetMode="External"/><Relationship Id="rId114" Type="http://schemas.openxmlformats.org/officeDocument/2006/relationships/hyperlink" Target="https://pmt.physicsandmathstutor.com/download/Maths/GCSE/Topic-Qs/Edexcel-IGCSE/Algebra/MA/Higher/Notation-Vocabulary-and-Manipulation/Deriving%20Expressions%20(H)%20MA.pdf" TargetMode="External"/><Relationship Id="rId115" Type="http://schemas.openxmlformats.org/officeDocument/2006/relationships/hyperlink" Target="https://pmt.physicsandmathstutor.com/download/Maths/GCSE/Topic-Qs/Edexcel-IGCSE/Algebra/QP/Higher/Notation-Vocabulary-and-Manipulation/Forming%20Equations%20(H)%20QP.pdf" TargetMode="External"/><Relationship Id="rId116" Type="http://schemas.openxmlformats.org/officeDocument/2006/relationships/hyperlink" Target="https://pmt.physicsandmathstutor.com/download/Maths/GCSE/Topic-Qs/Edexcel-IGCSE/Algebra/MS/Higher/Notation-Vocabulary-and-Manipulation/Forming%20Equations%20(H)%20MS.pdf" TargetMode="External"/><Relationship Id="rId117" Type="http://schemas.openxmlformats.org/officeDocument/2006/relationships/hyperlink" Target="https://pmt.physicsandmathstutor.com/download/Maths/GCSE/Topic-Qs/Edexcel-IGCSE/Algebra/MA/Higher/Notation-Vocabulary-and-Manipulation/Forming%20Equations%20(H)%20MA.pdf" TargetMode="External"/><Relationship Id="rId118" Type="http://schemas.openxmlformats.org/officeDocument/2006/relationships/hyperlink" Target="https://pmt.physicsandmathstutor.com/download/Maths/GCSE/Topic-Qs/Edexcel-IGCSE/Algebra/QP/Higher/Solving-Equations-and-Inequalities/Solving%20Linear%20Equations%20(H)%20QP.pdf" TargetMode="External"/><Relationship Id="rId119" Type="http://schemas.openxmlformats.org/officeDocument/2006/relationships/hyperlink" Target="https://pmt.physicsandmathstutor.com/download/Maths/GCSE/Topic-Qs/Edexcel-IGCSE/Algebra/MS/Higher/Solving-Equations-and-Inequalities/Solving%20Linear%20Equations%20(H)%20MS.pdf" TargetMode="External"/><Relationship Id="rId120" Type="http://schemas.openxmlformats.org/officeDocument/2006/relationships/hyperlink" Target="https://pmt.physicsandmathstutor.com/download/Maths/GCSE/Topic-Qs/Edexcel-IGCSE/Algebra/MA/Higher/Solving-Equations-and-Inequalities/Solving%20Linear%20Equations%20(H)%20MA.pdf" TargetMode="External"/><Relationship Id="rId121" Type="http://schemas.openxmlformats.org/officeDocument/2006/relationships/hyperlink" Target="https://pmt.physicsandmathstutor.com/download/Maths/GCSE/Topic-Qs/Edexcel-IGCSE/Ratio-Proportion-and-Rates-of-Change/QP/Higher/Direct%20and%20Inverse%20Proportion%20(H)%20QP.pdf" TargetMode="External"/><Relationship Id="rId122" Type="http://schemas.openxmlformats.org/officeDocument/2006/relationships/hyperlink" Target="https://pmt.physicsandmathstutor.com/download/Maths/GCSE/Topic-Qs/Edexcel-IGCSE/Ratio-Proportion-and-Rates-of-Change/MS/Higher/Direct%20and%20Inverse%20Proportion%20(H)%20MS.pdf" TargetMode="External"/><Relationship Id="rId123" Type="http://schemas.openxmlformats.org/officeDocument/2006/relationships/hyperlink" Target="https://pmt.physicsandmathstutor.com/download/Maths/GCSE/Topic-Qs/Edexcel-IGCSE/Ratio-Proportion-and-Rates-of-Change/MA/Higher/Direct%20and%20Inverse%20Proportion%20(H)%20MA.pdf" TargetMode="External"/><Relationship Id="rId124" Type="http://schemas.openxmlformats.org/officeDocument/2006/relationships/hyperlink" Target="https://pmt.physicsandmathstutor.com/download/Maths/GCSE/Topic-Qs/Edexcel-IGCSE/Ratio-Proportion-and-Rates-of-Change/QP/Higher/Algebraic%20Direct%20and%20Inverse%20Proportions%20(H)%20QP.pdf" TargetMode="External"/><Relationship Id="rId125" Type="http://schemas.openxmlformats.org/officeDocument/2006/relationships/hyperlink" Target="https://pmt.physicsandmathstutor.com/download/Maths/GCSE/Topic-Qs/Edexcel-IGCSE/Ratio-Proportion-and-Rates-of-Change/MS/Higher/Algebraic%20Direct%20and%20Inverse%20Proportions%20(H)%20MS.pdf" TargetMode="External"/><Relationship Id="rId126" Type="http://schemas.openxmlformats.org/officeDocument/2006/relationships/hyperlink" Target="https://pmt.physicsandmathstutor.com/download/Maths/GCSE/Topic-Qs/Edexcel-IGCSE/Ratio-Proportion-and-Rates-of-Change/MA/Higher/Algebraic%20Direct%20and%20Inverse%20Proportions%20(H)%20MA.pdf" TargetMode="External"/><Relationship Id="rId127" Type="http://schemas.openxmlformats.org/officeDocument/2006/relationships/hyperlink" Target="https://pmt.physicsandmathstutor.com/download/Maths/GCSE/Topic-Qs/Edexcel-IGCSE/Algebra/QP/Higher/Solving-Equations-and-Inequalities/Simultaneous%20Equations%20(H)%20QP.pdf" TargetMode="External"/><Relationship Id="rId128" Type="http://schemas.openxmlformats.org/officeDocument/2006/relationships/hyperlink" Target="https://pmt.physicsandmathstutor.com/download/Maths/GCSE/Topic-Qs/Edexcel-IGCSE/Algebra/MS/Higher/Solving-Equations-and-Inequalities/Simultaneous%20Equations%20(H)%20MS.pdf" TargetMode="External"/><Relationship Id="rId129" Type="http://schemas.openxmlformats.org/officeDocument/2006/relationships/hyperlink" Target="https://pmt.physicsandmathstutor.com/download/Maths/GCSE/Topic-Qs/Edexcel-IGCSE/Algebra/MA/Higher/Solving-Equations-and-Inequalities/Simultaneous%20Equations%20(H)%20MA.pdf" TargetMode="External"/><Relationship Id="rId130" Type="http://schemas.openxmlformats.org/officeDocument/2006/relationships/hyperlink" Target="https://pmt.physicsandmathstutor.com/download/Maths/GCSE/Topic-Qs/Edexcel-IGCSE/Algebra/QP/Higher/Graphs/Simultaneous%20Equations%20on%20Graphs%20(H)%20QP.pdf" TargetMode="External"/><Relationship Id="rId131" Type="http://schemas.openxmlformats.org/officeDocument/2006/relationships/hyperlink" Target="https://pmt.physicsandmathstutor.com/download/Maths/GCSE/Topic-Qs/Edexcel-IGCSE/Algebra/MS/Higher/Graphs/Simultaneous%20Equations%20on%20Graphs%20(H)%20MS.pdf" TargetMode="External"/><Relationship Id="rId132" Type="http://schemas.openxmlformats.org/officeDocument/2006/relationships/hyperlink" Target="https://pmt.physicsandmathstutor.com/download/Maths/GCSE/Topic-Qs/Edexcel-IGCSE/Algebra/MA/Higher/Graphs/Simultaneous%20Equations%20on%20Graphs%20(H)%20MA.pdf" TargetMode="External"/><Relationship Id="rId133" Type="http://schemas.openxmlformats.org/officeDocument/2006/relationships/hyperlink" Target="https://pmt.physicsandmathstutor.com/download/Maths/GCSE/Topic-Qs/Edexcel-IGCSE/Algebra/QP/Higher/Solving-Equations-and-Inequalities/Solving%20Quadratic%20Equations%20(H)%20QP.pdf" TargetMode="External"/><Relationship Id="rId134" Type="http://schemas.openxmlformats.org/officeDocument/2006/relationships/hyperlink" Target="https://pmt.physicsandmathstutor.com/download/Maths/GCSE/Topic-Qs/Edexcel-IGCSE/Algebra/MS/Higher/Solving-Equations-and-Inequalities/Solving%20Quadratic%20Equations%20(H)%20MS.pdf" TargetMode="External"/><Relationship Id="rId135" Type="http://schemas.openxmlformats.org/officeDocument/2006/relationships/hyperlink" Target="https://pmt.physicsandmathstutor.com/download/Maths/GCSE/Topic-Qs/Edexcel-IGCSE/Algebra/MA/Higher/Solving-Equations-and-Inequalities/Solving%20Quadratic%20Equations%20(H)%20MA.pdf" TargetMode="External"/><Relationship Id="rId136" Type="http://schemas.openxmlformats.org/officeDocument/2006/relationships/hyperlink" Target="https://pmt.physicsandmathstutor.com/download/Maths/GCSE/Topic-Qs/Edexcel-IGCSE/Algebra/QP/Higher/Notation-Vocabulary-and-Manipulation/Factorising%20Equations%20(H)%20QP.pdf" TargetMode="External"/><Relationship Id="rId137" Type="http://schemas.openxmlformats.org/officeDocument/2006/relationships/hyperlink" Target="https://pmt.physicsandmathstutor.com/download/Maths/GCSE/Topic-Qs/Edexcel-IGCSE/Algebra/MS/Higher/Notation-Vocabulary-and-Manipulation/Factorising%20Equations%20(H)%20MS.pdf" TargetMode="External"/><Relationship Id="rId138" Type="http://schemas.openxmlformats.org/officeDocument/2006/relationships/hyperlink" Target="https://pmt.physicsandmathstutor.com/download/Maths/GCSE/Topic-Qs/Edexcel-IGCSE/Algebra/MA/Higher/Notation-Vocabulary-and-Manipulation/Factorising%20Equations%20(H)%20MA.pdf" TargetMode="External"/><Relationship Id="rId139" Type="http://schemas.openxmlformats.org/officeDocument/2006/relationships/hyperlink" Target="https://pmt.physicsandmathstutor.com/download/Maths/GCSE/Topic-Qs/Edexcel-IGCSE/Algebra/QP/Higher/Solving-Equations-and-Inequalities/Solving%20Quadratic%20Equations%20(H)%20QP.pdf" TargetMode="External"/><Relationship Id="rId140" Type="http://schemas.openxmlformats.org/officeDocument/2006/relationships/hyperlink" Target="https://pmt.physicsandmathstutor.com/download/Maths/GCSE/Topic-Qs/Edexcel-IGCSE/Algebra/MS/Higher/Solving-Equations-and-Inequalities/Solving%20Quadratic%20Equations%20(H)%20MS.pdf" TargetMode="External"/><Relationship Id="rId141" Type="http://schemas.openxmlformats.org/officeDocument/2006/relationships/hyperlink" Target="https://pmt.physicsandmathstutor.com/download/Maths/GCSE/Topic-Qs/Edexcel-IGCSE/Algebra/MA/Higher/Solving-Equations-and-Inequalities/Solving%20Quadratic%20Equations%20(H)%20MA.pdf" TargetMode="External"/><Relationship Id="rId142" Type="http://schemas.openxmlformats.org/officeDocument/2006/relationships/hyperlink" Target="https://pmt.physicsandmathstutor.com/download/Maths/GCSE/Topic-Qs/Edexcel-IGCSE/Algebra/QP/Higher/Solving-Equations-and-Inequalities/Completing%20the%20square%20(H)%20QP.pdf" TargetMode="External"/><Relationship Id="rId143" Type="http://schemas.openxmlformats.org/officeDocument/2006/relationships/hyperlink" Target="https://pmt.physicsandmathstutor.com/download/Maths/GCSE/Topic-Qs/Edexcel-IGCSE/Algebra/MS/Higher/Solving-Equations-and-Inequalities/Completing%20the%20square%20(H)%20MS.pdf" TargetMode="External"/><Relationship Id="rId144" Type="http://schemas.openxmlformats.org/officeDocument/2006/relationships/hyperlink" Target="https://pmt.physicsandmathstutor.com/download/Maths/GCSE/Topic-Qs/Edexcel-IGCSE/Algebra/MA/Higher/Solving-Equations-and-Inequalities/Completing%20the%20square%20(H)%20MA.pdf" TargetMode="External"/><Relationship Id="rId145" Type="http://schemas.openxmlformats.org/officeDocument/2006/relationships/hyperlink" Target="https://pmt.physicsandmathstutor.com/download/Maths/GCSE/Topic-Qs/Edexcel-IGCSE/Algebra/QP/Higher/Solving-Equations-and-Inequalities/Inequalities%20(H)%20QP.pdf" TargetMode="External"/><Relationship Id="rId146" Type="http://schemas.openxmlformats.org/officeDocument/2006/relationships/hyperlink" Target="https://pmt.physicsandmathstutor.com/download/Maths/GCSE/Topic-Qs/Edexcel-IGCSE/Algebra/MS/Higher/Solving-Equations-and-Inequalities/Inequalities%20(H)%20MS.pdf" TargetMode="External"/><Relationship Id="rId147" Type="http://schemas.openxmlformats.org/officeDocument/2006/relationships/hyperlink" Target="https://pmt.physicsandmathstutor.com/download/Maths/GCSE/Topic-Qs/Edexcel-IGCSE/Algebra/MA/Higher/Solving-Equations-and-Inequalities/Inequalities%20(H)%20MA.pdf" TargetMode="External"/><Relationship Id="rId148" Type="http://schemas.openxmlformats.org/officeDocument/2006/relationships/hyperlink" Target="https://pmt.physicsandmathstutor.com/download/Maths/GCSE/Topic-Qs/Edexcel-IGCSE/Algebra/QP/Higher/Solving-Equations-and-Inequalities/Inequalities%20on%20Graphs%20(H)%20QP.pdf" TargetMode="External"/><Relationship Id="rId149" Type="http://schemas.openxmlformats.org/officeDocument/2006/relationships/hyperlink" Target="https://pmt.physicsandmathstutor.com/download/Maths/GCSE/Topic-Qs/Edexcel-IGCSE/Algebra/MS/Higher/Solving-Equations-and-Inequalities/Inequalities%20on%20Graphs%20(H)%20MS.pdf" TargetMode="External"/><Relationship Id="rId150" Type="http://schemas.openxmlformats.org/officeDocument/2006/relationships/hyperlink" Target="https://pmt.physicsandmathstutor.com/download/Maths/GCSE/Topic-Qs/Edexcel-IGCSE/Algebra/MA/Higher/Solving-Equations-and-Inequalities/Inequalities%20on%20Graphs%20(H)%20MA.pdf" TargetMode="External"/><Relationship Id="rId151" Type="http://schemas.openxmlformats.org/officeDocument/2006/relationships/hyperlink" Target="https://pmt.physicsandmathstutor.com/download/Maths/GCSE/Topic-Qs/Edexcel-IGCSE/Algebra/QP/Higher/Solving-Equations-and-Inequalities/Quadratic%20Inequalities%20(H)%20QP.pdf" TargetMode="External"/><Relationship Id="rId152" Type="http://schemas.openxmlformats.org/officeDocument/2006/relationships/hyperlink" Target="https://pmt.physicsandmathstutor.com/download/Maths/GCSE/Topic-Qs/Edexcel-IGCSE/Algebra/MS/Higher/Solving-Equations-and-Inequalities/Quadratic%20Inequalities%20(H)%20MS.pdf" TargetMode="External"/><Relationship Id="rId153" Type="http://schemas.openxmlformats.org/officeDocument/2006/relationships/hyperlink" Target="https://pmt.physicsandmathstutor.com/download/Maths/GCSE/Topic-Qs/Edexcel-IGCSE/Algebra/MA/Higher/Solving-Equations-and-Inequalities/Quadratic%20Inequalities%20(H)%20MA.pdf" TargetMode="External"/><Relationship Id="rId154" Type="http://schemas.openxmlformats.org/officeDocument/2006/relationships/hyperlink" Target="https://pmt.physicsandmathstutor.com/download/Maths/GCSE/Topic-Qs/Edexcel-IGCSE/Algebra/QP/Higher/Sequences/Sequences%20(H)%20QP.pdf" TargetMode="External"/><Relationship Id="rId155" Type="http://schemas.openxmlformats.org/officeDocument/2006/relationships/hyperlink" Target="https://pmt.physicsandmathstutor.com/download/Maths/GCSE/Topic-Qs/Edexcel-IGCSE/Algebra/MS/Higher/Sequences/Sequences%20(H)%20MS.pdf" TargetMode="External"/><Relationship Id="rId156" Type="http://schemas.openxmlformats.org/officeDocument/2006/relationships/hyperlink" Target="https://pmt.physicsandmathstutor.com/download/Maths/GCSE/Topic-Qs/Edexcel-IGCSE/Algebra/MA/Higher/Sequences/Sequences%20(H)%20MA.pdf" TargetMode="External"/><Relationship Id="rId157" Type="http://schemas.openxmlformats.org/officeDocument/2006/relationships/hyperlink" Target="https://pmt.physicsandmathstutor.com/download/Maths/GCSE/Topic-Qs/Edexcel-IGCSE/Algebra/QP/Higher/Sequences/Sequences%20(H)%20QP.pdf" TargetMode="External"/><Relationship Id="rId158" Type="http://schemas.openxmlformats.org/officeDocument/2006/relationships/hyperlink" Target="https://pmt.physicsandmathstutor.com/download/Maths/GCSE/Topic-Qs/Edexcel-IGCSE/Algebra/MS/Higher/Sequences/Sequences%20(H)%20MS.pdf" TargetMode="External"/><Relationship Id="rId159" Type="http://schemas.openxmlformats.org/officeDocument/2006/relationships/hyperlink" Target="https://pmt.physicsandmathstutor.com/download/Maths/GCSE/Topic-Qs/Edexcel-IGCSE/Algebra/MA/Higher/Sequences/Sequences%20(H)%20MA.pdf" TargetMode="External"/><Relationship Id="rId160" Type="http://schemas.openxmlformats.org/officeDocument/2006/relationships/hyperlink" Target="https://pmt.physicsandmathstutor.com/download/Maths/GCSE/Topic-Qs/Edexcel-IGCSE/Algebra/QP/Higher/Notation-Vocabulary-and-Manipulation/Functions%20(Composite%20or%20Inverse)%20(H)%20QP.pdf" TargetMode="External"/><Relationship Id="rId161" Type="http://schemas.openxmlformats.org/officeDocument/2006/relationships/hyperlink" Target="https://pmt.physicsandmathstutor.com/download/Maths/GCSE/Topic-Qs/Edexcel-IGCSE/Algebra/MS/Higher/Notation-Vocabulary-and-Manipulation/Functions%20(Composite%20or%20Inverse)%20(H)%20MS.pdf" TargetMode="External"/><Relationship Id="rId162" Type="http://schemas.openxmlformats.org/officeDocument/2006/relationships/hyperlink" Target="https://pmt.physicsandmathstutor.com/download/Maths/GCSE/Topic-Qs/Edexcel-IGCSE/Algebra/MA/Higher/Notation-Vocabulary-and-Manipulation/Functions%20(Composite%20or%20Inverse)%20(H)%20MA.pdf" TargetMode="External"/><Relationship Id="rId163" Type="http://schemas.openxmlformats.org/officeDocument/2006/relationships/hyperlink" Target="https://pmt.physicsandmathstutor.com/download/Maths/GCSE/Topic-Qs/Edexcel-IGCSE/Algebra/QP/Higher/Graphs/Coordinates%20(H)%20QP.pdf" TargetMode="External"/><Relationship Id="rId164" Type="http://schemas.openxmlformats.org/officeDocument/2006/relationships/hyperlink" Target="https://pmt.physicsandmathstutor.com/download/Maths/GCSE/Topic-Qs/Edexcel-IGCSE/Algebra/MS/Higher/Graphs/Coordinates%20(H)%20MS.pdf" TargetMode="External"/><Relationship Id="rId165" Type="http://schemas.openxmlformats.org/officeDocument/2006/relationships/hyperlink" Target="https://pmt.physicsandmathstutor.com/download/Maths/GCSE/Topic-Qs/Edexcel-IGCSE/Algebra/MA/Higher/Graphs/Coordinates%20(H)%20MA.pdf" TargetMode="External"/><Relationship Id="rId166" Type="http://schemas.openxmlformats.org/officeDocument/2006/relationships/hyperlink" Target="https://pmt.physicsandmathstutor.com/download/Maths/GCSE/Topic-Qs/Edexcel-IGCSE/Algebra/QP/Higher/Graphs/Equations%20of%20Straight%20Lines%20(H)%20QP.pdf" TargetMode="External"/><Relationship Id="rId167" Type="http://schemas.openxmlformats.org/officeDocument/2006/relationships/hyperlink" Target="https://pmt.physicsandmathstutor.com/download/Maths/GCSE/Topic-Qs/Edexcel-IGCSE/Algebra/MS/Higher/Graphs/Equations%20of%20Straight%20Lines%20(H)%20MS.pdf" TargetMode="External"/><Relationship Id="rId168" Type="http://schemas.openxmlformats.org/officeDocument/2006/relationships/hyperlink" Target="https://pmt.physicsandmathstutor.com/download/Maths/GCSE/Topic-Qs/Edexcel-IGCSE/Algebra/MA/Higher/Graphs/Equations%20of%20Straight%20Lines%20(H)%20MA.pdf" TargetMode="External"/><Relationship Id="rId169" Type="http://schemas.openxmlformats.org/officeDocument/2006/relationships/hyperlink" Target="https://pmt.physicsandmathstutor.com/download/Maths/GCSE/Topic-Qs/Edexcel-IGCSE/Algebra/QP/Higher/Graphs/Gradients%20of%20Straight%20lines%20(H)%20QP.pdf" TargetMode="External"/><Relationship Id="rId170" Type="http://schemas.openxmlformats.org/officeDocument/2006/relationships/hyperlink" Target="https://pmt.physicsandmathstutor.com/download/Maths/GCSE/Topic-Qs/Edexcel-IGCSE/Algebra/MS/Higher/Graphs/Gradients%20of%20Straight%20lines%20(H)%20MS.pdf" TargetMode="External"/><Relationship Id="rId171" Type="http://schemas.openxmlformats.org/officeDocument/2006/relationships/hyperlink" Target="https://pmt.physicsandmathstutor.com/download/Maths/GCSE/Topic-Qs/Edexcel-IGCSE/Algebra/MA/Higher/Graphs/Gradients%20of%20Straight%20lines%20(H)%20MA.pdf" TargetMode="External"/><Relationship Id="rId172" Type="http://schemas.openxmlformats.org/officeDocument/2006/relationships/hyperlink" Target="https://pmt.physicsandmathstutor.com/download/Maths/GCSE/Topic-Qs/Edexcel-IGCSE/Algebra/QP/Higher/Graphs/Graphs%20of%20Linear%20Equations%20(H)%20QP.pdf" TargetMode="External"/><Relationship Id="rId173" Type="http://schemas.openxmlformats.org/officeDocument/2006/relationships/hyperlink" Target="https://pmt.physicsandmathstutor.com/download/Maths/GCSE/Topic-Qs/Edexcel-IGCSE/Algebra/MS/Higher/Graphs/Graphs%20of%20Linear%20Equations%20(H)%20MS.pdf" TargetMode="External"/><Relationship Id="rId174" Type="http://schemas.openxmlformats.org/officeDocument/2006/relationships/hyperlink" Target="https://pmt.physicsandmathstutor.com/download/Maths/GCSE/Topic-Qs/Edexcel-IGCSE/Algebra/MA/Higher/Graphs/Graphs%20of%20Linear%20Equations%20(H)%20MA.pdf" TargetMode="External"/><Relationship Id="rId175" Type="http://schemas.openxmlformats.org/officeDocument/2006/relationships/hyperlink" Target="https://pmt.physicsandmathstutor.com/download/Maths/GCSE/Topic-Qs/Edexcel-IGCSE/Algebra/QP/Higher/Graphs/Interpreting%20Gradients%20(H)%20QP.pdf" TargetMode="External"/><Relationship Id="rId176" Type="http://schemas.openxmlformats.org/officeDocument/2006/relationships/hyperlink" Target="https://pmt.physicsandmathstutor.com/download/Maths/GCSE/Topic-Qs/Edexcel-IGCSE/Algebra/MS/Higher/Graphs/Interpreting%20Gradients%20(H)%20MS.pdf" TargetMode="External"/><Relationship Id="rId177" Type="http://schemas.openxmlformats.org/officeDocument/2006/relationships/hyperlink" Target="https://pmt.physicsandmathstutor.com/download/Maths/GCSE/Topic-Qs/Edexcel-IGCSE/Algebra/MA/Higher/Graphs/Interpreting%20Gradients%20(H)%20MA.pdf" TargetMode="External"/><Relationship Id="rId178" Type="http://schemas.openxmlformats.org/officeDocument/2006/relationships/hyperlink" Target="https://pmt.physicsandmathstutor.com/download/Maths/GCSE/Topic-Qs/Edexcel-IGCSE/Algebra/QP/Higher/Graphs/Graphs%20of%20Quadratic%20Equations%20(H)%20QP.pdf" TargetMode="External"/><Relationship Id="rId179" Type="http://schemas.openxmlformats.org/officeDocument/2006/relationships/hyperlink" Target="https://pmt.physicsandmathstutor.com/download/Maths/GCSE/Topic-Qs/Edexcel-IGCSE/Algebra/MS/Higher/Graphs/Graphs%20of%20Quadratic%20Equations%20(H)%20MS.pdf" TargetMode="External"/><Relationship Id="rId180" Type="http://schemas.openxmlformats.org/officeDocument/2006/relationships/hyperlink" Target="https://pmt.physicsandmathstutor.com/download/Maths/GCSE/Topic-Qs/Edexcel-IGCSE/Algebra/MA/Higher/Graphs/Graphs%20of%20Quadratic%20Equations%20(H)%20MA.pdf" TargetMode="External"/><Relationship Id="rId181" Type="http://schemas.openxmlformats.org/officeDocument/2006/relationships/hyperlink" Target="https://pmt.physicsandmathstutor.com/download/Maths/GCSE/Topic-Qs/Edexcel-IGCSE/Algebra/QP/Higher/Graphs/Cubic%20and%20Reciprocal%20Graphs%20(H)%20QP.pdf" TargetMode="External"/><Relationship Id="rId182" Type="http://schemas.openxmlformats.org/officeDocument/2006/relationships/hyperlink" Target="https://pmt.physicsandmathstutor.com/download/Maths/GCSE/Topic-Qs/Edexcel-IGCSE/Algebra/MS/Higher/Graphs/Cubic%20and%20Reciprocal%20Graphs%20(H)%20MS.pdf" TargetMode="External"/><Relationship Id="rId183" Type="http://schemas.openxmlformats.org/officeDocument/2006/relationships/hyperlink" Target="https://pmt.physicsandmathstutor.com/download/Maths/GCSE/Topic-Qs/Edexcel-IGCSE/Algebra/MA/Higher/Graphs/Cubic%20and%20Reciprocal%20Graphs%20(H)%20MA.pdf" TargetMode="External"/><Relationship Id="rId184" Type="http://schemas.openxmlformats.org/officeDocument/2006/relationships/hyperlink" Target="https://pmt.physicsandmathstutor.com/download/Maths/GCSE/Topic-Qs/Edexcel-IGCSE/Algebra/QP/Higher/Graphs/Exponential%20and%20Trigonometric%20Graphs%20(H)%20QP.pdf" TargetMode="External"/><Relationship Id="rId185" Type="http://schemas.openxmlformats.org/officeDocument/2006/relationships/hyperlink" Target="https://pmt.physicsandmathstutor.com/download/Maths/GCSE/Topic-Qs/Edexcel-IGCSE/Algebra/MS/Higher/Graphs/Exponential%20and%20Trigonometric%20Graphs%20(H)%20MS.pdf" TargetMode="External"/><Relationship Id="rId186" Type="http://schemas.openxmlformats.org/officeDocument/2006/relationships/hyperlink" Target="https://pmt.physicsandmathstutor.com/download/Maths/GCSE/Topic-Qs/Edexcel-IGCSE/Algebra/MA/Higher/Graphs/Exponential%20and%20Trigonometric%20Graphs%20(H)%20MA.pdf" TargetMode="External"/><Relationship Id="rId187" Type="http://schemas.openxmlformats.org/officeDocument/2006/relationships/hyperlink" Target="https://pmt.physicsandmathstutor.com/download/Maths/GCSE/Topic-Qs/Edexcel-IGCSE/Algebra/QP/Higher/Graphs/Translations%20and%20Reflections%20of%20Functions%20(H)%20QP.pdf" TargetMode="External"/><Relationship Id="rId188" Type="http://schemas.openxmlformats.org/officeDocument/2006/relationships/hyperlink" Target="https://pmt.physicsandmathstutor.com/download/Maths/GCSE/Topic-Qs/Edexcel-IGCSE/Algebra/MS/Higher/Graphs/Translations%20and%20Reflections%20of%20Functions%20(H)%20MS.pdf" TargetMode="External"/><Relationship Id="rId189" Type="http://schemas.openxmlformats.org/officeDocument/2006/relationships/hyperlink" Target="https://pmt.physicsandmathstutor.com/download/Maths/GCSE/Topic-Qs/Edexcel-IGCSE/Algebra/MA/Higher/Graphs/Translations%20and%20Reflections%20of%20Functions%20(H)%20MA.pdf" TargetMode="External"/><Relationship Id="rId190" Type="http://schemas.openxmlformats.org/officeDocument/2006/relationships/hyperlink" Target="https://pmt.physicsandmathstutor.com/download/Maths/GCSE/Topic-Qs/Edexcel-IGCSE/Algebra/QP/Higher/Graphs/Circle%20Equations%20and%20Tangents%20(H)%20QP.pdf" TargetMode="External"/><Relationship Id="rId191" Type="http://schemas.openxmlformats.org/officeDocument/2006/relationships/hyperlink" Target="https://pmt.physicsandmathstutor.com/download/Maths/GCSE/Topic-Qs/Edexcel-IGCSE/Algebra/MS/Higher/Graphs/Circle%20Equations%20and%20Tangents%20(H)%20MS.pdf" TargetMode="External"/><Relationship Id="rId192" Type="http://schemas.openxmlformats.org/officeDocument/2006/relationships/hyperlink" Target="https://pmt.physicsandmathstutor.com/download/Maths/GCSE/Topic-Qs/Edexcel-IGCSE/Algebra/MA/Higher/Graphs/Circle%20Equations%20and%20Tangents%20(H)%20MA.pdf" TargetMode="External"/><Relationship Id="rId193" Type="http://schemas.openxmlformats.org/officeDocument/2006/relationships/hyperlink" Target="https://pmt.physicsandmathstutor.com/download/Maths/GCSE/Topic-Qs/Edexcel-IGCSE/Algebra/QP/Higher/Graphs/Graphs%20of%20Circles%20(H)%20QP.pdf" TargetMode="External"/><Relationship Id="rId194" Type="http://schemas.openxmlformats.org/officeDocument/2006/relationships/hyperlink" Target="https://pmt.physicsandmathstutor.com/download/Maths/GCSE/Topic-Qs/Edexcel-IGCSE/Algebra/MS/Higher/Graphs/Graphs%20of%20Circles%20(H)%20MS.pdf" TargetMode="External"/><Relationship Id="rId195" Type="http://schemas.openxmlformats.org/officeDocument/2006/relationships/hyperlink" Target="https://pmt.physicsandmathstutor.com/download/Maths/GCSE/Topic-Qs/Edexcel-IGCSE/Algebra/MA/Higher/Graphs/Graphs%20of%20Circles%20(H)%20MA.pdf" TargetMode="External"/><Relationship Id="rId196" Type="http://schemas.openxmlformats.org/officeDocument/2006/relationships/hyperlink" Target="https://pmt.physicsandmathstutor.com/download/Maths/GCSE/Topic-Qs/Edexcel-IGCSE/Algebra/QP/Higher/Graphs/Parallel%20or%20Perpendicular%20Lines%20(H)%20QP.pdf" TargetMode="External"/><Relationship Id="rId197" Type="http://schemas.openxmlformats.org/officeDocument/2006/relationships/hyperlink" Target="https://pmt.physicsandmathstutor.com/download/Maths/GCSE/Topic-Qs/Edexcel-IGCSE/Algebra/MS/Higher/Graphs/Parallel%20or%20Perpendicular%20Lines%20(H)%20MS.pdf" TargetMode="External"/><Relationship Id="rId198" Type="http://schemas.openxmlformats.org/officeDocument/2006/relationships/hyperlink" Target="https://pmt.physicsandmathstutor.com/download/Maths/GCSE/Topic-Qs/Edexcel-IGCSE/Algebra/MA/Higher/Graphs/Parallel%20or%20Perpendicular%20Lines%20(H)%20MA.pdf" TargetMode="External"/><Relationship Id="rId199" Type="http://schemas.openxmlformats.org/officeDocument/2006/relationships/hyperlink" Target="https://pmt.physicsandmathstutor.com/download/Maths/GCSE/Topic-Qs/Edexcel-IGCSE/Geometry-and-Measures/QP/Higher/Properties-and-Constructions/Properties%20of%20Angles%20(H)%20QP.pdf" TargetMode="External"/><Relationship Id="rId200" Type="http://schemas.openxmlformats.org/officeDocument/2006/relationships/hyperlink" Target="https://pmt.physicsandmathstutor.com/download/Maths/GCSE/Topic-Qs/Edexcel-IGCSE/Geometry-and-Measures/MS/Higher/Properties-and-Constructions/Properties%20of%20Angles%20(H)%20MS.pdf" TargetMode="External"/><Relationship Id="rId201" Type="http://schemas.openxmlformats.org/officeDocument/2006/relationships/hyperlink" Target="https://pmt.physicsandmathstutor.com/download/Maths/GCSE/Topic-Qs/Edexcel-IGCSE/Geometry-and-Measures/MA/Higher/Properties-and-Constructions/Properties%20of%20Angles%20(H)%20MA.pdf" TargetMode="External"/><Relationship Id="rId202" Type="http://schemas.openxmlformats.org/officeDocument/2006/relationships/hyperlink" Target="https://pmt.physicsandmathstutor.com/download/Maths/GCSE/Topic-Qs/Edexcel-IGCSE/Geometry-and-Measures/QP/Higher/Properties-and-Constructions/Triangles%20(H)%20QP.pdf" TargetMode="External"/><Relationship Id="rId203" Type="http://schemas.openxmlformats.org/officeDocument/2006/relationships/hyperlink" Target="https://pmt.physicsandmathstutor.com/download/Maths/GCSE/Topic-Qs/Edexcel-IGCSE/Geometry-and-Measures/MS/Higher/Properties-and-Constructions/Triangles%20(H)%20MS.pdf" TargetMode="External"/><Relationship Id="rId204" Type="http://schemas.openxmlformats.org/officeDocument/2006/relationships/hyperlink" Target="https://pmt.physicsandmathstutor.com/download/Maths/GCSE/Topic-Qs/Edexcel-IGCSE/Geometry-and-Measures/MA/Higher/Properties-and-Constructions/Triangles%20(H)%20MA.pdf" TargetMode="External"/><Relationship Id="rId205" Type="http://schemas.openxmlformats.org/officeDocument/2006/relationships/hyperlink" Target="https://pmt.physicsandmathstutor.com/download/Maths/GCSE/Topic-Qs/Edexcel-IGCSE/Geometry-and-Measures/QP/Higher/Properties-and-Constructions/Properties%20of%20Polygons%20(H)%20QP.pdf" TargetMode="External"/><Relationship Id="rId206" Type="http://schemas.openxmlformats.org/officeDocument/2006/relationships/hyperlink" Target="https://pmt.physicsandmathstutor.com/download/Maths/GCSE/Topic-Qs/Edexcel-IGCSE/Geometry-and-Measures/MS/Higher/Properties-and-Constructions/Properties%20of%20Polygons%20(H)%20MS.pdf" TargetMode="External"/><Relationship Id="rId207" Type="http://schemas.openxmlformats.org/officeDocument/2006/relationships/hyperlink" Target="https://pmt.physicsandmathstutor.com/download/Maths/GCSE/Topic-Qs/Edexcel-IGCSE/Geometry-and-Measures/MA/Higher/Properties-and-Constructions/Properties%20of%20Polygons%20(H)%20MA.pdf" TargetMode="External"/><Relationship Id="rId208" Type="http://schemas.openxmlformats.org/officeDocument/2006/relationships/hyperlink" Target="https://pmt.physicsandmathstutor.com/download/Maths/GCSE/Topic-Qs/Edexcel-IGCSE/Geometry-and-Measures/QP/Higher/Properties-and-Constructions/2D%20and%203D%20Shapes%20(H)%20QP.pdf" TargetMode="External"/><Relationship Id="rId209" Type="http://schemas.openxmlformats.org/officeDocument/2006/relationships/hyperlink" Target="https://pmt.physicsandmathstutor.com/download/Maths/GCSE/Topic-Qs/Edexcel-IGCSE/Geometry-and-Measures/MS/Higher/Properties-and-Constructions/2D%20and%203D%20Shapes%20(H)%20MS.pdf" TargetMode="External"/><Relationship Id="rId210" Type="http://schemas.openxmlformats.org/officeDocument/2006/relationships/hyperlink" Target="https://pmt.physicsandmathstutor.com/download/Maths/GCSE/Topic-Qs/Edexcel-IGCSE/Geometry-and-Measures/MA/Higher/Properties-and-Constructions/2D%20and%203D%20Shapes%20(H)%20MA.pdf" TargetMode="External"/><Relationship Id="rId211" Type="http://schemas.openxmlformats.org/officeDocument/2006/relationships/hyperlink" Target="https://pmt.physicsandmathstutor.com/download/Maths/GCSE/Topic-Qs/Edexcel-IGCSE/Geometry-and-Measures/QP/Higher/Properties-and-Constructions/Vocabulary%20and%20Notation%20(H)%20QP.pdf" TargetMode="External"/><Relationship Id="rId212" Type="http://schemas.openxmlformats.org/officeDocument/2006/relationships/hyperlink" Target="https://pmt.physicsandmathstutor.com/download/Maths/GCSE/Topic-Qs/Edexcel-IGCSE/Geometry-and-Measures/MS/Higher/Properties-and-Constructions/Vocabulary%20and%20Notation%20(H)%20MS.pdf" TargetMode="External"/><Relationship Id="rId213" Type="http://schemas.openxmlformats.org/officeDocument/2006/relationships/hyperlink" Target="https://pmt.physicsandmathstutor.com/download/Maths/GCSE/Topic-Qs/Edexcel-IGCSE/Geometry-and-Measures/MA/Higher/Properties-and-Constructions/Vocabulary%20and%20Notation%20(H)%20MA.pdf" TargetMode="External"/><Relationship Id="rId214" Type="http://schemas.openxmlformats.org/officeDocument/2006/relationships/hyperlink" Target="https://pmt.physicsandmathstutor.com/download/Maths/GCSE/Topic-Qs/Edexcel-IGCSE/Geometry-and-Measures/QP/Higher/Properties-and-Constructions/2D%20and%203D%20Shapes%20(H)%20QP.pdf" TargetMode="External"/><Relationship Id="rId215" Type="http://schemas.openxmlformats.org/officeDocument/2006/relationships/hyperlink" Target="https://pmt.physicsandmathstutor.com/download/Maths/GCSE/Topic-Qs/Edexcel-IGCSE/Geometry-and-Measures/MS/Higher/Properties-and-Constructions/2D%20and%203D%20Shapes%20(H)%20MS.pdf" TargetMode="External"/><Relationship Id="rId216" Type="http://schemas.openxmlformats.org/officeDocument/2006/relationships/hyperlink" Target="https://pmt.physicsandmathstutor.com/download/Maths/GCSE/Topic-Qs/Edexcel-IGCSE/Geometry-and-Measures/MA/Higher/Properties-and-Constructions/2D%20and%203D%20Shapes%20(H)%20MA.pdf" TargetMode="External"/><Relationship Id="rId217" Type="http://schemas.openxmlformats.org/officeDocument/2006/relationships/hyperlink" Target="https://pmt.physicsandmathstutor.com/download/Maths/GCSE/Topic-Qs/Edexcel-IGCSE/Geometry-and-Measures/QP/Higher/Mensuration-and-Calculation/Bearings%20(H)%20QP.pdf" TargetMode="External"/><Relationship Id="rId218" Type="http://schemas.openxmlformats.org/officeDocument/2006/relationships/hyperlink" Target="https://pmt.physicsandmathstutor.com/download/Maths/GCSE/Topic-Qs/Edexcel-IGCSE/Geometry-and-Measures/MS/Higher/Mensuration-and-Calculation/Bearings%20(H)%20MS.pdf" TargetMode="External"/><Relationship Id="rId219" Type="http://schemas.openxmlformats.org/officeDocument/2006/relationships/hyperlink" Target="https://pmt.physicsandmathstutor.com/download/Maths/GCSE/Topic-Qs/Edexcel-IGCSE/Geometry-and-Measures/MA/Higher/Mensuration-and-Calculation/Bearings%20(H)%20MA.pdf" TargetMode="External"/><Relationship Id="rId220" Type="http://schemas.openxmlformats.org/officeDocument/2006/relationships/hyperlink" Target="https://pmt.physicsandmathstutor.com/download/Maths/GCSE/Topic-Qs/Edexcel-IGCSE/Ratio-Proportion-and-Rates-of-Change/QP/Higher/Speed%20(H)%20QP.pdf" TargetMode="External"/><Relationship Id="rId221" Type="http://schemas.openxmlformats.org/officeDocument/2006/relationships/hyperlink" Target="https://pmt.physicsandmathstutor.com/download/Maths/GCSE/Topic-Qs/Edexcel-IGCSE/Ratio-Proportion-and-Rates-of-Change/MS/Higher/Speed%20(H)%20MS.pdf" TargetMode="External"/><Relationship Id="rId222" Type="http://schemas.openxmlformats.org/officeDocument/2006/relationships/hyperlink" Target="https://pmt.physicsandmathstutor.com/download/Maths/GCSE/Topic-Qs/Edexcel-IGCSE/Ratio-Proportion-and-Rates-of-Change/MA/Higher/Speed%20(H)%20MA.pdf" TargetMode="External"/><Relationship Id="rId223" Type="http://schemas.openxmlformats.org/officeDocument/2006/relationships/hyperlink" Target="https://pmt.physicsandmathstutor.com/download/Maths/GCSE/Topic-Qs/Edexcel-IGCSE/Ratio-Proportion-and-Rates-of-Change/QP/Higher/Compound%20Measures%20(H)%20QP.pdf" TargetMode="External"/><Relationship Id="rId224" Type="http://schemas.openxmlformats.org/officeDocument/2006/relationships/hyperlink" Target="https://pmt.physicsandmathstutor.com/download/Maths/GCSE/Topic-Qs/Edexcel-IGCSE/Ratio-Proportion-and-Rates-of-Change/MS/Higher/Compound%20Measures%20(H)%20MS.pdf" TargetMode="External"/><Relationship Id="rId225" Type="http://schemas.openxmlformats.org/officeDocument/2006/relationships/hyperlink" Target="https://pmt.physicsandmathstutor.com/download/Maths/GCSE/Topic-Qs/Edexcel-IGCSE/Ratio-Proportion-and-Rates-of-Change/MA/Higher/Compound%20Measures%20(H)%20MA.pdf" TargetMode="External"/><Relationship Id="rId226" Type="http://schemas.openxmlformats.org/officeDocument/2006/relationships/hyperlink" Target="https://pmt.physicsandmathstutor.com/download/Maths/GCSE/Topic-Qs/Edexcel-IGCSE/Ratio-Proportion-and-Rates-of-Change/QP/Higher/Compound%20Units%20(H)%20QP.pdf" TargetMode="External"/><Relationship Id="rId227" Type="http://schemas.openxmlformats.org/officeDocument/2006/relationships/hyperlink" Target="https://pmt.physicsandmathstutor.com/download/Maths/GCSE/Topic-Qs/Edexcel-IGCSE/Ratio-Proportion-and-Rates-of-Change/MS/Higher/Compound%20Units%20(H)%20MS.pdf" TargetMode="External"/><Relationship Id="rId228" Type="http://schemas.openxmlformats.org/officeDocument/2006/relationships/hyperlink" Target="https://pmt.physicsandmathstutor.com/download/Maths/GCSE/Topic-Qs/Edexcel-IGCSE/Ratio-Proportion-and-Rates-of-Change/MA/Higher/Compound%20Units%20(H)%20MA.pdf" TargetMode="External"/><Relationship Id="rId229" Type="http://schemas.openxmlformats.org/officeDocument/2006/relationships/hyperlink" Target="https://pmt.physicsandmathstutor.com/download/Maths/GCSE/Topic-Qs/Edexcel-IGCSE/Number/QP/Higher/Measures-and-Accuracy/Using%20Measures%20(H)%20QP.pdf" TargetMode="External"/><Relationship Id="rId230" Type="http://schemas.openxmlformats.org/officeDocument/2006/relationships/hyperlink" Target="https://pmt.physicsandmathstutor.com/download/Maths/GCSE/Topic-Qs/Edexcel-IGCSE/Number/MS/Higher/Measures-and-Accuracy/Using%20Measures%20(H)%20MS.pdf" TargetMode="External"/><Relationship Id="rId231" Type="http://schemas.openxmlformats.org/officeDocument/2006/relationships/hyperlink" Target="https://pmt.physicsandmathstutor.com/download/Maths/GCSE/Topic-Qs/Edexcel-IGCSE/Number/MA/Higher/Measures-and-Accuracy/Using%20Measures%20(H)%20MA.pdf" TargetMode="External"/><Relationship Id="rId232" Type="http://schemas.openxmlformats.org/officeDocument/2006/relationships/hyperlink" Target="https://pmt.physicsandmathstutor.com/download/Maths/GCSE/Topic-Qs/Edexcel-IGCSE/Geometry-and-Measures/QP/Higher/Properties-and-Constructions/Constructions%20(H)%20QP.pdf" TargetMode="External"/><Relationship Id="rId233" Type="http://schemas.openxmlformats.org/officeDocument/2006/relationships/hyperlink" Target="https://pmt.physicsandmathstutor.com/download/Maths/GCSE/Topic-Qs/Edexcel-IGCSE/Geometry-and-Measures/MS/Higher/Properties-and-Constructions/Constructions%20(H)%20MS.pdf" TargetMode="External"/><Relationship Id="rId234" Type="http://schemas.openxmlformats.org/officeDocument/2006/relationships/hyperlink" Target="https://pmt.physicsandmathstutor.com/download/Maths/GCSE/Topic-Qs/Edexcel-IGCSE/Geometry-and-Measures/MA/Higher/Properties-and-Constructions/Constructions%20(H)%20MA.pdf" TargetMode="External"/><Relationship Id="rId235" Type="http://schemas.openxmlformats.org/officeDocument/2006/relationships/hyperlink" Target="https://pmt.physicsandmathstutor.com/download/Maths/GCSE/Topic-Qs/Edexcel-IGCSE/Geometry-and-Measures/QP/Higher/Properties-and-Constructions/Maps%20and%20Scale%20Drawings%20(H)%20QP.pdf" TargetMode="External"/><Relationship Id="rId236" Type="http://schemas.openxmlformats.org/officeDocument/2006/relationships/hyperlink" Target="https://pmt.physicsandmathstutor.com/download/Maths/GCSE/Topic-Qs/Edexcel-IGCSE/Geometry-and-Measures/MS/Higher/Properties-and-Constructions/Maps%20and%20Scale%20Drawings%20(H)%20MS.pdf" TargetMode="External"/><Relationship Id="rId237" Type="http://schemas.openxmlformats.org/officeDocument/2006/relationships/hyperlink" Target="https://pmt.physicsandmathstutor.com/download/Maths/GCSE/Topic-Qs/Edexcel-IGCSE/Geometry-and-Measures/MA/Higher/Properties-and-Constructions/Maps%20and%20Scale%20Drawings%20(H)%20MA.pdf" TargetMode="External"/><Relationship Id="rId238" Type="http://schemas.openxmlformats.org/officeDocument/2006/relationships/hyperlink" Target="https://pmt.physicsandmathstutor.com/download/Maths/GCSE/Topic-Qs/Edexcel-IGCSE/Geometry-and-Measures/QP/Higher/Properties-and-Constructions/Properties%20of%20Circles%20(H)%20QP.pdf" TargetMode="External"/><Relationship Id="rId239" Type="http://schemas.openxmlformats.org/officeDocument/2006/relationships/hyperlink" Target="https://pmt.physicsandmathstutor.com/download/Maths/GCSE/Topic-Qs/Edexcel-IGCSE/Geometry-and-Measures/MS/Higher/Properties-and-Constructions/Properties%20of%20Circles%20(H)%20MS.pdf" TargetMode="External"/><Relationship Id="rId240" Type="http://schemas.openxmlformats.org/officeDocument/2006/relationships/hyperlink" Target="https://pmt.physicsandmathstutor.com/download/Maths/GCSE/Topic-Qs/Edexcel-IGCSE/Geometry-and-Measures/MA/Higher/Properties-and-Constructions/Properties%20of%20Circles%20(H)%20MA.pdf" TargetMode="External"/><Relationship Id="rId241" Type="http://schemas.openxmlformats.org/officeDocument/2006/relationships/hyperlink" Target="https://pmt.physicsandmathstutor.com/download/Maths/GCSE/Topic-Qs/Edexcel-IGCSE/Geometry-and-Measures/QP/Higher/Properties-and-Constructions/Vocabulary%20and%20Notation%20(H)%20QP.pdf" TargetMode="External"/><Relationship Id="rId242" Type="http://schemas.openxmlformats.org/officeDocument/2006/relationships/hyperlink" Target="https://pmt.physicsandmathstutor.com/download/Maths/GCSE/Topic-Qs/Edexcel-IGCSE/Geometry-and-Measures/MS/Higher/Properties-and-Constructions/Vocabulary%20and%20Notation%20(H)%20MS.pdf" TargetMode="External"/><Relationship Id="rId243" Type="http://schemas.openxmlformats.org/officeDocument/2006/relationships/hyperlink" Target="https://pmt.physicsandmathstutor.com/download/Maths/GCSE/Topic-Qs/Edexcel-IGCSE/Geometry-and-Measures/MA/Higher/Properties-and-Constructions/Vocabulary%20and%20Notation%20(H)%20MA.pdf" TargetMode="External"/><Relationship Id="rId244" Type="http://schemas.openxmlformats.org/officeDocument/2006/relationships/hyperlink" Target="https://pmt.physicsandmathstutor.com/download/Maths/GCSE/Topic-Qs/Edexcel-IGCSE/Geometry-and-Measures/QP/Higher/Properties-and-Constructions/Circle%20Theorems%20(H)%20QP.pdf" TargetMode="External"/><Relationship Id="rId245" Type="http://schemas.openxmlformats.org/officeDocument/2006/relationships/hyperlink" Target="https://pmt.physicsandmathstutor.com/download/Maths/GCSE/Topic-Qs/Edexcel-IGCSE/Geometry-and-Measures/MS/Higher/Properties-and-Constructions/Circle%20Theorems%20(H)%20MS.pdf" TargetMode="External"/><Relationship Id="rId246" Type="http://schemas.openxmlformats.org/officeDocument/2006/relationships/hyperlink" Target="https://pmt.physicsandmathstutor.com/download/Maths/GCSE/Topic-Qs/Edexcel-IGCSE/Geometry-and-Measures/MA/Higher/Properties-and-Constructions/Circle%20Theorems%20(H)%20MA.pdf" TargetMode="External"/><Relationship Id="rId247" Type="http://schemas.openxmlformats.org/officeDocument/2006/relationships/hyperlink" Target="https://pmt.physicsandmathstutor.com/download/Maths/GCSE/Topic-Qs/Edexcel-IGCSE/Geometry-and-Measures/QP/Higher/Properties-and-Constructions/Properties%20of%20Angles%20(H)%20QP.pdf" TargetMode="External"/><Relationship Id="rId248" Type="http://schemas.openxmlformats.org/officeDocument/2006/relationships/hyperlink" Target="https://pmt.physicsandmathstutor.com/download/Maths/GCSE/Topic-Qs/Edexcel-IGCSE/Geometry-and-Measures/MS/Higher/Properties-and-Constructions/Properties%20of%20Angles%20(H)%20MS.pdf" TargetMode="External"/><Relationship Id="rId249" Type="http://schemas.openxmlformats.org/officeDocument/2006/relationships/hyperlink" Target="https://pmt.physicsandmathstutor.com/download/Maths/GCSE/Topic-Qs/Edexcel-IGCSE/Geometry-and-Measures/MA/Higher/Properties-and-Constructions/Properties%20of%20Angles%20(H)%20MA.pdf" TargetMode="External"/><Relationship Id="rId250" Type="http://schemas.openxmlformats.org/officeDocument/2006/relationships/hyperlink" Target="https://pmt.physicsandmathstutor.com/download/Maths/GCSE/Topic-Qs/Edexcel-IGCSE/Geometry-and-Measures/QP/Higher/Mensuration-and-Calculation/Pythagoras&apos;%20Theorem%20(H)%20QP.pdf" TargetMode="External"/><Relationship Id="rId251" Type="http://schemas.openxmlformats.org/officeDocument/2006/relationships/hyperlink" Target="https://pmt.physicsandmathstutor.com/download/Maths/GCSE/Topic-Qs/Edexcel-IGCSE/Geometry-and-Measures/MS/Higher/Mensuration-and-Calculation/Pythagoras&apos;%20Theorem%20(H)%20MS.pdf" TargetMode="External"/><Relationship Id="rId252" Type="http://schemas.openxmlformats.org/officeDocument/2006/relationships/hyperlink" Target="https://pmt.physicsandmathstutor.com/download/Maths/GCSE/Topic-Qs/Edexcel-IGCSE/Geometry-and-Measures/MA/Higher/Mensuration-and-Calculation/Pythagoras&apos;%20Theorem%20(H)%20MA.pdf" TargetMode="External"/><Relationship Id="rId253" Type="http://schemas.openxmlformats.org/officeDocument/2006/relationships/hyperlink" Target="https://pmt.physicsandmathstutor.com/download/Maths/GCSE/Topic-Qs/Edexcel-IGCSE/Geometry-and-Measures/QP/Higher/Mensuration-and-Calculation/Trig%20Ratios%20and%20Exact%20Values%20(H)%20QP.pdf" TargetMode="External"/><Relationship Id="rId254" Type="http://schemas.openxmlformats.org/officeDocument/2006/relationships/hyperlink" Target="https://pmt.physicsandmathstutor.com/download/Maths/GCSE/Topic-Qs/Edexcel-IGCSE/Geometry-and-Measures/MS/Higher/Mensuration-and-Calculation/Trig%20Ratios%20and%20Exact%20Values%20(H)%20MS.pdf" TargetMode="External"/><Relationship Id="rId255" Type="http://schemas.openxmlformats.org/officeDocument/2006/relationships/hyperlink" Target="https://pmt.physicsandmathstutor.com/download/Maths/GCSE/Topic-Qs/Edexcel-IGCSE/Geometry-and-Measures/MA/Higher/Mensuration-and-Calculation/Trig%20Ratios%20and%20Exact%20Values%20(H)%20MA.pdf" TargetMode="External"/><Relationship Id="rId256" Type="http://schemas.openxmlformats.org/officeDocument/2006/relationships/hyperlink" Target="https://pmt.physicsandmathstutor.com/download/Maths/GCSE/Topic-Qs/Edexcel-IGCSE/Geometry-and-Measures/QP/Higher/Mensuration-and-Calculation/Bearings%20(H)%20QP.pdf" TargetMode="External"/><Relationship Id="rId257" Type="http://schemas.openxmlformats.org/officeDocument/2006/relationships/hyperlink" Target="https://pmt.physicsandmathstutor.com/download/Maths/GCSE/Topic-Qs/Edexcel-IGCSE/Geometry-and-Measures/MS/Higher/Mensuration-and-Calculation/Bearings%20(H)%20MS.pdf" TargetMode="External"/><Relationship Id="rId258" Type="http://schemas.openxmlformats.org/officeDocument/2006/relationships/hyperlink" Target="https://pmt.physicsandmathstutor.com/download/Maths/GCSE/Topic-Qs/Edexcel-IGCSE/Geometry-and-Measures/MA/Higher/Mensuration-and-Calculation/Bearings%20(H)%20MA.pdf" TargetMode="External"/><Relationship Id="rId259" Type="http://schemas.openxmlformats.org/officeDocument/2006/relationships/hyperlink" Target="https://pmt.physicsandmathstutor.com/download/Maths/GCSE/Topic-Qs/Edexcel-IGCSE/Geometry-and-Measures/QP/Higher/Mensuration-and-Calculation/Sine%20Rule,%20Cosine%20Rule%20and%20Area%20(H)%20QP.pdf" TargetMode="External"/><Relationship Id="rId260" Type="http://schemas.openxmlformats.org/officeDocument/2006/relationships/hyperlink" Target="https://pmt.physicsandmathstutor.com/download/Maths/GCSE/Topic-Qs/Edexcel-IGCSE/Geometry-and-Measures/MS/Higher/Mensuration-and-Calculation/Sine%20Rule,%20Cosine%20Rule%20and%20Area%20(H)%20MS.pdf" TargetMode="External"/><Relationship Id="rId261" Type="http://schemas.openxmlformats.org/officeDocument/2006/relationships/hyperlink" Target="https://pmt.physicsandmathstutor.com/download/Maths/GCSE/Topic-Qs/Edexcel-IGCSE/Geometry-and-Measures/MA/Higher/Mensuration-and-Calculation/Sine%20Rule,%20Cosine%20Rule%20and%20Area%20(H)%20MA.pdf" TargetMode="External"/><Relationship Id="rId262" Type="http://schemas.openxmlformats.org/officeDocument/2006/relationships/hyperlink" Target="https://pmt.physicsandmathstutor.com/download/Maths/GCSE/Topic-Qs/Edexcel-IGCSE/Geometry-and-Measures/QP/Higher/Mensuration-and-Calculation/Pythagoras%20and%20trig%20(3D)%20(H)%20QP.pdf" TargetMode="External"/><Relationship Id="rId263" Type="http://schemas.openxmlformats.org/officeDocument/2006/relationships/hyperlink" Target="https://pmt.physicsandmathstutor.com/download/Maths/GCSE/Topic-Qs/Edexcel-IGCSE/Geometry-and-Measures/MS/Higher/Mensuration-and-Calculation/Pythagoras%20and%20trig%20(3D)%20(H)%20MS.pdf" TargetMode="External"/><Relationship Id="rId264" Type="http://schemas.openxmlformats.org/officeDocument/2006/relationships/hyperlink" Target="https://pmt.physicsandmathstutor.com/download/Maths/GCSE/Topic-Qs/Edexcel-IGCSE/Geometry-and-Measures/MA/Higher/Mensuration-and-Calculation/Pythagoras%20and%20trig%20(3D)%20(H)%20MA.pdf" TargetMode="External"/><Relationship Id="rId265" Type="http://schemas.openxmlformats.org/officeDocument/2006/relationships/hyperlink" Target="https://pmt.physicsandmathstutor.com/download/Maths/GCSE/Topic-Qs/Edexcel-IGCSE/Geometry-and-Measures/QP/Higher/Mensuration-and-Calculation/Area%20(H)%20QP.pdf" TargetMode="External"/><Relationship Id="rId266" Type="http://schemas.openxmlformats.org/officeDocument/2006/relationships/hyperlink" Target="https://pmt.physicsandmathstutor.com/download/Maths/GCSE/Topic-Qs/Edexcel-IGCSE/Geometry-and-Measures/MS/Higher/Mensuration-and-Calculation/Area%20(H)%20MS.pdf" TargetMode="External"/><Relationship Id="rId267" Type="http://schemas.openxmlformats.org/officeDocument/2006/relationships/hyperlink" Target="https://pmt.physicsandmathstutor.com/download/Maths/GCSE/Topic-Qs/Edexcel-IGCSE/Geometry-and-Measures/MA/Higher/Mensuration-and-Calculation/Area%20(H)%20MA.pdf" TargetMode="External"/><Relationship Id="rId268" Type="http://schemas.openxmlformats.org/officeDocument/2006/relationships/hyperlink" Target="https://pmt.physicsandmathstutor.com/download/Maths/GCSE/Topic-Qs/Edexcel-IGCSE/Geometry-and-Measures/QP/Higher/Mensuration-and-Calculation/Perimeter%20(H)%20QP.pdf" TargetMode="External"/><Relationship Id="rId269" Type="http://schemas.openxmlformats.org/officeDocument/2006/relationships/hyperlink" Target="https://pmt.physicsandmathstutor.com/download/Maths/GCSE/Topic-Qs/Edexcel-IGCSE/Geometry-and-Measures/MS/Higher/Mensuration-and-Calculation/Perimeter%20(H)%20MS.pdf" TargetMode="External"/><Relationship Id="rId270" Type="http://schemas.openxmlformats.org/officeDocument/2006/relationships/hyperlink" Target="https://pmt.physicsandmathstutor.com/download/Maths/GCSE/Topic-Qs/Edexcel-IGCSE/Geometry-and-Measures/MA/Higher/Mensuration-and-Calculation/Perimeter%20(H)%20MA.pdf" TargetMode="External"/><Relationship Id="rId271" Type="http://schemas.openxmlformats.org/officeDocument/2006/relationships/hyperlink" Target="https://pmt.physicsandmathstutor.com/download/Maths/GCSE/Topic-Qs/Edexcel-IGCSE/Geometry-and-Measures/QP/Higher/Mensuration-and-Calculation/Compound%20Area%20(H)%20QP.pdf" TargetMode="External"/><Relationship Id="rId272" Type="http://schemas.openxmlformats.org/officeDocument/2006/relationships/hyperlink" Target="https://pmt.physicsandmathstutor.com/download/Maths/GCSE/Topic-Qs/Edexcel-IGCSE/Geometry-and-Measures/MS/Higher/Mensuration-and-Calculation/Compound%20Area%20(H)%20MS.pdf" TargetMode="External"/><Relationship Id="rId273" Type="http://schemas.openxmlformats.org/officeDocument/2006/relationships/hyperlink" Target="https://pmt.physicsandmathstutor.com/download/Maths/GCSE/Topic-Qs/Edexcel-IGCSE/Geometry-and-Measures/MA/Higher/Mensuration-and-Calculation/Compound%20Area%20(H)%20MA.pdf" TargetMode="External"/><Relationship Id="rId274" Type="http://schemas.openxmlformats.org/officeDocument/2006/relationships/hyperlink" Target="https://pmt.physicsandmathstutor.com/download/Maths/GCSE/Topic-Qs/Edexcel-IGCSE/Geometry-and-Measures/QP/Higher/Mensuration-and-Calculation/Area%20of%20Shaded%20Region%20(H)%20QP.pdf" TargetMode="External"/><Relationship Id="rId275" Type="http://schemas.openxmlformats.org/officeDocument/2006/relationships/hyperlink" Target="https://pmt.physicsandmathstutor.com/download/Maths/GCSE/Topic-Qs/Edexcel-IGCSE/Geometry-and-Measures/MS/Higher/Mensuration-and-Calculation/Area%20of%20Shaded%20Region%20(H)%20MS.pdf" TargetMode="External"/><Relationship Id="rId276" Type="http://schemas.openxmlformats.org/officeDocument/2006/relationships/hyperlink" Target="https://pmt.physicsandmathstutor.com/download/Maths/GCSE/Topic-Qs/Edexcel-IGCSE/Geometry-and-Measures/MA/Higher/Mensuration-and-Calculation/Area%20of%20Shaded%20Region%20(H)%20MA.pdf" TargetMode="External"/><Relationship Id="rId277" Type="http://schemas.openxmlformats.org/officeDocument/2006/relationships/hyperlink" Target="https://pmt.physicsandmathstutor.com/download/Maths/GCSE/Topic-Qs/Edexcel-IGCSE/Geometry-and-Measures/QP/Higher/Mensuration-and-Calculation/Area%20or%20Perimeter%20Problem%20(H)%20QP.pdf" TargetMode="External"/><Relationship Id="rId278" Type="http://schemas.openxmlformats.org/officeDocument/2006/relationships/hyperlink" Target="https://pmt.physicsandmathstutor.com/download/Maths/GCSE/Topic-Qs/Edexcel-IGCSE/Geometry-and-Measures/MS/Higher/Mensuration-and-Calculation/Area%20or%20Perimeter%20Problem%20(H)%20MS.pdf" TargetMode="External"/><Relationship Id="rId279" Type="http://schemas.openxmlformats.org/officeDocument/2006/relationships/hyperlink" Target="https://pmt.physicsandmathstutor.com/download/Maths/GCSE/Topic-Qs/Edexcel-IGCSE/Geometry-and-Measures/MA/Higher/Mensuration-and-Calculation/Area%20or%20Perimeter%20Problem%20(H)%20MA.pdf" TargetMode="External"/><Relationship Id="rId280" Type="http://schemas.openxmlformats.org/officeDocument/2006/relationships/hyperlink" Target="https://pmt.physicsandmathstutor.com/download/Maths/GCSE/Topic-Qs/Edexcel-IGCSE/Geometry-and-Measures/QP/Higher/Properties-and-Constructions/Sectors,%20Segments%20and%20Arcs%20(H)%20QP.pdf" TargetMode="External"/><Relationship Id="rId281" Type="http://schemas.openxmlformats.org/officeDocument/2006/relationships/hyperlink" Target="https://pmt.physicsandmathstutor.com/download/Maths/GCSE/Topic-Qs/Edexcel-IGCSE/Geometry-and-Measures/MS/Higher/Properties-and-Constructions/Sectors,%20Segments%20and%20Arcs%20(H)%20MS.pdf" TargetMode="External"/><Relationship Id="rId282" Type="http://schemas.openxmlformats.org/officeDocument/2006/relationships/hyperlink" Target="https://pmt.physicsandmathstutor.com/download/Maths/GCSE/Topic-Qs/Edexcel-IGCSE/Geometry-and-Measures/MA/Higher/Properties-and-Constructions/Sectors,%20Segments%20and%20Arcs%20(H)%20MA.pdf" TargetMode="External"/><Relationship Id="rId283" Type="http://schemas.openxmlformats.org/officeDocument/2006/relationships/hyperlink" Target="https://pmt.physicsandmathstutor.com/download/Maths/GCSE/Topic-Qs/Edexcel-IGCSE/Geometry-and-Measures/QP/Higher/Mensuration-and-Calculation/Volume%20and%20Surface%20Area%20(H)%20QP.pdf" TargetMode="External"/><Relationship Id="rId284" Type="http://schemas.openxmlformats.org/officeDocument/2006/relationships/hyperlink" Target="https://pmt.physicsandmathstutor.com/download/Maths/GCSE/Topic-Qs/Edexcel-IGCSE/Geometry-and-Measures/MS/Higher/Mensuration-and-Calculation/Volume%20and%20Surface%20Area%20(H)%20MS.pdf" TargetMode="External"/><Relationship Id="rId285" Type="http://schemas.openxmlformats.org/officeDocument/2006/relationships/hyperlink" Target="https://pmt.physicsandmathstutor.com/download/Maths/GCSE/Topic-Qs/Edexcel-IGCSE/Geometry-and-Measures/MA/Higher/Mensuration-and-Calculation/Volume%20and%20Surface%20Area%20(H)%20MA.pdf" TargetMode="External"/><Relationship Id="rId286" Type="http://schemas.openxmlformats.org/officeDocument/2006/relationships/hyperlink" Target="https://pmt.physicsandmathstutor.com/download/Maths/GCSE/Topic-Qs/Edexcel-IGCSE/Geometry-and-Measures/QP/Higher/Properties-and-Constructions/2D%20and%203D%20Shapes%20(H)%20QP.pdf" TargetMode="External"/><Relationship Id="rId287" Type="http://schemas.openxmlformats.org/officeDocument/2006/relationships/hyperlink" Target="https://pmt.physicsandmathstutor.com/download/Maths/GCSE/Topic-Qs/Edexcel-IGCSE/Geometry-and-Measures/MS/Higher/Properties-and-Constructions/2D%20and%203D%20Shapes%20(H)%20MS.pdf" TargetMode="External"/><Relationship Id="rId288" Type="http://schemas.openxmlformats.org/officeDocument/2006/relationships/hyperlink" Target="https://pmt.physicsandmathstutor.com/download/Maths/GCSE/Topic-Qs/Edexcel-IGCSE/Geometry-and-Measures/MA/Higher/Properties-and-Constructions/2D%20and%203D%20Shapes%20(H)%20MA.pdf" TargetMode="External"/><Relationship Id="rId289" Type="http://schemas.openxmlformats.org/officeDocument/2006/relationships/hyperlink" Target="https://pmt.physicsandmathstutor.com/download/Maths/GCSE/Topic-Qs/Edexcel-IGCSE/Geometry-and-Measures/QP/Higher/Mensuration-and-Calculation/Volume%20and%20Surface%20Area%20(H)%20QP.pdf" TargetMode="External"/><Relationship Id="rId290" Type="http://schemas.openxmlformats.org/officeDocument/2006/relationships/hyperlink" Target="https://pmt.physicsandmathstutor.com/download/Maths/GCSE/Topic-Qs/Edexcel-IGCSE/Geometry-and-Measures/MS/Higher/Mensuration-and-Calculation/Volume%20and%20Surface%20Area%20(H)%20MS.pdf" TargetMode="External"/><Relationship Id="rId291" Type="http://schemas.openxmlformats.org/officeDocument/2006/relationships/hyperlink" Target="https://pmt.physicsandmathstutor.com/download/Maths/GCSE/Topic-Qs/Edexcel-IGCSE/Geometry-and-Measures/MA/Higher/Mensuration-and-Calculation/Volume%20and%20Surface%20Area%20(H)%20MA.pdf" TargetMode="External"/><Relationship Id="rId292" Type="http://schemas.openxmlformats.org/officeDocument/2006/relationships/hyperlink" Target="https://pmt.physicsandmathstutor.com/download/Maths/GCSE/Topic-Qs/Edexcel-IGCSE/Geometry-and-Measures/QP/Higher/Properties-and-Constructions/Congruence%20and%20Similarity%20(H)%20QP.pdf" TargetMode="External"/><Relationship Id="rId293" Type="http://schemas.openxmlformats.org/officeDocument/2006/relationships/hyperlink" Target="https://pmt.physicsandmathstutor.com/download/Maths/GCSE/Topic-Qs/Edexcel-IGCSE/Geometry-and-Measures/MS/Higher/Properties-and-Constructions/Congruence%20and%20Similarity%20(H)%20MS.pdf" TargetMode="External"/><Relationship Id="rId294" Type="http://schemas.openxmlformats.org/officeDocument/2006/relationships/hyperlink" Target="https://pmt.physicsandmathstutor.com/download/Maths/GCSE/Topic-Qs/Edexcel-IGCSE/Geometry-and-Measures/MA/Higher/Properties-and-Constructions/Congruence%20and%20Similarity%20(H)%20MA.pdf" TargetMode="External"/><Relationship Id="rId295" Type="http://schemas.openxmlformats.org/officeDocument/2006/relationships/hyperlink" Target="https://pmt.physicsandmathstutor.com/download/Maths/GCSE/Topic-Qs/Edexcel-IGCSE/Geometry-and-Measures/QP/Higher/Properties-and-Constructions/Maps%20and%20Scale%20Drawings%20(H)%20QP.pdf" TargetMode="External"/><Relationship Id="rId296" Type="http://schemas.openxmlformats.org/officeDocument/2006/relationships/hyperlink" Target="https://pmt.physicsandmathstutor.com/download/Maths/GCSE/Topic-Qs/Edexcel-IGCSE/Geometry-and-Measures/MS/Higher/Properties-and-Constructions/Maps%20and%20Scale%20Drawings%20(H)%20MS.pdf" TargetMode="External"/><Relationship Id="rId297" Type="http://schemas.openxmlformats.org/officeDocument/2006/relationships/hyperlink" Target="https://pmt.physicsandmathstutor.com/download/Maths/GCSE/Topic-Qs/Edexcel-IGCSE/Geometry-and-Measures/MA/Higher/Properties-and-Constructions/Maps%20and%20Scale%20Drawings%20(H)%20MA.pdf" TargetMode="External"/><Relationship Id="rId298" Type="http://schemas.openxmlformats.org/officeDocument/2006/relationships/hyperlink" Target="https://pmt.physicsandmathstutor.com/download/Maths/GCSE/Topic-Qs/Edexcel-IGCSE/Geometry-and-Measures/QP/Higher/Properties-and-Constructions/Similar%20(2D%20or%203D)%20(H)%20QP.pdf" TargetMode="External"/><Relationship Id="rId299" Type="http://schemas.openxmlformats.org/officeDocument/2006/relationships/hyperlink" Target="https://pmt.physicsandmathstutor.com/download/Maths/GCSE/Topic-Qs/Edexcel-IGCSE/Geometry-and-Measures/MS/Higher/Properties-and-Constructions/Similar%20(2D%20or%203D)%20(H)%20MS.pdf" TargetMode="External"/><Relationship Id="rId300" Type="http://schemas.openxmlformats.org/officeDocument/2006/relationships/hyperlink" Target="https://pmt.physicsandmathstutor.com/download/Maths/GCSE/Topic-Qs/Edexcel-IGCSE/Geometry-and-Measures/MA/Higher/Properties-and-Constructions/Similar%20(2D%20or%203D)%20(H)%20MA.pdf" TargetMode="External"/><Relationship Id="rId301" Type="http://schemas.openxmlformats.org/officeDocument/2006/relationships/hyperlink" Target="https://pmt.physicsandmathstutor.com/download/Maths/GCSE/Topic-Qs/Edexcel-IGCSE/Geometry-and-Measures/QP/Higher/Vectors/Manipulating%20Vectors%20(H)%20QP.pdf" TargetMode="External"/><Relationship Id="rId302" Type="http://schemas.openxmlformats.org/officeDocument/2006/relationships/hyperlink" Target="https://pmt.physicsandmathstutor.com/download/Maths/GCSE/Topic-Qs/Edexcel-IGCSE/Geometry-and-Measures/MS/Higher/Vectors/Manipulating%20Vectors%20(H)%20MS.pdf" TargetMode="External"/><Relationship Id="rId303" Type="http://schemas.openxmlformats.org/officeDocument/2006/relationships/hyperlink" Target="https://pmt.physicsandmathstutor.com/download/Maths/GCSE/Topic-Qs/Edexcel-IGCSE/Geometry-and-Measures/MA/Higher/Vectors/Manipulating%20Vectors%20(H)%20MA.pdf" TargetMode="External"/><Relationship Id="rId304" Type="http://schemas.openxmlformats.org/officeDocument/2006/relationships/hyperlink" Target="https://pmt.physicsandmathstutor.com/download/Maths/GCSE/Topic-Qs/Edexcel-IGCSE/Geometry-and-Measures/QP/Higher/Vectors/Vector%20Proof%20(H)%20QP.pdf" TargetMode="External"/><Relationship Id="rId305" Type="http://schemas.openxmlformats.org/officeDocument/2006/relationships/hyperlink" Target="https://pmt.physicsandmathstutor.com/download/Maths/GCSE/Topic-Qs/Edexcel-IGCSE/Geometry-and-Measures/MS/Higher/Vectors/Vector%20Proof%20(H)%20MS.pdf" TargetMode="External"/><Relationship Id="rId306" Type="http://schemas.openxmlformats.org/officeDocument/2006/relationships/hyperlink" Target="https://pmt.physicsandmathstutor.com/download/Maths/GCSE/Topic-Qs/Edexcel-IGCSE/Geometry-and-Measures/MA/Higher/Vectors/Vector%20Proof%20(H)%20MA.pdf" TargetMode="External"/><Relationship Id="rId307" Type="http://schemas.openxmlformats.org/officeDocument/2006/relationships/hyperlink" Target="https://pmt.physicsandmathstutor.com/download/Maths/GCSE/Topic-Qs/Edexcel-IGCSE/Geometry-and-Measures/QP/Higher/Vectors/Translations%20as%202D%20vectors%20(H)%20QP.pdf" TargetMode="External"/><Relationship Id="rId308" Type="http://schemas.openxmlformats.org/officeDocument/2006/relationships/hyperlink" Target="https://pmt.physicsandmathstutor.com/download/Maths/GCSE/Topic-Qs/Edexcel-IGCSE/Geometry-and-Measures/MS/Higher/Vectors/Translations%20as%202D%20vectors%20(H)%20MS.pdf" TargetMode="External"/><Relationship Id="rId309" Type="http://schemas.openxmlformats.org/officeDocument/2006/relationships/hyperlink" Target="https://pmt.physicsandmathstutor.com/download/Maths/GCSE/Topic-Qs/Edexcel-IGCSE/Geometry-and-Measures/MA/Higher/Vectors/Translations%20as%202D%20vectors%20(H)%20MA.pdf" TargetMode="External"/><Relationship Id="rId310" Type="http://schemas.openxmlformats.org/officeDocument/2006/relationships/hyperlink" Target="https://pmt.physicsandmathstutor.com/download/Maths/GCSE/Topic-Qs/Edexcel-IGCSE/Geometry-and-Measures/QP/Higher/Properties-and-Constructions/Transformations%20of%20Shapes%20(H)%20QP.pdf" TargetMode="External"/><Relationship Id="rId311" Type="http://schemas.openxmlformats.org/officeDocument/2006/relationships/hyperlink" Target="https://pmt.physicsandmathstutor.com/download/Maths/GCSE/Topic-Qs/Edexcel-IGCSE/Geometry-and-Measures/MS/Higher/Properties-and-Constructions/Transformations%20of%20Shapes%20(H)%20MS.pdf" TargetMode="External"/><Relationship Id="rId312" Type="http://schemas.openxmlformats.org/officeDocument/2006/relationships/hyperlink" Target="https://pmt.physicsandmathstutor.com/download/Maths/GCSE/Topic-Qs/Edexcel-IGCSE/Geometry-and-Measures/MA/Higher/Properties-and-Constructions/Transformations%20of%20Shapes%20(H)%20MA.pdf" TargetMode="External"/><Relationship Id="rId313" Type="http://schemas.openxmlformats.org/officeDocument/2006/relationships/hyperlink" Target="https://pmt.physicsandmathstutor.com/download/Maths/GCSE/Topic-Qs/Edexcel-IGCSE/Geometry-and-Measures/QP/Higher/Vectors/Translations%20as%202D%20vectors%20(H)%20QP.pdf" TargetMode="External"/><Relationship Id="rId314" Type="http://schemas.openxmlformats.org/officeDocument/2006/relationships/hyperlink" Target="https://pmt.physicsandmathstutor.com/download/Maths/GCSE/Topic-Qs/Edexcel-IGCSE/Geometry-and-Measures/MS/Higher/Vectors/Translations%20as%202D%20vectors%20(H)%20MS.pdf" TargetMode="External"/><Relationship Id="rId315" Type="http://schemas.openxmlformats.org/officeDocument/2006/relationships/hyperlink" Target="https://pmt.physicsandmathstutor.com/download/Maths/GCSE/Topic-Qs/Edexcel-IGCSE/Geometry-and-Measures/MA/Higher/Vectors/Translations%20as%202D%20vectors%20(H)%20MA.pdf" TargetMode="External"/><Relationship Id="rId316" Type="http://schemas.openxmlformats.org/officeDocument/2006/relationships/hyperlink" Target="https://pmt.physicsandmathstutor.com/download/Maths/GCSE/Topic-Qs/Edexcel-IGCSE/Statistics/QP/Higher/Interpreting%20Data%20(H)%20QP.pdf" TargetMode="External"/><Relationship Id="rId317" Type="http://schemas.openxmlformats.org/officeDocument/2006/relationships/hyperlink" Target="https://pmt.physicsandmathstutor.com/download/Maths/GCSE/Topic-Qs/Edexcel-IGCSE/Statistics/MS/Higher/Interpreting%20Data%20(H)%20MS.pdf" TargetMode="External"/><Relationship Id="rId318" Type="http://schemas.openxmlformats.org/officeDocument/2006/relationships/hyperlink" Target="https://pmt.physicsandmathstutor.com/download/Maths/GCSE/Topic-Qs/Edexcel-IGCSE/Statistics/MA/Higher/Interpreting%20Data%20(H)%20MA.pdf" TargetMode="External"/><Relationship Id="rId319" Type="http://schemas.openxmlformats.org/officeDocument/2006/relationships/hyperlink" Target="https://pmt.physicsandmathstutor.com/download/Maths/GCSE/Topic-Qs/Edexcel-IGCSE/Statistics/QP/Higher/Frequency%20Tables%20(H)%20QP.pdf" TargetMode="External"/><Relationship Id="rId320" Type="http://schemas.openxmlformats.org/officeDocument/2006/relationships/hyperlink" Target="https://pmt.physicsandmathstutor.com/download/Maths/GCSE/Topic-Qs/Edexcel-IGCSE/Statistics/MS/Higher/Frequency%20Tables%20(H)%20MS.pdf" TargetMode="External"/><Relationship Id="rId321" Type="http://schemas.openxmlformats.org/officeDocument/2006/relationships/hyperlink" Target="https://pmt.physicsandmathstutor.com/download/Maths/GCSE/Topic-Qs/Edexcel-IGCSE/Statistics/MA/Higher/Frequency%20Tables%20(H)%20MA.pdf" TargetMode="External"/><Relationship Id="rId322" Type="http://schemas.openxmlformats.org/officeDocument/2006/relationships/hyperlink" Target="https://pmt.physicsandmathstutor.com/download/Maths/GCSE/Topic-Qs/Edexcel-IGCSE/Statistics/QP/Higher/Histograms%20(H)%20QP.pdf" TargetMode="External"/><Relationship Id="rId323" Type="http://schemas.openxmlformats.org/officeDocument/2006/relationships/hyperlink" Target="https://pmt.physicsandmathstutor.com/download/Maths/GCSE/Topic-Qs/Edexcel-IGCSE/Statistics/MS/Higher/Histograms%20(H)%20MS.pdf" TargetMode="External"/><Relationship Id="rId324" Type="http://schemas.openxmlformats.org/officeDocument/2006/relationships/hyperlink" Target="https://pmt.physicsandmathstutor.com/download/Maths/GCSE/Topic-Qs/Edexcel-IGCSE/Statistics/MA/Higher/Histograms%20(H)%20MA.pdf" TargetMode="External"/><Relationship Id="rId325" Type="http://schemas.openxmlformats.org/officeDocument/2006/relationships/hyperlink" Target="https://pmt.physicsandmathstutor.com/download/Maths/GCSE/Topic-Qs/Edexcel-IGCSE/Statistics/QP/Higher/Cumulative%20Frequency%20Graphs%20(H)%20QP.pdf" TargetMode="External"/><Relationship Id="rId326" Type="http://schemas.openxmlformats.org/officeDocument/2006/relationships/hyperlink" Target="https://pmt.physicsandmathstutor.com/download/Maths/GCSE/Topic-Qs/Edexcel-IGCSE/Statistics/MS/Higher/Cumulative%20Frequency%20Graphs%20(H)%20MS.pdf" TargetMode="External"/><Relationship Id="rId327" Type="http://schemas.openxmlformats.org/officeDocument/2006/relationships/hyperlink" Target="https://pmt.physicsandmathstutor.com/download/Maths/GCSE/Topic-Qs/Edexcel-IGCSE/Statistics/MA/Higher/Cumulative%20Frequency%20Graphs%20(H)%20MA.pdf" TargetMode="External"/><Relationship Id="rId328" Type="http://schemas.openxmlformats.org/officeDocument/2006/relationships/hyperlink" Target="https://pmt.physicsandmathstutor.com/download/Maths/GCSE/Topic-Qs/Edexcel-IGCSE/Statistics/QP/Higher/Mean,%20Median,%20Mode,%20Range%20(H)%20QP.pdf" TargetMode="External"/><Relationship Id="rId329" Type="http://schemas.openxmlformats.org/officeDocument/2006/relationships/hyperlink" Target="https://pmt.physicsandmathstutor.com/download/Maths/GCSE/Topic-Qs/Edexcel-IGCSE/Statistics/MS/Higher/Mean,%20Median,%20Mode,%20Range%20(H)%20MS.pdf" TargetMode="External"/><Relationship Id="rId330" Type="http://schemas.openxmlformats.org/officeDocument/2006/relationships/hyperlink" Target="https://pmt.physicsandmathstutor.com/download/Maths/GCSE/Topic-Qs/Edexcel-IGCSE/Statistics/MA/Higher/Mean,%20Median,%20Mode,%20Range%20(H)%20MA.pdf" TargetMode="External"/><Relationship Id="rId331" Type="http://schemas.openxmlformats.org/officeDocument/2006/relationships/hyperlink" Target="https://pmt.physicsandmathstutor.com/download/Maths/GCSE/Topic-Qs/Edexcel-IGCSE/Statistics/QP/Higher/Frequency%20Tables%20(H)%20QP.pdf" TargetMode="External"/><Relationship Id="rId332" Type="http://schemas.openxmlformats.org/officeDocument/2006/relationships/hyperlink" Target="https://pmt.physicsandmathstutor.com/download/Maths/GCSE/Topic-Qs/Edexcel-IGCSE/Statistics/MS/Higher/Frequency%20Tables%20(H)%20MS.pdf" TargetMode="External"/><Relationship Id="rId333" Type="http://schemas.openxmlformats.org/officeDocument/2006/relationships/hyperlink" Target="https://pmt.physicsandmathstutor.com/download/Maths/GCSE/Topic-Qs/Edexcel-IGCSE/Statistics/MA/Higher/Frequency%20Tables%20(H)%20MA.pdf" TargetMode="External"/><Relationship Id="rId334" Type="http://schemas.openxmlformats.org/officeDocument/2006/relationships/hyperlink" Target="https://pmt.physicsandmathstutor.com/download/Maths/GCSE/Topic-Qs/Edexcel-IGCSE/Statistics/QP/Higher/Cumulative%20Frequency%20Graphs%20(H)%20QP.pdf" TargetMode="External"/><Relationship Id="rId335" Type="http://schemas.openxmlformats.org/officeDocument/2006/relationships/hyperlink" Target="https://pmt.physicsandmathstutor.com/download/Maths/GCSE/Topic-Qs/Edexcel-IGCSE/Statistics/MS/Higher/Cumulative%20Frequency%20Graphs%20(H)%20MS.pdf" TargetMode="External"/><Relationship Id="rId336" Type="http://schemas.openxmlformats.org/officeDocument/2006/relationships/hyperlink" Target="https://pmt.physicsandmathstutor.com/download/Maths/GCSE/Topic-Qs/Edexcel-IGCSE/Statistics/MA/Higher/Cumulative%20Frequency%20Graphs%20(H)%20MA.pdf" TargetMode="External"/><Relationship Id="rId337" Type="http://schemas.openxmlformats.org/officeDocument/2006/relationships/hyperlink" Target="https://pmt.physicsandmathstutor.com/download/Maths/GCSE/Topic-Qs/Edexcel-IGCSE/Probability/QP/Higher/Probability%20of%20Events%20(H)%20QP.pdf" TargetMode="External"/><Relationship Id="rId338" Type="http://schemas.openxmlformats.org/officeDocument/2006/relationships/hyperlink" Target="https://pmt.physicsandmathstutor.com/download/Maths/GCSE/Topic-Qs/Edexcel-IGCSE/Probability/MS/Higher/Probability%20of%20Events%20(H)%20MS.pdf" TargetMode="External"/><Relationship Id="rId339" Type="http://schemas.openxmlformats.org/officeDocument/2006/relationships/hyperlink" Target="https://pmt.physicsandmathstutor.com/download/Maths/GCSE/Topic-Qs/Edexcel-IGCSE/Probability/MA/Higher/Probability%20of%20Events%20(H)%20MA.pdf" TargetMode="External"/><Relationship Id="rId340" Type="http://schemas.openxmlformats.org/officeDocument/2006/relationships/hyperlink" Target="https://pmt.physicsandmathstutor.com/download/Maths/GCSE/Topic-Qs/Edexcel-IGCSE/Probability/QP/Higher/Probability%20Equations%20(H)%20QP.pdf" TargetMode="External"/><Relationship Id="rId341" Type="http://schemas.openxmlformats.org/officeDocument/2006/relationships/hyperlink" Target="https://pmt.physicsandmathstutor.com/download/Maths/GCSE/Topic-Qs/Edexcel-IGCSE/Probability/MS/Higher/Probability%20Equations%20(H)%20MS.pdf" TargetMode="External"/><Relationship Id="rId342" Type="http://schemas.openxmlformats.org/officeDocument/2006/relationships/hyperlink" Target="https://pmt.physicsandmathstutor.com/download/Maths/GCSE/Topic-Qs/Edexcel-IGCSE/Probability/MA/Higher/Probability%20Equations%20(H)%20MA.pdf" TargetMode="External"/><Relationship Id="rId343" Type="http://schemas.openxmlformats.org/officeDocument/2006/relationships/hyperlink" Target="https://pmt.physicsandmathstutor.com/download/Maths/GCSE/Topic-Qs/Edexcel-IGCSE/Probability/QP/Higher/Venn%20Diagrams%20(H)%20QP.pdf" TargetMode="External"/><Relationship Id="rId344" Type="http://schemas.openxmlformats.org/officeDocument/2006/relationships/hyperlink" Target="https://pmt.physicsandmathstutor.com/download/Maths/GCSE/Topic-Qs/Edexcel-IGCSE/Probability/MS/Higher/Venn%20Diagrams%20(H)%20MS.pdf" TargetMode="External"/><Relationship Id="rId345" Type="http://schemas.openxmlformats.org/officeDocument/2006/relationships/hyperlink" Target="https://pmt.physicsandmathstutor.com/download/Maths/GCSE/Topic-Qs/Edexcel-IGCSE/Probability/MA/Higher/Venn%20Diagrams%20(H)%20MA.pdf" TargetMode="External"/><Relationship Id="rId346" Type="http://schemas.openxmlformats.org/officeDocument/2006/relationships/hyperlink" Target="https://pmt.physicsandmathstutor.com/download/Maths/GCSE/Topic-Qs/Edexcel-IGCSE/Probability/QP/Higher/Tree%20Diagrams%20(H)%20QP.pdf" TargetMode="External"/><Relationship Id="rId347" Type="http://schemas.openxmlformats.org/officeDocument/2006/relationships/hyperlink" Target="https://pmt.physicsandmathstutor.com/download/Maths/GCSE/Topic-Qs/Edexcel-IGCSE/Probability/MS/Higher/Tree%20Diagrams%20(H)%20MS.pdf" TargetMode="External"/><Relationship Id="rId348" Type="http://schemas.openxmlformats.org/officeDocument/2006/relationships/hyperlink" Target="https://pmt.physicsandmathstutor.com/download/Maths/GCSE/Topic-Qs/Edexcel-IGCSE/Probability/MA/Higher/Tree%20Diagrams%20(H)%20MA.pdf" TargetMode="External"/><Relationship Id="rId349" Type="http://schemas.openxmlformats.org/officeDocument/2006/relationships/hyperlink" Target="https://pmt.physicsandmathstutor.com/download/Maths/GCSE/Topic-Qs/Edexcel-IGCSE/Probability/QP/Higher/Conditional%20Probability%20(H)%20QP.pdf" TargetMode="External"/><Relationship Id="rId350" Type="http://schemas.openxmlformats.org/officeDocument/2006/relationships/hyperlink" Target="https://pmt.physicsandmathstutor.com/download/Maths/GCSE/Topic-Qs/Edexcel-IGCSE/Probability/MS/Higher/Conditional%20Probability%20(H)%20MS.pdf" TargetMode="External"/><Relationship Id="rId351" Type="http://schemas.openxmlformats.org/officeDocument/2006/relationships/hyperlink" Target="https://pmt.physicsandmathstutor.com/download/Maths/GCSE/Topic-Qs/Edexcel-IGCSE/Probability/MA/Higher/Conditional%20Probability%20(H)%20MA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5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COUNTIFS('RAG tracker'!$E$2:$E$57,$A5)</f>
        <v>0</v>
      </c>
      <c r="C5" s="5" t="s">
        <v>8</v>
      </c>
      <c r="D5" s="5" t="n">
        <v>13</v>
      </c>
      <c r="E5" s="5" t="n">
        <f aca="false">$B5*$D5</f>
        <v>0</v>
      </c>
    </row>
    <row r="6" customFormat="false" ht="15" hidden="false" customHeight="false" outlineLevel="0" collapsed="false">
      <c r="A6" s="6" t="s">
        <v>9</v>
      </c>
      <c r="B6" s="5" t="n">
        <f aca="false">COUNTIFS('RAG tracker'!$E$2:$E$57,$A6)</f>
        <v>0</v>
      </c>
      <c r="C6" s="5" t="s">
        <v>10</v>
      </c>
      <c r="D6" s="5" t="n">
        <v>6</v>
      </c>
      <c r="E6" s="5" t="n">
        <f aca="false">$B6*$D6</f>
        <v>0</v>
      </c>
    </row>
    <row r="7" customFormat="false" ht="15" hidden="false" customHeight="false" outlineLevel="0" collapsed="false">
      <c r="A7" s="7" t="s">
        <v>11</v>
      </c>
      <c r="B7" s="5" t="n">
        <f aca="false">COUNTIFS('RAG tracker'!$E$2:$E$57,$A7)</f>
        <v>0</v>
      </c>
      <c r="C7" s="5" t="s">
        <v>12</v>
      </c>
      <c r="D7" s="5" t="n">
        <v>2</v>
      </c>
      <c r="E7" s="5" t="n">
        <f aca="false">$B7*$D7</f>
        <v>0</v>
      </c>
    </row>
    <row r="8" customFormat="false" ht="15" hidden="false" customHeight="false" outlineLevel="0" collapsed="false">
      <c r="A8" s="5" t="s">
        <v>13</v>
      </c>
      <c r="B8" s="5" t="n">
        <f aca="false">COUNTIFS('RAG tracker'!$E$2:$E$57,"")</f>
        <v>56</v>
      </c>
      <c r="C8" s="5"/>
      <c r="D8" s="5"/>
      <c r="E8" s="5"/>
    </row>
    <row r="9" customFormat="false" ht="15" hidden="false" customHeight="false" outlineLevel="0" collapsed="false">
      <c r="C9" s="8" t="s">
        <v>14</v>
      </c>
      <c r="E9" s="8" t="n">
        <f aca="false">SUM(E5:E7)</f>
        <v>0</v>
      </c>
    </row>
    <row r="10" customFormat="false" ht="15" hidden="false" customHeight="false" outlineLevel="0" collapsed="false">
      <c r="C10" s="9" t="s">
        <v>15</v>
      </c>
      <c r="E10" s="9" t="n">
        <f aca="false">ROUND($E9*2.5/60,1)</f>
        <v>0</v>
      </c>
    </row>
    <row r="11" customFormat="false" ht="15" hidden="false" customHeight="false" outlineLevel="0" collapsed="false">
      <c r="C11" s="9" t="s">
        <v>16</v>
      </c>
      <c r="E11" s="9" t="n">
        <f aca="false">ROUND($E10/6,1)</f>
        <v>0</v>
      </c>
    </row>
    <row r="13" customFormat="false" ht="15" hidden="false" customHeight="false" outlineLevel="0" collapsed="false">
      <c r="A13" s="10" t="s">
        <v>17</v>
      </c>
    </row>
    <row r="14" customFormat="false" ht="15" hidden="false" customHeight="false" outlineLevel="0" collapsed="false">
      <c r="A14" s="11" t="s">
        <v>18</v>
      </c>
    </row>
    <row r="15" customFormat="false" ht="15" hidden="false" customHeight="false" outlineLevel="0" collapsed="false">
      <c r="A15" s="11" t="s">
        <v>19</v>
      </c>
    </row>
    <row r="16" customFormat="false" ht="15" hidden="false" customHeight="false" outlineLevel="0" collapsed="false">
      <c r="A16" s="11" t="s">
        <v>20</v>
      </c>
    </row>
    <row r="17" customFormat="false" ht="15" hidden="false" customHeight="false" outlineLevel="0" collapsed="false">
      <c r="A17" s="11" t="s">
        <v>21</v>
      </c>
    </row>
    <row r="18" customFormat="false" ht="15" hidden="false" customHeight="false" outlineLevel="0" collapsed="false">
      <c r="A18" s="1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30" hidden="false" customHeight="true" outlineLevel="0" collapsed="false">
      <c r="A4" s="12" t="s">
        <v>25</v>
      </c>
      <c r="B4" s="13" t="s">
        <v>26</v>
      </c>
    </row>
    <row r="5" customFormat="false" ht="30" hidden="false" customHeight="true" outlineLevel="0" collapsed="false">
      <c r="A5" s="12" t="s">
        <v>7</v>
      </c>
      <c r="B5" s="13" t="s">
        <v>27</v>
      </c>
    </row>
    <row r="6" customFormat="false" ht="30" hidden="false" customHeight="true" outlineLevel="0" collapsed="false">
      <c r="A6" s="12" t="s">
        <v>9</v>
      </c>
      <c r="B6" s="13" t="s">
        <v>28</v>
      </c>
    </row>
    <row r="7" customFormat="false" ht="30" hidden="false" customHeight="true" outlineLevel="0" collapsed="false">
      <c r="A7" s="12" t="s">
        <v>11</v>
      </c>
      <c r="B7" s="13" t="s">
        <v>29</v>
      </c>
    </row>
    <row r="8" customFormat="false" ht="30" hidden="false" customHeight="true" outlineLevel="0" collapsed="false">
      <c r="A8" s="12" t="s">
        <v>30</v>
      </c>
      <c r="B8" s="13" t="s">
        <v>31</v>
      </c>
    </row>
    <row r="9" customFormat="false" ht="30" hidden="false" customHeight="true" outlineLevel="0" collapsed="false">
      <c r="A9" s="12" t="s">
        <v>32</v>
      </c>
      <c r="B9" s="13" t="s">
        <v>33</v>
      </c>
    </row>
    <row r="10" customFormat="false" ht="30" hidden="false" customHeight="true" outlineLevel="0" collapsed="false">
      <c r="A10" s="12" t="s">
        <v>34</v>
      </c>
      <c r="B10" s="13" t="s">
        <v>35</v>
      </c>
    </row>
    <row r="12" customFormat="false" ht="15" hidden="false" customHeight="false" outlineLevel="0" collapsed="false">
      <c r="A12" s="10" t="s">
        <v>36</v>
      </c>
    </row>
    <row r="13" customFormat="false" ht="15" hidden="false" customHeight="false" outlineLevel="0" collapsed="false">
      <c r="A13" s="3" t="s">
        <v>37</v>
      </c>
      <c r="B13" s="3" t="s">
        <v>38</v>
      </c>
      <c r="C13" s="3" t="s">
        <v>39</v>
      </c>
      <c r="D13" s="3" t="s">
        <v>40</v>
      </c>
      <c r="E13" s="3" t="s">
        <v>41</v>
      </c>
      <c r="F13" s="3" t="s">
        <v>42</v>
      </c>
    </row>
    <row r="14" customFormat="false" ht="15" hidden="false" customHeight="false" outlineLevel="0" collapsed="false">
      <c r="A14" s="14" t="s">
        <v>43</v>
      </c>
      <c r="B14" s="14" t="s">
        <v>44</v>
      </c>
      <c r="C14" s="14" t="s">
        <v>45</v>
      </c>
      <c r="D14" s="14" t="s">
        <v>46</v>
      </c>
      <c r="E14" s="15" t="s">
        <v>9</v>
      </c>
      <c r="F14" s="1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17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false" outlineLevel="0" max="8" min="8" style="0" width="27"/>
  </cols>
  <sheetData>
    <row r="1" customFormat="false" ht="30" hidden="false" customHeight="true" outlineLevel="0" collapsed="false">
      <c r="A1" s="16" t="s">
        <v>37</v>
      </c>
      <c r="B1" s="16" t="s">
        <v>38</v>
      </c>
      <c r="C1" s="16" t="s">
        <v>39</v>
      </c>
      <c r="D1" s="16" t="s">
        <v>40</v>
      </c>
      <c r="E1" s="16" t="s">
        <v>41</v>
      </c>
      <c r="F1" s="16" t="s">
        <v>42</v>
      </c>
      <c r="G1" s="16" t="s">
        <v>48</v>
      </c>
      <c r="H1" s="16" t="s">
        <v>49</v>
      </c>
    </row>
    <row r="2" customFormat="false" ht="33.75" hidden="false" customHeight="true" outlineLevel="0" collapsed="false">
      <c r="A2" s="17" t="s">
        <v>50</v>
      </c>
      <c r="B2" s="17" t="s">
        <v>51</v>
      </c>
      <c r="C2" s="14" t="s">
        <v>52</v>
      </c>
      <c r="D2" s="17" t="s">
        <v>46</v>
      </c>
      <c r="E2" s="18"/>
      <c r="F2" s="19"/>
      <c r="G2" s="17" t="s">
        <v>53</v>
      </c>
      <c r="H2" s="14" t="str">
        <f aca="false">IF($E2="","",IF($E2="R","Full worksheet, taught first",IF($E2="A","Work until 3 right in a row",IF($E2="G","2 question spot check in week 5",""))))</f>
        <v/>
      </c>
    </row>
    <row r="3" customFormat="false" ht="33.75" hidden="false" customHeight="true" outlineLevel="0" collapsed="false">
      <c r="A3" s="17" t="s">
        <v>43</v>
      </c>
      <c r="B3" s="17" t="s">
        <v>44</v>
      </c>
      <c r="C3" s="14" t="s">
        <v>54</v>
      </c>
      <c r="D3" s="17" t="s">
        <v>46</v>
      </c>
      <c r="E3" s="18"/>
      <c r="F3" s="19"/>
      <c r="G3" s="17" t="s">
        <v>53</v>
      </c>
      <c r="H3" s="14" t="str">
        <f aca="false">IF($E3="","",IF($E3="R","Full worksheet, taught first",IF($E3="A","Work until 3 right in a row",IF($E3="G","2 question spot check in week 5",""))))</f>
        <v/>
      </c>
    </row>
    <row r="4" customFormat="false" ht="33.75" hidden="false" customHeight="true" outlineLevel="0" collapsed="false">
      <c r="A4" s="17" t="s">
        <v>55</v>
      </c>
      <c r="B4" s="17" t="s">
        <v>56</v>
      </c>
      <c r="C4" s="14" t="s">
        <v>57</v>
      </c>
      <c r="D4" s="17" t="s">
        <v>46</v>
      </c>
      <c r="E4" s="18"/>
      <c r="F4" s="19"/>
      <c r="G4" s="17" t="s">
        <v>53</v>
      </c>
      <c r="H4" s="14" t="str">
        <f aca="false">IF($E4="","",IF($E4="R","Full worksheet, taught first",IF($E4="A","Work until 3 right in a row",IF($E4="G","2 question spot check in week 5",""))))</f>
        <v/>
      </c>
    </row>
    <row r="5" customFormat="false" ht="33.75" hidden="false" customHeight="true" outlineLevel="0" collapsed="false">
      <c r="A5" s="17" t="s">
        <v>58</v>
      </c>
      <c r="B5" s="17" t="s">
        <v>59</v>
      </c>
      <c r="C5" s="14" t="s">
        <v>60</v>
      </c>
      <c r="D5" s="17" t="s">
        <v>61</v>
      </c>
      <c r="E5" s="18"/>
      <c r="F5" s="19"/>
      <c r="G5" s="17" t="s">
        <v>62</v>
      </c>
      <c r="H5" s="14" t="str">
        <f aca="false">IF($E5="","",IF($E5="R","Full worksheet, taught first",IF($E5="A","Work until 3 right in a row",IF($E5="G","2 question spot check in week 5",""))))</f>
        <v/>
      </c>
    </row>
    <row r="6" customFormat="false" ht="33.75" hidden="false" customHeight="true" outlineLevel="0" collapsed="false">
      <c r="A6" s="17" t="s">
        <v>63</v>
      </c>
      <c r="B6" s="17" t="s">
        <v>64</v>
      </c>
      <c r="C6" s="14" t="s">
        <v>65</v>
      </c>
      <c r="D6" s="17" t="s">
        <v>46</v>
      </c>
      <c r="E6" s="18"/>
      <c r="F6" s="19"/>
      <c r="G6" s="17" t="s">
        <v>53</v>
      </c>
      <c r="H6" s="14" t="str">
        <f aca="false">IF($E6="","",IF($E6="R","Full worksheet, taught first",IF($E6="A","Work until 3 right in a row",IF($E6="G","2 question spot check in week 5",""))))</f>
        <v/>
      </c>
    </row>
    <row r="7" customFormat="false" ht="33.75" hidden="false" customHeight="true" outlineLevel="0" collapsed="false">
      <c r="A7" s="17" t="s">
        <v>66</v>
      </c>
      <c r="B7" s="17" t="s">
        <v>67</v>
      </c>
      <c r="C7" s="14" t="s">
        <v>68</v>
      </c>
      <c r="D7" s="17" t="s">
        <v>61</v>
      </c>
      <c r="E7" s="18"/>
      <c r="F7" s="19"/>
      <c r="G7" s="17" t="s">
        <v>62</v>
      </c>
      <c r="H7" s="14" t="str">
        <f aca="false">IF($E7="","",IF($E7="R","Full worksheet, taught first",IF($E7="A","Work until 3 right in a row",IF($E7="G","2 question spot check in week 5",""))))</f>
        <v/>
      </c>
    </row>
    <row r="8" customFormat="false" ht="33.75" hidden="false" customHeight="true" outlineLevel="0" collapsed="false">
      <c r="A8" s="17" t="s">
        <v>69</v>
      </c>
      <c r="B8" s="17" t="s">
        <v>70</v>
      </c>
      <c r="C8" s="14" t="s">
        <v>71</v>
      </c>
      <c r="D8" s="17" t="s">
        <v>72</v>
      </c>
      <c r="E8" s="18"/>
      <c r="F8" s="19"/>
      <c r="G8" s="17" t="s">
        <v>53</v>
      </c>
      <c r="H8" s="14" t="str">
        <f aca="false">IF($E8="","",IF($E8="R","Full worksheet, taught first",IF($E8="A","Work until 3 right in a row",IF($E8="G","2 question spot check in week 5",""))))</f>
        <v/>
      </c>
    </row>
    <row r="9" customFormat="false" ht="33.75" hidden="false" customHeight="true" outlineLevel="0" collapsed="false">
      <c r="A9" s="17" t="s">
        <v>73</v>
      </c>
      <c r="B9" s="17" t="s">
        <v>74</v>
      </c>
      <c r="C9" s="14" t="s">
        <v>75</v>
      </c>
      <c r="D9" s="17" t="s">
        <v>72</v>
      </c>
      <c r="E9" s="18"/>
      <c r="F9" s="19"/>
      <c r="G9" s="17" t="s">
        <v>53</v>
      </c>
      <c r="H9" s="14" t="str">
        <f aca="false">IF($E9="","",IF($E9="R","Full worksheet, taught first",IF($E9="A","Work until 3 right in a row",IF($E9="G","2 question spot check in week 5",""))))</f>
        <v/>
      </c>
    </row>
    <row r="10" customFormat="false" ht="33.75" hidden="false" customHeight="true" outlineLevel="0" collapsed="false">
      <c r="A10" s="17" t="s">
        <v>76</v>
      </c>
      <c r="B10" s="17" t="s">
        <v>77</v>
      </c>
      <c r="C10" s="14" t="s">
        <v>78</v>
      </c>
      <c r="D10" s="17" t="s">
        <v>46</v>
      </c>
      <c r="E10" s="18"/>
      <c r="F10" s="19"/>
      <c r="G10" s="17" t="s">
        <v>53</v>
      </c>
      <c r="H10" s="14" t="str">
        <f aca="false">IF($E10="","",IF($E10="R","Full worksheet, taught first",IF($E10="A","Work until 3 right in a row",IF($E10="G","2 question spot check in week 5",""))))</f>
        <v/>
      </c>
    </row>
    <row r="11" customFormat="false" ht="33.75" hidden="false" customHeight="true" outlineLevel="0" collapsed="false">
      <c r="A11" s="17" t="s">
        <v>79</v>
      </c>
      <c r="B11" s="17" t="s">
        <v>80</v>
      </c>
      <c r="C11" s="14" t="s">
        <v>81</v>
      </c>
      <c r="D11" s="17" t="s">
        <v>46</v>
      </c>
      <c r="E11" s="18"/>
      <c r="F11" s="19"/>
      <c r="G11" s="17" t="s">
        <v>53</v>
      </c>
      <c r="H11" s="14" t="str">
        <f aca="false">IF($E11="","",IF($E11="R","Full worksheet, taught first",IF($E11="A","Work until 3 right in a row",IF($E11="G","2 question spot check in week 5",""))))</f>
        <v/>
      </c>
    </row>
    <row r="12" customFormat="false" ht="33.75" hidden="false" customHeight="true" outlineLevel="0" collapsed="false">
      <c r="A12" s="17" t="s">
        <v>82</v>
      </c>
      <c r="B12" s="17" t="s">
        <v>83</v>
      </c>
      <c r="C12" s="14" t="s">
        <v>84</v>
      </c>
      <c r="D12" s="17" t="s">
        <v>61</v>
      </c>
      <c r="E12" s="18"/>
      <c r="F12" s="19"/>
      <c r="G12" s="17" t="s">
        <v>62</v>
      </c>
      <c r="H12" s="14" t="str">
        <f aca="false">IF($E12="","",IF($E12="R","Full worksheet, taught first",IF($E12="A","Work until 3 right in a row",IF($E12="G","2 question spot check in week 5",""))))</f>
        <v/>
      </c>
    </row>
    <row r="13" customFormat="false" ht="33.75" hidden="false" customHeight="true" outlineLevel="0" collapsed="false">
      <c r="A13" s="17" t="s">
        <v>85</v>
      </c>
      <c r="B13" s="17" t="s">
        <v>86</v>
      </c>
      <c r="C13" s="14" t="s">
        <v>87</v>
      </c>
      <c r="D13" s="17" t="s">
        <v>72</v>
      </c>
      <c r="E13" s="18"/>
      <c r="F13" s="19"/>
      <c r="G13" s="17" t="s">
        <v>53</v>
      </c>
      <c r="H13" s="14" t="str">
        <f aca="false">IF($E13="","",IF($E13="R","Full worksheet, taught first",IF($E13="A","Work until 3 right in a row",IF($E13="G","2 question spot check in week 5",""))))</f>
        <v/>
      </c>
    </row>
    <row r="14" customFormat="false" ht="33.75" hidden="false" customHeight="true" outlineLevel="0" collapsed="false">
      <c r="A14" s="17" t="s">
        <v>88</v>
      </c>
      <c r="B14" s="17" t="s">
        <v>89</v>
      </c>
      <c r="C14" s="14" t="s">
        <v>90</v>
      </c>
      <c r="D14" s="17" t="s">
        <v>46</v>
      </c>
      <c r="E14" s="18"/>
      <c r="F14" s="19"/>
      <c r="G14" s="17" t="s">
        <v>53</v>
      </c>
      <c r="H14" s="14" t="str">
        <f aca="false">IF($E14="","",IF($E14="R","Full worksheet, taught first",IF($E14="A","Work until 3 right in a row",IF($E14="G","2 question spot check in week 5",""))))</f>
        <v/>
      </c>
    </row>
    <row r="15" customFormat="false" ht="33.75" hidden="false" customHeight="true" outlineLevel="0" collapsed="false">
      <c r="A15" s="17" t="s">
        <v>91</v>
      </c>
      <c r="B15" s="17" t="s">
        <v>92</v>
      </c>
      <c r="C15" s="14" t="s">
        <v>93</v>
      </c>
      <c r="D15" s="17" t="s">
        <v>46</v>
      </c>
      <c r="E15" s="18"/>
      <c r="F15" s="19"/>
      <c r="G15" s="17" t="s">
        <v>53</v>
      </c>
      <c r="H15" s="14" t="str">
        <f aca="false">IF($E15="","",IF($E15="R","Full worksheet, taught first",IF($E15="A","Work until 3 right in a row",IF($E15="G","2 question spot check in week 5",""))))</f>
        <v/>
      </c>
    </row>
    <row r="16" customFormat="false" ht="33.75" hidden="false" customHeight="true" outlineLevel="0" collapsed="false">
      <c r="A16" s="17" t="s">
        <v>94</v>
      </c>
      <c r="B16" s="17" t="s">
        <v>95</v>
      </c>
      <c r="C16" s="14" t="s">
        <v>96</v>
      </c>
      <c r="D16" s="17" t="s">
        <v>72</v>
      </c>
      <c r="E16" s="18"/>
      <c r="F16" s="19"/>
      <c r="G16" s="17" t="s">
        <v>53</v>
      </c>
      <c r="H16" s="14" t="str">
        <f aca="false">IF($E16="","",IF($E16="R","Full worksheet, taught first",IF($E16="A","Work until 3 right in a row",IF($E16="G","2 question spot check in week 5",""))))</f>
        <v/>
      </c>
    </row>
    <row r="17" customFormat="false" ht="33.75" hidden="false" customHeight="true" outlineLevel="0" collapsed="false">
      <c r="A17" s="17" t="s">
        <v>97</v>
      </c>
      <c r="B17" s="17" t="s">
        <v>98</v>
      </c>
      <c r="C17" s="14" t="s">
        <v>99</v>
      </c>
      <c r="D17" s="17" t="s">
        <v>72</v>
      </c>
      <c r="E17" s="18"/>
      <c r="F17" s="19"/>
      <c r="G17" s="17" t="s">
        <v>53</v>
      </c>
      <c r="H17" s="14" t="str">
        <f aca="false">IF($E17="","",IF($E17="R","Full worksheet, taught first",IF($E17="A","Work until 3 right in a row",IF($E17="G","2 question spot check in week 5",""))))</f>
        <v/>
      </c>
    </row>
    <row r="18" customFormat="false" ht="33.75" hidden="false" customHeight="true" outlineLevel="0" collapsed="false">
      <c r="A18" s="17" t="s">
        <v>100</v>
      </c>
      <c r="B18" s="17" t="s">
        <v>101</v>
      </c>
      <c r="C18" s="14" t="s">
        <v>102</v>
      </c>
      <c r="D18" s="17" t="s">
        <v>61</v>
      </c>
      <c r="E18" s="18"/>
      <c r="F18" s="19"/>
      <c r="G18" s="17" t="s">
        <v>62</v>
      </c>
      <c r="H18" s="14" t="str">
        <f aca="false">IF($E18="","",IF($E18="R","Full worksheet, taught first",IF($E18="A","Work until 3 right in a row",IF($E18="G","2 question spot check in week 5",""))))</f>
        <v/>
      </c>
    </row>
    <row r="19" customFormat="false" ht="33.75" hidden="false" customHeight="true" outlineLevel="0" collapsed="false">
      <c r="A19" s="17" t="s">
        <v>103</v>
      </c>
      <c r="B19" s="17" t="s">
        <v>104</v>
      </c>
      <c r="C19" s="14" t="s">
        <v>105</v>
      </c>
      <c r="D19" s="17" t="s">
        <v>72</v>
      </c>
      <c r="E19" s="18"/>
      <c r="F19" s="19"/>
      <c r="G19" s="17" t="s">
        <v>53</v>
      </c>
      <c r="H19" s="14" t="str">
        <f aca="false">IF($E19="","",IF($E19="R","Full worksheet, taught first",IF($E19="A","Work until 3 right in a row",IF($E19="G","2 question spot check in week 5",""))))</f>
        <v/>
      </c>
    </row>
    <row r="20" customFormat="false" ht="33.75" hidden="false" customHeight="true" outlineLevel="0" collapsed="false">
      <c r="A20" s="17" t="s">
        <v>106</v>
      </c>
      <c r="B20" s="17" t="s">
        <v>107</v>
      </c>
      <c r="C20" s="14" t="s">
        <v>108</v>
      </c>
      <c r="D20" s="17" t="s">
        <v>46</v>
      </c>
      <c r="E20" s="18"/>
      <c r="F20" s="19"/>
      <c r="G20" s="17" t="s">
        <v>53</v>
      </c>
      <c r="H20" s="14" t="str">
        <f aca="false">IF($E20="","",IF($E20="R","Full worksheet, taught first",IF($E20="A","Work until 3 right in a row",IF($E20="G","2 question spot check in week 5",""))))</f>
        <v/>
      </c>
    </row>
    <row r="21" customFormat="false" ht="33.75" hidden="false" customHeight="true" outlineLevel="0" collapsed="false">
      <c r="A21" s="17" t="s">
        <v>109</v>
      </c>
      <c r="B21" s="17" t="s">
        <v>110</v>
      </c>
      <c r="C21" s="14" t="s">
        <v>111</v>
      </c>
      <c r="D21" s="17" t="s">
        <v>61</v>
      </c>
      <c r="E21" s="18"/>
      <c r="F21" s="19"/>
      <c r="G21" s="17" t="s">
        <v>112</v>
      </c>
      <c r="H21" s="14" t="str">
        <f aca="false">IF($E21="","",IF($E21="R","Full worksheet, taught first",IF($E21="A","Work until 3 right in a row",IF($E21="G","2 question spot check in week 5",""))))</f>
        <v/>
      </c>
    </row>
    <row r="22" customFormat="false" ht="33.75" hidden="false" customHeight="true" outlineLevel="0" collapsed="false">
      <c r="A22" s="17" t="s">
        <v>113</v>
      </c>
      <c r="B22" s="17" t="s">
        <v>114</v>
      </c>
      <c r="C22" s="14" t="s">
        <v>115</v>
      </c>
      <c r="D22" s="17" t="s">
        <v>72</v>
      </c>
      <c r="E22" s="18"/>
      <c r="F22" s="19"/>
      <c r="G22" s="17" t="s">
        <v>53</v>
      </c>
      <c r="H22" s="14" t="str">
        <f aca="false">IF($E22="","",IF($E22="R","Full worksheet, taught first",IF($E22="A","Work until 3 right in a row",IF($E22="G","2 question spot check in week 5",""))))</f>
        <v/>
      </c>
    </row>
    <row r="23" customFormat="false" ht="33.75" hidden="false" customHeight="true" outlineLevel="0" collapsed="false">
      <c r="A23" s="17" t="s">
        <v>116</v>
      </c>
      <c r="B23" s="17" t="s">
        <v>117</v>
      </c>
      <c r="C23" s="14" t="s">
        <v>118</v>
      </c>
      <c r="D23" s="17" t="s">
        <v>46</v>
      </c>
      <c r="E23" s="18"/>
      <c r="F23" s="19"/>
      <c r="G23" s="17" t="s">
        <v>112</v>
      </c>
      <c r="H23" s="14" t="str">
        <f aca="false">IF($E23="","",IF($E23="R","Full worksheet, taught first",IF($E23="A","Work until 3 right in a row",IF($E23="G","2 question spot check in week 5",""))))</f>
        <v/>
      </c>
    </row>
    <row r="24" customFormat="false" ht="33.75" hidden="false" customHeight="true" outlineLevel="0" collapsed="false">
      <c r="A24" s="17" t="s">
        <v>119</v>
      </c>
      <c r="B24" s="17" t="s">
        <v>120</v>
      </c>
      <c r="C24" s="14" t="s">
        <v>121</v>
      </c>
      <c r="D24" s="17" t="s">
        <v>61</v>
      </c>
      <c r="E24" s="18"/>
      <c r="F24" s="19"/>
      <c r="G24" s="17" t="s">
        <v>62</v>
      </c>
      <c r="H24" s="14" t="str">
        <f aca="false">IF($E24="","",IF($E24="R","Full worksheet, taught first",IF($E24="A","Work until 3 right in a row",IF($E24="G","2 question spot check in week 5",""))))</f>
        <v/>
      </c>
    </row>
    <row r="25" customFormat="false" ht="33.75" hidden="false" customHeight="true" outlineLevel="0" collapsed="false">
      <c r="A25" s="17" t="s">
        <v>122</v>
      </c>
      <c r="B25" s="17" t="s">
        <v>123</v>
      </c>
      <c r="C25" s="14" t="s">
        <v>124</v>
      </c>
      <c r="D25" s="17" t="s">
        <v>46</v>
      </c>
      <c r="E25" s="18"/>
      <c r="F25" s="19"/>
      <c r="G25" s="17" t="s">
        <v>53</v>
      </c>
      <c r="H25" s="14" t="str">
        <f aca="false">IF($E25="","",IF($E25="R","Full worksheet, taught first",IF($E25="A","Work until 3 right in a row",IF($E25="G","2 question spot check in week 5",""))))</f>
        <v/>
      </c>
    </row>
    <row r="26" customFormat="false" ht="33.75" hidden="false" customHeight="true" outlineLevel="0" collapsed="false">
      <c r="A26" s="17" t="s">
        <v>125</v>
      </c>
      <c r="B26" s="17" t="s">
        <v>126</v>
      </c>
      <c r="C26" s="14" t="s">
        <v>127</v>
      </c>
      <c r="D26" s="17" t="s">
        <v>61</v>
      </c>
      <c r="E26" s="18"/>
      <c r="F26" s="19"/>
      <c r="G26" s="17" t="s">
        <v>62</v>
      </c>
      <c r="H26" s="14" t="str">
        <f aca="false">IF($E26="","",IF($E26="R","Full worksheet, taught first",IF($E26="A","Work until 3 right in a row",IF($E26="G","2 question spot check in week 5",""))))</f>
        <v/>
      </c>
    </row>
    <row r="27" customFormat="false" ht="33.75" hidden="false" customHeight="true" outlineLevel="0" collapsed="false">
      <c r="A27" s="17" t="s">
        <v>128</v>
      </c>
      <c r="B27" s="17" t="s">
        <v>129</v>
      </c>
      <c r="C27" s="14" t="s">
        <v>130</v>
      </c>
      <c r="D27" s="17" t="s">
        <v>46</v>
      </c>
      <c r="E27" s="18"/>
      <c r="F27" s="19"/>
      <c r="G27" s="17" t="s">
        <v>53</v>
      </c>
      <c r="H27" s="14" t="str">
        <f aca="false">IF($E27="","",IF($E27="R","Full worksheet, taught first",IF($E27="A","Work until 3 right in a row",IF($E27="G","2 question spot check in week 5",""))))</f>
        <v/>
      </c>
    </row>
    <row r="28" customFormat="false" ht="33.75" hidden="false" customHeight="true" outlineLevel="0" collapsed="false">
      <c r="A28" s="17" t="s">
        <v>131</v>
      </c>
      <c r="B28" s="17" t="s">
        <v>132</v>
      </c>
      <c r="C28" s="14" t="s">
        <v>133</v>
      </c>
      <c r="D28" s="17" t="s">
        <v>61</v>
      </c>
      <c r="E28" s="18"/>
      <c r="F28" s="19"/>
      <c r="G28" s="17" t="s">
        <v>112</v>
      </c>
      <c r="H28" s="14" t="str">
        <f aca="false">IF($E28="","",IF($E28="R","Full worksheet, taught first",IF($E28="A","Work until 3 right in a row",IF($E28="G","2 question spot check in week 5",""))))</f>
        <v/>
      </c>
    </row>
    <row r="29" customFormat="false" ht="33.75" hidden="false" customHeight="true" outlineLevel="0" collapsed="false">
      <c r="A29" s="17" t="s">
        <v>134</v>
      </c>
      <c r="B29" s="17" t="s">
        <v>135</v>
      </c>
      <c r="C29" s="14" t="s">
        <v>136</v>
      </c>
      <c r="D29" s="17" t="s">
        <v>61</v>
      </c>
      <c r="E29" s="18"/>
      <c r="F29" s="19"/>
      <c r="G29" s="17" t="s">
        <v>62</v>
      </c>
      <c r="H29" s="14" t="str">
        <f aca="false">IF($E29="","",IF($E29="R","Full worksheet, taught first",IF($E29="A","Work until 3 right in a row",IF($E29="G","2 question spot check in week 5",""))))</f>
        <v/>
      </c>
    </row>
    <row r="30" customFormat="false" ht="33.75" hidden="false" customHeight="true" outlineLevel="0" collapsed="false">
      <c r="A30" s="17" t="s">
        <v>137</v>
      </c>
      <c r="B30" s="17" t="s">
        <v>138</v>
      </c>
      <c r="C30" s="14" t="s">
        <v>139</v>
      </c>
      <c r="D30" s="17" t="s">
        <v>46</v>
      </c>
      <c r="E30" s="18"/>
      <c r="F30" s="19"/>
      <c r="G30" s="17" t="s">
        <v>53</v>
      </c>
      <c r="H30" s="14" t="str">
        <f aca="false">IF($E30="","",IF($E30="R","Full worksheet, taught first",IF($E30="A","Work until 3 right in a row",IF($E30="G","2 question spot check in week 5",""))))</f>
        <v/>
      </c>
    </row>
    <row r="31" customFormat="false" ht="33.75" hidden="false" customHeight="true" outlineLevel="0" collapsed="false">
      <c r="A31" s="17" t="s">
        <v>140</v>
      </c>
      <c r="B31" s="17" t="s">
        <v>141</v>
      </c>
      <c r="C31" s="14" t="s">
        <v>142</v>
      </c>
      <c r="D31" s="17" t="s">
        <v>72</v>
      </c>
      <c r="E31" s="18"/>
      <c r="F31" s="19"/>
      <c r="G31" s="17" t="s">
        <v>112</v>
      </c>
      <c r="H31" s="14" t="str">
        <f aca="false">IF($E31="","",IF($E31="R","Full worksheet, taught first",IF($E31="A","Work until 3 right in a row",IF($E31="G","2 question spot check in week 5",""))))</f>
        <v/>
      </c>
    </row>
    <row r="32" customFormat="false" ht="33.75" hidden="false" customHeight="true" outlineLevel="0" collapsed="false">
      <c r="A32" s="17" t="s">
        <v>143</v>
      </c>
      <c r="B32" s="17" t="s">
        <v>144</v>
      </c>
      <c r="C32" s="14" t="s">
        <v>145</v>
      </c>
      <c r="D32" s="17" t="s">
        <v>61</v>
      </c>
      <c r="E32" s="18"/>
      <c r="F32" s="19"/>
      <c r="G32" s="17" t="s">
        <v>62</v>
      </c>
      <c r="H32" s="14" t="str">
        <f aca="false">IF($E32="","",IF($E32="R","Full worksheet, taught first",IF($E32="A","Work until 3 right in a row",IF($E32="G","2 question spot check in week 5",""))))</f>
        <v/>
      </c>
    </row>
    <row r="33" customFormat="false" ht="33.75" hidden="false" customHeight="true" outlineLevel="0" collapsed="false">
      <c r="A33" s="17" t="s">
        <v>146</v>
      </c>
      <c r="B33" s="17" t="s">
        <v>147</v>
      </c>
      <c r="C33" s="14" t="s">
        <v>148</v>
      </c>
      <c r="D33" s="17" t="s">
        <v>61</v>
      </c>
      <c r="E33" s="18"/>
      <c r="F33" s="19"/>
      <c r="G33" s="17" t="s">
        <v>62</v>
      </c>
      <c r="H33" s="14" t="str">
        <f aca="false">IF($E33="","",IF($E33="R","Full worksheet, taught first",IF($E33="A","Work until 3 right in a row",IF($E33="G","2 question spot check in week 5",""))))</f>
        <v/>
      </c>
    </row>
    <row r="34" customFormat="false" ht="33.75" hidden="false" customHeight="true" outlineLevel="0" collapsed="false">
      <c r="A34" s="17" t="s">
        <v>149</v>
      </c>
      <c r="B34" s="17" t="s">
        <v>150</v>
      </c>
      <c r="C34" s="14" t="s">
        <v>151</v>
      </c>
      <c r="D34" s="17" t="s">
        <v>46</v>
      </c>
      <c r="E34" s="18"/>
      <c r="F34" s="19"/>
      <c r="G34" s="17" t="s">
        <v>53</v>
      </c>
      <c r="H34" s="14" t="str">
        <f aca="false">IF($E34="","",IF($E34="R","Full worksheet, taught first",IF($E34="A","Work until 3 right in a row",IF($E34="G","2 question spot check in week 5",""))))</f>
        <v/>
      </c>
    </row>
    <row r="35" customFormat="false" ht="33.75" hidden="false" customHeight="true" outlineLevel="0" collapsed="false">
      <c r="A35" s="17" t="s">
        <v>152</v>
      </c>
      <c r="B35" s="17" t="s">
        <v>153</v>
      </c>
      <c r="C35" s="14" t="s">
        <v>154</v>
      </c>
      <c r="D35" s="17" t="s">
        <v>46</v>
      </c>
      <c r="E35" s="18"/>
      <c r="F35" s="19"/>
      <c r="G35" s="17" t="s">
        <v>53</v>
      </c>
      <c r="H35" s="14" t="str">
        <f aca="false">IF($E35="","",IF($E35="R","Full worksheet, taught first",IF($E35="A","Work until 3 right in a row",IF($E35="G","2 question spot check in week 5",""))))</f>
        <v/>
      </c>
    </row>
    <row r="36" customFormat="false" ht="33.75" hidden="false" customHeight="true" outlineLevel="0" collapsed="false">
      <c r="A36" s="17" t="s">
        <v>155</v>
      </c>
      <c r="B36" s="17" t="s">
        <v>156</v>
      </c>
      <c r="C36" s="14" t="s">
        <v>157</v>
      </c>
      <c r="D36" s="17" t="s">
        <v>46</v>
      </c>
      <c r="E36" s="18"/>
      <c r="F36" s="19"/>
      <c r="G36" s="17" t="s">
        <v>53</v>
      </c>
      <c r="H36" s="14" t="str">
        <f aca="false">IF($E36="","",IF($E36="R","Full worksheet, taught first",IF($E36="A","Work until 3 right in a row",IF($E36="G","2 question spot check in week 5",""))))</f>
        <v/>
      </c>
    </row>
    <row r="37" customFormat="false" ht="33.75" hidden="false" customHeight="true" outlineLevel="0" collapsed="false">
      <c r="A37" s="17" t="s">
        <v>158</v>
      </c>
      <c r="B37" s="17" t="s">
        <v>159</v>
      </c>
      <c r="C37" s="14" t="s">
        <v>160</v>
      </c>
      <c r="D37" s="17" t="s">
        <v>46</v>
      </c>
      <c r="E37" s="18"/>
      <c r="F37" s="19"/>
      <c r="G37" s="17" t="s">
        <v>53</v>
      </c>
      <c r="H37" s="14" t="str">
        <f aca="false">IF($E37="","",IF($E37="R","Full worksheet, taught first",IF($E37="A","Work until 3 right in a row",IF($E37="G","2 question spot check in week 5",""))))</f>
        <v/>
      </c>
    </row>
    <row r="38" customFormat="false" ht="33.75" hidden="false" customHeight="true" outlineLevel="0" collapsed="false">
      <c r="A38" s="17" t="s">
        <v>161</v>
      </c>
      <c r="B38" s="17" t="s">
        <v>162</v>
      </c>
      <c r="C38" s="14" t="s">
        <v>163</v>
      </c>
      <c r="D38" s="17" t="s">
        <v>46</v>
      </c>
      <c r="E38" s="18"/>
      <c r="F38" s="19"/>
      <c r="G38" s="17" t="s">
        <v>53</v>
      </c>
      <c r="H38" s="14" t="str">
        <f aca="false">IF($E38="","",IF($E38="R","Full worksheet, taught first",IF($E38="A","Work until 3 right in a row",IF($E38="G","2 question spot check in week 5",""))))</f>
        <v/>
      </c>
    </row>
    <row r="39" customFormat="false" ht="33.75" hidden="false" customHeight="true" outlineLevel="0" collapsed="false">
      <c r="A39" s="17" t="s">
        <v>164</v>
      </c>
      <c r="B39" s="17" t="s">
        <v>165</v>
      </c>
      <c r="C39" s="14" t="s">
        <v>166</v>
      </c>
      <c r="D39" s="17" t="s">
        <v>46</v>
      </c>
      <c r="E39" s="18"/>
      <c r="F39" s="19"/>
      <c r="G39" s="17" t="s">
        <v>53</v>
      </c>
      <c r="H39" s="14" t="str">
        <f aca="false">IF($E39="","",IF($E39="R","Full worksheet, taught first",IF($E39="A","Work until 3 right in a row",IF($E39="G","2 question spot check in week 5",""))))</f>
        <v/>
      </c>
    </row>
    <row r="40" customFormat="false" ht="33.75" hidden="false" customHeight="true" outlineLevel="0" collapsed="false">
      <c r="A40" s="17" t="s">
        <v>167</v>
      </c>
      <c r="B40" s="17" t="s">
        <v>168</v>
      </c>
      <c r="C40" s="14" t="s">
        <v>169</v>
      </c>
      <c r="D40" s="17" t="s">
        <v>61</v>
      </c>
      <c r="E40" s="18"/>
      <c r="F40" s="19"/>
      <c r="G40" s="17" t="s">
        <v>62</v>
      </c>
      <c r="H40" s="14" t="str">
        <f aca="false">IF($E40="","",IF($E40="R","Full worksheet, taught first",IF($E40="A","Work until 3 right in a row",IF($E40="G","2 question spot check in week 5",""))))</f>
        <v/>
      </c>
    </row>
    <row r="41" customFormat="false" ht="33.75" hidden="false" customHeight="true" outlineLevel="0" collapsed="false">
      <c r="A41" s="17" t="s">
        <v>170</v>
      </c>
      <c r="B41" s="17" t="s">
        <v>171</v>
      </c>
      <c r="C41" s="14" t="s">
        <v>172</v>
      </c>
      <c r="D41" s="17" t="s">
        <v>72</v>
      </c>
      <c r="E41" s="18"/>
      <c r="F41" s="19"/>
      <c r="G41" s="17" t="s">
        <v>53</v>
      </c>
      <c r="H41" s="14" t="str">
        <f aca="false">IF($E41="","",IF($E41="R","Full worksheet, taught first",IF($E41="A","Work until 3 right in a row",IF($E41="G","2 question spot check in week 5",""))))</f>
        <v/>
      </c>
    </row>
    <row r="42" customFormat="false" ht="33.75" hidden="false" customHeight="true" outlineLevel="0" collapsed="false">
      <c r="A42" s="17" t="s">
        <v>173</v>
      </c>
      <c r="B42" s="17" t="s">
        <v>174</v>
      </c>
      <c r="C42" s="14" t="s">
        <v>175</v>
      </c>
      <c r="D42" s="17" t="s">
        <v>46</v>
      </c>
      <c r="E42" s="18"/>
      <c r="F42" s="19"/>
      <c r="G42" s="17" t="s">
        <v>53</v>
      </c>
      <c r="H42" s="14" t="str">
        <f aca="false">IF($E42="","",IF($E42="R","Full worksheet, taught first",IF($E42="A","Work until 3 right in a row",IF($E42="G","2 question spot check in week 5",""))))</f>
        <v/>
      </c>
    </row>
    <row r="43" customFormat="false" ht="33.75" hidden="false" customHeight="true" outlineLevel="0" collapsed="false">
      <c r="A43" s="17" t="s">
        <v>176</v>
      </c>
      <c r="B43" s="17" t="s">
        <v>177</v>
      </c>
      <c r="C43" s="14" t="s">
        <v>178</v>
      </c>
      <c r="D43" s="17" t="s">
        <v>61</v>
      </c>
      <c r="E43" s="18"/>
      <c r="F43" s="19"/>
      <c r="G43" s="17" t="s">
        <v>62</v>
      </c>
      <c r="H43" s="14" t="str">
        <f aca="false">IF($E43="","",IF($E43="R","Full worksheet, taught first",IF($E43="A","Work until 3 right in a row",IF($E43="G","2 question spot check in week 5",""))))</f>
        <v/>
      </c>
    </row>
    <row r="44" customFormat="false" ht="33.75" hidden="false" customHeight="true" outlineLevel="0" collapsed="false">
      <c r="A44" s="17" t="s">
        <v>179</v>
      </c>
      <c r="B44" s="17" t="s">
        <v>180</v>
      </c>
      <c r="C44" s="14" t="s">
        <v>181</v>
      </c>
      <c r="D44" s="17" t="s">
        <v>46</v>
      </c>
      <c r="E44" s="18"/>
      <c r="F44" s="19"/>
      <c r="G44" s="17" t="s">
        <v>53</v>
      </c>
      <c r="H44" s="14" t="str">
        <f aca="false">IF($E44="","",IF($E44="R","Full worksheet, taught first",IF($E44="A","Work until 3 right in a row",IF($E44="G","2 question spot check in week 5",""))))</f>
        <v/>
      </c>
    </row>
    <row r="45" customFormat="false" ht="33.75" hidden="false" customHeight="true" outlineLevel="0" collapsed="false">
      <c r="A45" s="17" t="s">
        <v>182</v>
      </c>
      <c r="B45" s="17" t="s">
        <v>183</v>
      </c>
      <c r="C45" s="14" t="s">
        <v>184</v>
      </c>
      <c r="D45" s="17" t="s">
        <v>61</v>
      </c>
      <c r="E45" s="18"/>
      <c r="F45" s="19"/>
      <c r="G45" s="17" t="s">
        <v>112</v>
      </c>
      <c r="H45" s="14" t="str">
        <f aca="false">IF($E45="","",IF($E45="R","Full worksheet, taught first",IF($E45="A","Work until 3 right in a row",IF($E45="G","2 question spot check in week 5",""))))</f>
        <v/>
      </c>
    </row>
    <row r="46" customFormat="false" ht="33.75" hidden="false" customHeight="true" outlineLevel="0" collapsed="false">
      <c r="A46" s="17" t="s">
        <v>185</v>
      </c>
      <c r="B46" s="17" t="s">
        <v>186</v>
      </c>
      <c r="C46" s="14" t="s">
        <v>187</v>
      </c>
      <c r="D46" s="17" t="s">
        <v>46</v>
      </c>
      <c r="E46" s="18"/>
      <c r="F46" s="19"/>
      <c r="G46" s="17" t="s">
        <v>53</v>
      </c>
      <c r="H46" s="14" t="str">
        <f aca="false">IF($E46="","",IF($E46="R","Full worksheet, taught first",IF($E46="A","Work until 3 right in a row",IF($E46="G","2 question spot check in week 5",""))))</f>
        <v/>
      </c>
    </row>
    <row r="47" customFormat="false" ht="33.75" hidden="false" customHeight="true" outlineLevel="0" collapsed="false">
      <c r="A47" s="17" t="s">
        <v>188</v>
      </c>
      <c r="B47" s="17" t="s">
        <v>189</v>
      </c>
      <c r="C47" s="14" t="s">
        <v>190</v>
      </c>
      <c r="D47" s="17" t="s">
        <v>61</v>
      </c>
      <c r="E47" s="18"/>
      <c r="F47" s="19"/>
      <c r="G47" s="17" t="s">
        <v>112</v>
      </c>
      <c r="H47" s="14" t="str">
        <f aca="false">IF($E47="","",IF($E47="R","Full worksheet, taught first",IF($E47="A","Work until 3 right in a row",IF($E47="G","2 question spot check in week 5",""))))</f>
        <v/>
      </c>
    </row>
    <row r="48" customFormat="false" ht="33.75" hidden="false" customHeight="true" outlineLevel="0" collapsed="false">
      <c r="A48" s="17" t="s">
        <v>191</v>
      </c>
      <c r="B48" s="17" t="s">
        <v>192</v>
      </c>
      <c r="C48" s="14" t="s">
        <v>193</v>
      </c>
      <c r="D48" s="17" t="s">
        <v>46</v>
      </c>
      <c r="E48" s="18"/>
      <c r="F48" s="19"/>
      <c r="G48" s="17" t="s">
        <v>53</v>
      </c>
      <c r="H48" s="14" t="str">
        <f aca="false">IF($E48="","",IF($E48="R","Full worksheet, taught first",IF($E48="A","Work until 3 right in a row",IF($E48="G","2 question spot check in week 5",""))))</f>
        <v/>
      </c>
    </row>
    <row r="49" customFormat="false" ht="33.75" hidden="false" customHeight="true" outlineLevel="0" collapsed="false">
      <c r="A49" s="17" t="s">
        <v>194</v>
      </c>
      <c r="B49" s="17" t="s">
        <v>195</v>
      </c>
      <c r="C49" s="14" t="s">
        <v>196</v>
      </c>
      <c r="D49" s="17" t="s">
        <v>61</v>
      </c>
      <c r="E49" s="18"/>
      <c r="F49" s="19"/>
      <c r="G49" s="17" t="s">
        <v>112</v>
      </c>
      <c r="H49" s="14" t="str">
        <f aca="false">IF($E49="","",IF($E49="R","Full worksheet, taught first",IF($E49="A","Work until 3 right in a row",IF($E49="G","2 question spot check in week 5",""))))</f>
        <v/>
      </c>
    </row>
    <row r="50" customFormat="false" ht="33.75" hidden="false" customHeight="true" outlineLevel="0" collapsed="false">
      <c r="A50" s="17" t="s">
        <v>197</v>
      </c>
      <c r="B50" s="17" t="s">
        <v>198</v>
      </c>
      <c r="C50" s="14" t="s">
        <v>199</v>
      </c>
      <c r="D50" s="17" t="s">
        <v>61</v>
      </c>
      <c r="E50" s="18"/>
      <c r="F50" s="19"/>
      <c r="G50" s="17" t="s">
        <v>62</v>
      </c>
      <c r="H50" s="14" t="str">
        <f aca="false">IF($E50="","",IF($E50="R","Full worksheet, taught first",IF($E50="A","Work until 3 right in a row",IF($E50="G","2 question spot check in week 5",""))))</f>
        <v/>
      </c>
    </row>
    <row r="51" customFormat="false" ht="33.75" hidden="false" customHeight="true" outlineLevel="0" collapsed="false">
      <c r="A51" s="17" t="s">
        <v>200</v>
      </c>
      <c r="B51" s="17" t="s">
        <v>201</v>
      </c>
      <c r="C51" s="14" t="s">
        <v>202</v>
      </c>
      <c r="D51" s="17" t="s">
        <v>46</v>
      </c>
      <c r="E51" s="18"/>
      <c r="F51" s="19"/>
      <c r="G51" s="17" t="s">
        <v>53</v>
      </c>
      <c r="H51" s="14" t="str">
        <f aca="false">IF($E51="","",IF($E51="R","Full worksheet, taught first",IF($E51="A","Work until 3 right in a row",IF($E51="G","2 question spot check in week 5",""))))</f>
        <v/>
      </c>
    </row>
    <row r="52" customFormat="false" ht="33.75" hidden="false" customHeight="true" outlineLevel="0" collapsed="false">
      <c r="A52" s="17" t="s">
        <v>203</v>
      </c>
      <c r="B52" s="17" t="s">
        <v>204</v>
      </c>
      <c r="C52" s="14" t="s">
        <v>205</v>
      </c>
      <c r="D52" s="17" t="s">
        <v>46</v>
      </c>
      <c r="E52" s="18"/>
      <c r="F52" s="19"/>
      <c r="G52" s="17" t="s">
        <v>53</v>
      </c>
      <c r="H52" s="14" t="str">
        <f aca="false">IF($E52="","",IF($E52="R","Full worksheet, taught first",IF($E52="A","Work until 3 right in a row",IF($E52="G","2 question spot check in week 5",""))))</f>
        <v/>
      </c>
    </row>
    <row r="53" customFormat="false" ht="33.75" hidden="false" customHeight="true" outlineLevel="0" collapsed="false">
      <c r="A53" s="17" t="s">
        <v>206</v>
      </c>
      <c r="B53" s="17" t="s">
        <v>207</v>
      </c>
      <c r="C53" s="14" t="s">
        <v>208</v>
      </c>
      <c r="D53" s="17" t="s">
        <v>61</v>
      </c>
      <c r="E53" s="18"/>
      <c r="F53" s="19"/>
      <c r="G53" s="17" t="s">
        <v>62</v>
      </c>
      <c r="H53" s="14" t="str">
        <f aca="false">IF($E53="","",IF($E53="R","Full worksheet, taught first",IF($E53="A","Work until 3 right in a row",IF($E53="G","2 question spot check in week 5",""))))</f>
        <v/>
      </c>
    </row>
    <row r="54" customFormat="false" ht="33.75" hidden="false" customHeight="true" outlineLevel="0" collapsed="false">
      <c r="A54" s="17" t="s">
        <v>209</v>
      </c>
      <c r="B54" s="17" t="s">
        <v>210</v>
      </c>
      <c r="C54" s="14" t="s">
        <v>211</v>
      </c>
      <c r="D54" s="17" t="s">
        <v>46</v>
      </c>
      <c r="E54" s="18"/>
      <c r="F54" s="19"/>
      <c r="G54" s="17" t="s">
        <v>53</v>
      </c>
      <c r="H54" s="14" t="str">
        <f aca="false">IF($E54="","",IF($E54="R","Full worksheet, taught first",IF($E54="A","Work until 3 right in a row",IF($E54="G","2 question spot check in week 5",""))))</f>
        <v/>
      </c>
    </row>
    <row r="55" customFormat="false" ht="33.75" hidden="false" customHeight="true" outlineLevel="0" collapsed="false">
      <c r="A55" s="17" t="s">
        <v>212</v>
      </c>
      <c r="B55" s="17" t="s">
        <v>213</v>
      </c>
      <c r="C55" s="14" t="s">
        <v>214</v>
      </c>
      <c r="D55" s="17" t="s">
        <v>61</v>
      </c>
      <c r="E55" s="18"/>
      <c r="F55" s="19"/>
      <c r="G55" s="17" t="s">
        <v>112</v>
      </c>
      <c r="H55" s="14" t="str">
        <f aca="false">IF($E55="","",IF($E55="R","Full worksheet, taught first",IF($E55="A","Work until 3 right in a row",IF($E55="G","2 question spot check in week 5",""))))</f>
        <v/>
      </c>
    </row>
    <row r="56" customFormat="false" ht="33.75" hidden="false" customHeight="true" outlineLevel="0" collapsed="false">
      <c r="A56" s="17" t="s">
        <v>215</v>
      </c>
      <c r="B56" s="17" t="s">
        <v>216</v>
      </c>
      <c r="C56" s="14" t="s">
        <v>217</v>
      </c>
      <c r="D56" s="17" t="s">
        <v>46</v>
      </c>
      <c r="E56" s="18"/>
      <c r="F56" s="19"/>
      <c r="G56" s="17" t="s">
        <v>53</v>
      </c>
      <c r="H56" s="14" t="str">
        <f aca="false">IF($E56="","",IF($E56="R","Full worksheet, taught first",IF($E56="A","Work until 3 right in a row",IF($E56="G","2 question spot check in week 5",""))))</f>
        <v/>
      </c>
    </row>
    <row r="57" customFormat="false" ht="33.75" hidden="false" customHeight="true" outlineLevel="0" collapsed="false">
      <c r="A57" s="17" t="s">
        <v>218</v>
      </c>
      <c r="B57" s="17" t="s">
        <v>219</v>
      </c>
      <c r="C57" s="14" t="s">
        <v>220</v>
      </c>
      <c r="D57" s="17" t="s">
        <v>61</v>
      </c>
      <c r="E57" s="18"/>
      <c r="F57" s="19"/>
      <c r="G57" s="17" t="s">
        <v>53</v>
      </c>
      <c r="H57" s="14" t="str">
        <f aca="false">IF($E57="","",IF($E57="R","Full worksheet, taught first",IF($E57="A","Work until 3 right in a row",IF($E57="G","2 question spot check in week 5",""))))</f>
        <v/>
      </c>
    </row>
  </sheetData>
  <conditionalFormatting sqref="E2:E57">
    <cfRule type="cellIs" priority="2" operator="equal" aboveAverage="0" equalAverage="0" bottom="0" percent="0" rank="0" text="" dxfId="0">
      <formula>"R"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"G"</formula>
    </cfRule>
  </conditionalFormatting>
  <dataValidations count="1">
    <dataValidation allowBlank="true" error="Enter R, A or G" errorStyle="stop" operator="between" prompt="R = cannot do it, A = shaky, G = confident" showDropDown="false" showErrorMessage="false" showInputMessage="false" sqref="E2:E57" type="list">
      <formula1>"R,A,G"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8" min="7" style="0" width="6"/>
    <col collapsed="false" customWidth="true" hidden="false" outlineLevel="0" max="9" min="9" style="0" width="7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16" t="s">
        <v>37</v>
      </c>
      <c r="B1" s="16" t="s">
        <v>38</v>
      </c>
      <c r="C1" s="16" t="s">
        <v>48</v>
      </c>
      <c r="D1" s="16" t="s">
        <v>41</v>
      </c>
      <c r="E1" s="16" t="s">
        <v>221</v>
      </c>
      <c r="F1" s="16" t="s">
        <v>222</v>
      </c>
      <c r="G1" s="16" t="s">
        <v>223</v>
      </c>
      <c r="H1" s="16" t="s">
        <v>224</v>
      </c>
      <c r="I1" s="16" t="s">
        <v>225</v>
      </c>
      <c r="J1" s="16" t="s">
        <v>226</v>
      </c>
      <c r="K1" s="16" t="s">
        <v>227</v>
      </c>
      <c r="L1" s="16" t="s">
        <v>228</v>
      </c>
    </row>
    <row r="2" customFormat="false" ht="15" hidden="false" customHeight="false" outlineLevel="0" collapsed="false">
      <c r="A2" s="5" t="s">
        <v>50</v>
      </c>
      <c r="B2" s="5" t="s">
        <v>51</v>
      </c>
      <c r="C2" s="5" t="s">
        <v>53</v>
      </c>
      <c r="D2" s="5" t="n">
        <f aca="false">'RAG tracker'!$E2</f>
        <v>0</v>
      </c>
      <c r="E2" s="5" t="s">
        <v>229</v>
      </c>
      <c r="F2" s="5" t="n">
        <v>13</v>
      </c>
      <c r="G2" s="20" t="s">
        <v>223</v>
      </c>
      <c r="H2" s="20" t="s">
        <v>224</v>
      </c>
      <c r="I2" s="20" t="s">
        <v>230</v>
      </c>
      <c r="J2" s="21"/>
      <c r="K2" s="21"/>
      <c r="L2" s="21"/>
    </row>
    <row r="3" customFormat="false" ht="15" hidden="false" customHeight="false" outlineLevel="0" collapsed="false">
      <c r="A3" s="5" t="s">
        <v>50</v>
      </c>
      <c r="B3" s="5" t="s">
        <v>51</v>
      </c>
      <c r="C3" s="5" t="s">
        <v>53</v>
      </c>
      <c r="D3" s="5" t="n">
        <f aca="false">'RAG tracker'!$E2</f>
        <v>0</v>
      </c>
      <c r="E3" s="5" t="s">
        <v>231</v>
      </c>
      <c r="F3" s="5" t="n">
        <v>13</v>
      </c>
      <c r="G3" s="20" t="s">
        <v>223</v>
      </c>
      <c r="H3" s="20" t="s">
        <v>224</v>
      </c>
      <c r="I3" s="20" t="s">
        <v>230</v>
      </c>
      <c r="J3" s="21"/>
      <c r="K3" s="21"/>
      <c r="L3" s="21"/>
    </row>
    <row r="4" customFormat="false" ht="15" hidden="false" customHeight="false" outlineLevel="0" collapsed="false">
      <c r="A4" s="5" t="s">
        <v>50</v>
      </c>
      <c r="B4" s="5" t="s">
        <v>51</v>
      </c>
      <c r="C4" s="5" t="s">
        <v>53</v>
      </c>
      <c r="D4" s="5" t="n">
        <f aca="false">'RAG tracker'!$E2</f>
        <v>0</v>
      </c>
      <c r="E4" s="5" t="s">
        <v>232</v>
      </c>
      <c r="F4" s="5" t="n">
        <v>13</v>
      </c>
      <c r="G4" s="20" t="s">
        <v>223</v>
      </c>
      <c r="H4" s="20" t="s">
        <v>224</v>
      </c>
      <c r="I4" s="20" t="s">
        <v>230</v>
      </c>
      <c r="J4" s="21"/>
      <c r="K4" s="21"/>
      <c r="L4" s="21"/>
    </row>
    <row r="5" customFormat="false" ht="15" hidden="false" customHeight="false" outlineLevel="0" collapsed="false">
      <c r="A5" s="5" t="s">
        <v>43</v>
      </c>
      <c r="B5" s="5" t="s">
        <v>44</v>
      </c>
      <c r="C5" s="5" t="s">
        <v>53</v>
      </c>
      <c r="D5" s="5" t="n">
        <f aca="false">'RAG tracker'!$E3</f>
        <v>0</v>
      </c>
      <c r="E5" s="5" t="s">
        <v>44</v>
      </c>
      <c r="F5" s="5" t="n">
        <v>13</v>
      </c>
      <c r="G5" s="20" t="s">
        <v>223</v>
      </c>
      <c r="H5" s="20" t="s">
        <v>224</v>
      </c>
      <c r="I5" s="20" t="s">
        <v>230</v>
      </c>
      <c r="J5" s="21"/>
      <c r="K5" s="21"/>
      <c r="L5" s="21"/>
    </row>
    <row r="6" customFormat="false" ht="15" hidden="false" customHeight="false" outlineLevel="0" collapsed="false">
      <c r="A6" s="5" t="s">
        <v>55</v>
      </c>
      <c r="B6" s="5" t="s">
        <v>56</v>
      </c>
      <c r="C6" s="5" t="s">
        <v>53</v>
      </c>
      <c r="D6" s="5" t="n">
        <f aca="false">'RAG tracker'!$E4</f>
        <v>0</v>
      </c>
      <c r="E6" s="5" t="s">
        <v>44</v>
      </c>
      <c r="F6" s="5" t="n">
        <v>13</v>
      </c>
      <c r="G6" s="20" t="s">
        <v>223</v>
      </c>
      <c r="H6" s="20" t="s">
        <v>224</v>
      </c>
      <c r="I6" s="20" t="s">
        <v>230</v>
      </c>
      <c r="J6" s="21"/>
      <c r="K6" s="21"/>
      <c r="L6" s="21"/>
    </row>
    <row r="7" customFormat="false" ht="15" hidden="false" customHeight="false" outlineLevel="0" collapsed="false">
      <c r="A7" s="5" t="s">
        <v>58</v>
      </c>
      <c r="B7" s="5" t="s">
        <v>59</v>
      </c>
      <c r="C7" s="5" t="s">
        <v>62</v>
      </c>
      <c r="D7" s="5" t="n">
        <f aca="false">'RAG tracker'!$E5</f>
        <v>0</v>
      </c>
      <c r="E7" s="5" t="s">
        <v>233</v>
      </c>
      <c r="F7" s="5" t="n">
        <v>13</v>
      </c>
      <c r="G7" s="20" t="s">
        <v>223</v>
      </c>
      <c r="H7" s="20" t="s">
        <v>224</v>
      </c>
      <c r="I7" s="20" t="s">
        <v>230</v>
      </c>
      <c r="J7" s="21"/>
      <c r="K7" s="21"/>
      <c r="L7" s="21"/>
    </row>
    <row r="8" customFormat="false" ht="15" hidden="false" customHeight="false" outlineLevel="0" collapsed="false">
      <c r="A8" s="5" t="s">
        <v>63</v>
      </c>
      <c r="B8" s="5" t="s">
        <v>64</v>
      </c>
      <c r="C8" s="5" t="s">
        <v>53</v>
      </c>
      <c r="D8" s="5" t="n">
        <f aca="false">'RAG tracker'!$E6</f>
        <v>0</v>
      </c>
      <c r="E8" s="5" t="s">
        <v>234</v>
      </c>
      <c r="F8" s="5" t="n">
        <v>13</v>
      </c>
      <c r="G8" s="20" t="s">
        <v>223</v>
      </c>
      <c r="H8" s="20" t="s">
        <v>224</v>
      </c>
      <c r="I8" s="20" t="s">
        <v>230</v>
      </c>
      <c r="J8" s="21"/>
      <c r="K8" s="21"/>
      <c r="L8" s="21"/>
    </row>
    <row r="9" customFormat="false" ht="15" hidden="false" customHeight="false" outlineLevel="0" collapsed="false">
      <c r="A9" s="5" t="s">
        <v>63</v>
      </c>
      <c r="B9" s="5" t="s">
        <v>64</v>
      </c>
      <c r="C9" s="5" t="s">
        <v>53</v>
      </c>
      <c r="D9" s="5" t="n">
        <f aca="false">'RAG tracker'!$E6</f>
        <v>0</v>
      </c>
      <c r="E9" s="5" t="s">
        <v>235</v>
      </c>
      <c r="F9" s="5" t="n">
        <v>13</v>
      </c>
      <c r="G9" s="20" t="s">
        <v>223</v>
      </c>
      <c r="H9" s="20" t="s">
        <v>224</v>
      </c>
      <c r="I9" s="20" t="s">
        <v>230</v>
      </c>
      <c r="J9" s="21"/>
      <c r="K9" s="21"/>
      <c r="L9" s="21"/>
    </row>
    <row r="10" customFormat="false" ht="15" hidden="false" customHeight="false" outlineLevel="0" collapsed="false">
      <c r="A10" s="5" t="s">
        <v>63</v>
      </c>
      <c r="B10" s="5" t="s">
        <v>64</v>
      </c>
      <c r="C10" s="5" t="s">
        <v>53</v>
      </c>
      <c r="D10" s="5" t="n">
        <f aca="false">'RAG tracker'!$E6</f>
        <v>0</v>
      </c>
      <c r="E10" s="5" t="s">
        <v>231</v>
      </c>
      <c r="F10" s="5" t="n">
        <v>13</v>
      </c>
      <c r="G10" s="20" t="s">
        <v>223</v>
      </c>
      <c r="H10" s="20" t="s">
        <v>224</v>
      </c>
      <c r="I10" s="20" t="s">
        <v>230</v>
      </c>
      <c r="J10" s="21"/>
      <c r="K10" s="21"/>
      <c r="L10" s="21"/>
    </row>
    <row r="11" customFormat="false" ht="15" hidden="false" customHeight="false" outlineLevel="0" collapsed="false">
      <c r="A11" s="5" t="s">
        <v>66</v>
      </c>
      <c r="B11" s="5" t="s">
        <v>67</v>
      </c>
      <c r="C11" s="5" t="s">
        <v>62</v>
      </c>
      <c r="D11" s="5" t="n">
        <f aca="false">'RAG tracker'!$E7</f>
        <v>0</v>
      </c>
      <c r="E11" s="5" t="s">
        <v>236</v>
      </c>
      <c r="F11" s="5" t="n">
        <v>13</v>
      </c>
      <c r="G11" s="20" t="s">
        <v>223</v>
      </c>
      <c r="H11" s="20" t="s">
        <v>224</v>
      </c>
      <c r="I11" s="20" t="s">
        <v>230</v>
      </c>
      <c r="J11" s="21"/>
      <c r="K11" s="21"/>
      <c r="L11" s="21"/>
    </row>
    <row r="12" customFormat="false" ht="15" hidden="false" customHeight="false" outlineLevel="0" collapsed="false">
      <c r="A12" s="5" t="s">
        <v>66</v>
      </c>
      <c r="B12" s="5" t="s">
        <v>67</v>
      </c>
      <c r="C12" s="5" t="s">
        <v>62</v>
      </c>
      <c r="D12" s="5" t="n">
        <f aca="false">'RAG tracker'!$E7</f>
        <v>0</v>
      </c>
      <c r="E12" s="5" t="s">
        <v>235</v>
      </c>
      <c r="F12" s="5" t="n">
        <v>13</v>
      </c>
      <c r="G12" s="20" t="s">
        <v>223</v>
      </c>
      <c r="H12" s="20" t="s">
        <v>224</v>
      </c>
      <c r="I12" s="20" t="s">
        <v>230</v>
      </c>
      <c r="J12" s="21"/>
      <c r="K12" s="21"/>
      <c r="L12" s="21"/>
    </row>
    <row r="13" customFormat="false" ht="15" hidden="false" customHeight="false" outlineLevel="0" collapsed="false">
      <c r="A13" s="5" t="s">
        <v>69</v>
      </c>
      <c r="B13" s="5" t="s">
        <v>70</v>
      </c>
      <c r="C13" s="5" t="s">
        <v>53</v>
      </c>
      <c r="D13" s="5" t="n">
        <f aca="false">'RAG tracker'!$E8</f>
        <v>0</v>
      </c>
      <c r="E13" s="5" t="s">
        <v>237</v>
      </c>
      <c r="F13" s="5" t="n">
        <v>13</v>
      </c>
      <c r="G13" s="20" t="s">
        <v>223</v>
      </c>
      <c r="H13" s="20" t="s">
        <v>224</v>
      </c>
      <c r="I13" s="20" t="s">
        <v>230</v>
      </c>
      <c r="J13" s="21"/>
      <c r="K13" s="21"/>
      <c r="L13" s="21"/>
    </row>
    <row r="14" customFormat="false" ht="15" hidden="false" customHeight="false" outlineLevel="0" collapsed="false">
      <c r="A14" s="5" t="s">
        <v>73</v>
      </c>
      <c r="B14" s="5" t="s">
        <v>74</v>
      </c>
      <c r="C14" s="5" t="s">
        <v>53</v>
      </c>
      <c r="D14" s="5" t="n">
        <f aca="false">'RAG tracker'!$E9</f>
        <v>0</v>
      </c>
      <c r="E14" s="5" t="s">
        <v>74</v>
      </c>
      <c r="F14" s="5" t="n">
        <v>13</v>
      </c>
      <c r="G14" s="20" t="s">
        <v>223</v>
      </c>
      <c r="H14" s="20" t="s">
        <v>224</v>
      </c>
      <c r="I14" s="20" t="s">
        <v>230</v>
      </c>
      <c r="J14" s="21"/>
      <c r="K14" s="21"/>
      <c r="L14" s="21"/>
    </row>
    <row r="15" customFormat="false" ht="15" hidden="false" customHeight="false" outlineLevel="0" collapsed="false">
      <c r="A15" s="5" t="s">
        <v>73</v>
      </c>
      <c r="B15" s="5" t="s">
        <v>74</v>
      </c>
      <c r="C15" s="5" t="s">
        <v>53</v>
      </c>
      <c r="D15" s="5" t="n">
        <f aca="false">'RAG tracker'!$E9</f>
        <v>0</v>
      </c>
      <c r="E15" s="5" t="s">
        <v>238</v>
      </c>
      <c r="F15" s="5" t="n">
        <v>13</v>
      </c>
      <c r="G15" s="20" t="s">
        <v>223</v>
      </c>
      <c r="H15" s="20" t="s">
        <v>224</v>
      </c>
      <c r="I15" s="20" t="s">
        <v>230</v>
      </c>
      <c r="J15" s="21"/>
      <c r="K15" s="21"/>
      <c r="L15" s="21"/>
    </row>
    <row r="16" customFormat="false" ht="15" hidden="false" customHeight="false" outlineLevel="0" collapsed="false">
      <c r="A16" s="5" t="s">
        <v>73</v>
      </c>
      <c r="B16" s="5" t="s">
        <v>74</v>
      </c>
      <c r="C16" s="5" t="s">
        <v>53</v>
      </c>
      <c r="D16" s="5" t="n">
        <f aca="false">'RAG tracker'!$E9</f>
        <v>0</v>
      </c>
      <c r="E16" s="5" t="s">
        <v>239</v>
      </c>
      <c r="F16" s="5" t="n">
        <v>13</v>
      </c>
      <c r="G16" s="20" t="s">
        <v>223</v>
      </c>
      <c r="H16" s="20" t="s">
        <v>224</v>
      </c>
      <c r="I16" s="20" t="s">
        <v>230</v>
      </c>
      <c r="J16" s="21"/>
      <c r="K16" s="21"/>
      <c r="L16" s="21"/>
    </row>
    <row r="17" customFormat="false" ht="15" hidden="false" customHeight="false" outlineLevel="0" collapsed="false">
      <c r="A17" s="5" t="s">
        <v>76</v>
      </c>
      <c r="B17" s="5" t="s">
        <v>77</v>
      </c>
      <c r="C17" s="5" t="s">
        <v>53</v>
      </c>
      <c r="D17" s="5" t="n">
        <f aca="false">'RAG tracker'!$E10</f>
        <v>0</v>
      </c>
      <c r="E17" s="5" t="s">
        <v>240</v>
      </c>
      <c r="F17" s="5" t="n">
        <v>13</v>
      </c>
      <c r="G17" s="20" t="s">
        <v>223</v>
      </c>
      <c r="H17" s="20" t="s">
        <v>224</v>
      </c>
      <c r="I17" s="20" t="s">
        <v>230</v>
      </c>
      <c r="J17" s="21"/>
      <c r="K17" s="21"/>
      <c r="L17" s="21"/>
    </row>
    <row r="18" customFormat="false" ht="15" hidden="false" customHeight="false" outlineLevel="0" collapsed="false">
      <c r="A18" s="5" t="s">
        <v>76</v>
      </c>
      <c r="B18" s="5" t="s">
        <v>77</v>
      </c>
      <c r="C18" s="5" t="s">
        <v>53</v>
      </c>
      <c r="D18" s="5" t="n">
        <f aca="false">'RAG tracker'!$E10</f>
        <v>0</v>
      </c>
      <c r="E18" s="5" t="s">
        <v>241</v>
      </c>
      <c r="F18" s="5" t="n">
        <v>13</v>
      </c>
      <c r="G18" s="20" t="s">
        <v>223</v>
      </c>
      <c r="H18" s="20" t="s">
        <v>224</v>
      </c>
      <c r="I18" s="20" t="s">
        <v>230</v>
      </c>
      <c r="J18" s="21"/>
      <c r="K18" s="21"/>
      <c r="L18" s="21"/>
    </row>
    <row r="19" customFormat="false" ht="15" hidden="false" customHeight="false" outlineLevel="0" collapsed="false">
      <c r="A19" s="5" t="s">
        <v>76</v>
      </c>
      <c r="B19" s="5" t="s">
        <v>77</v>
      </c>
      <c r="C19" s="5" t="s">
        <v>53</v>
      </c>
      <c r="D19" s="5" t="n">
        <f aca="false">'RAG tracker'!$E10</f>
        <v>0</v>
      </c>
      <c r="E19" s="5" t="s">
        <v>242</v>
      </c>
      <c r="F19" s="5" t="n">
        <v>13</v>
      </c>
      <c r="G19" s="20" t="s">
        <v>223</v>
      </c>
      <c r="H19" s="20" t="s">
        <v>224</v>
      </c>
      <c r="I19" s="20" t="s">
        <v>230</v>
      </c>
      <c r="J19" s="21"/>
      <c r="K19" s="21"/>
      <c r="L19" s="21"/>
    </row>
    <row r="20" customFormat="false" ht="15" hidden="false" customHeight="false" outlineLevel="0" collapsed="false">
      <c r="A20" s="5" t="s">
        <v>76</v>
      </c>
      <c r="B20" s="5" t="s">
        <v>77</v>
      </c>
      <c r="C20" s="5" t="s">
        <v>53</v>
      </c>
      <c r="D20" s="5" t="n">
        <f aca="false">'RAG tracker'!$E10</f>
        <v>0</v>
      </c>
      <c r="E20" s="5" t="s">
        <v>243</v>
      </c>
      <c r="F20" s="5" t="n">
        <v>13</v>
      </c>
      <c r="G20" s="20" t="s">
        <v>223</v>
      </c>
      <c r="H20" s="20" t="s">
        <v>224</v>
      </c>
      <c r="I20" s="20" t="s">
        <v>230</v>
      </c>
      <c r="J20" s="21"/>
      <c r="K20" s="21"/>
      <c r="L20" s="21"/>
    </row>
    <row r="21" customFormat="false" ht="15" hidden="false" customHeight="false" outlineLevel="0" collapsed="false">
      <c r="A21" s="5" t="s">
        <v>79</v>
      </c>
      <c r="B21" s="5" t="s">
        <v>80</v>
      </c>
      <c r="C21" s="5" t="s">
        <v>53</v>
      </c>
      <c r="D21" s="5" t="n">
        <f aca="false">'RAG tracker'!$E11</f>
        <v>0</v>
      </c>
      <c r="E21" s="5" t="s">
        <v>244</v>
      </c>
      <c r="F21" s="5" t="n">
        <v>13</v>
      </c>
      <c r="G21" s="20" t="s">
        <v>223</v>
      </c>
      <c r="H21" s="20" t="s">
        <v>224</v>
      </c>
      <c r="I21" s="20" t="s">
        <v>230</v>
      </c>
      <c r="J21" s="21"/>
      <c r="K21" s="21"/>
      <c r="L21" s="21"/>
    </row>
    <row r="22" customFormat="false" ht="15" hidden="false" customHeight="false" outlineLevel="0" collapsed="false">
      <c r="A22" s="5" t="s">
        <v>79</v>
      </c>
      <c r="B22" s="5" t="s">
        <v>80</v>
      </c>
      <c r="C22" s="5" t="s">
        <v>53</v>
      </c>
      <c r="D22" s="5" t="n">
        <f aca="false">'RAG tracker'!$E11</f>
        <v>0</v>
      </c>
      <c r="E22" s="5" t="s">
        <v>245</v>
      </c>
      <c r="F22" s="5" t="n">
        <v>13</v>
      </c>
      <c r="G22" s="20" t="s">
        <v>223</v>
      </c>
      <c r="H22" s="20" t="s">
        <v>224</v>
      </c>
      <c r="I22" s="20" t="s">
        <v>230</v>
      </c>
      <c r="J22" s="21"/>
      <c r="K22" s="21"/>
      <c r="L22" s="21"/>
    </row>
    <row r="23" customFormat="false" ht="15" hidden="false" customHeight="false" outlineLevel="0" collapsed="false">
      <c r="A23" s="5" t="s">
        <v>82</v>
      </c>
      <c r="B23" s="5" t="s">
        <v>83</v>
      </c>
      <c r="C23" s="5" t="s">
        <v>62</v>
      </c>
      <c r="D23" s="5" t="n">
        <f aca="false">'RAG tracker'!$E12</f>
        <v>0</v>
      </c>
      <c r="E23" s="5" t="s">
        <v>246</v>
      </c>
      <c r="F23" s="5" t="n">
        <v>13</v>
      </c>
      <c r="G23" s="20" t="s">
        <v>223</v>
      </c>
      <c r="H23" s="20" t="s">
        <v>224</v>
      </c>
      <c r="I23" s="20" t="s">
        <v>230</v>
      </c>
      <c r="J23" s="21"/>
      <c r="K23" s="21"/>
      <c r="L23" s="21"/>
    </row>
    <row r="24" customFormat="false" ht="15" hidden="false" customHeight="false" outlineLevel="0" collapsed="false">
      <c r="A24" s="5" t="s">
        <v>85</v>
      </c>
      <c r="B24" s="5" t="s">
        <v>86</v>
      </c>
      <c r="C24" s="5" t="s">
        <v>53</v>
      </c>
      <c r="D24" s="5" t="n">
        <f aca="false">'RAG tracker'!$E13</f>
        <v>0</v>
      </c>
      <c r="E24" s="5" t="s">
        <v>247</v>
      </c>
      <c r="F24" s="5" t="n">
        <v>13</v>
      </c>
      <c r="G24" s="20" t="s">
        <v>223</v>
      </c>
      <c r="H24" s="20" t="s">
        <v>224</v>
      </c>
      <c r="I24" s="20" t="s">
        <v>230</v>
      </c>
      <c r="J24" s="21"/>
      <c r="K24" s="21"/>
      <c r="L24" s="21"/>
    </row>
    <row r="25" customFormat="false" ht="15" hidden="false" customHeight="false" outlineLevel="0" collapsed="false">
      <c r="A25" s="5" t="s">
        <v>88</v>
      </c>
      <c r="B25" s="5" t="s">
        <v>89</v>
      </c>
      <c r="C25" s="5" t="s">
        <v>53</v>
      </c>
      <c r="D25" s="5" t="n">
        <f aca="false">'RAG tracker'!$E14</f>
        <v>0</v>
      </c>
      <c r="E25" s="5" t="s">
        <v>248</v>
      </c>
      <c r="F25" s="5" t="n">
        <v>13</v>
      </c>
      <c r="G25" s="20" t="s">
        <v>223</v>
      </c>
      <c r="H25" s="20" t="s">
        <v>224</v>
      </c>
      <c r="I25" s="20" t="s">
        <v>230</v>
      </c>
      <c r="J25" s="21"/>
      <c r="K25" s="21"/>
      <c r="L25" s="21"/>
    </row>
    <row r="26" customFormat="false" ht="15" hidden="false" customHeight="false" outlineLevel="0" collapsed="false">
      <c r="A26" s="5" t="s">
        <v>88</v>
      </c>
      <c r="B26" s="5" t="s">
        <v>89</v>
      </c>
      <c r="C26" s="5" t="s">
        <v>53</v>
      </c>
      <c r="D26" s="5" t="n">
        <f aca="false">'RAG tracker'!$E14</f>
        <v>0</v>
      </c>
      <c r="E26" s="5" t="s">
        <v>249</v>
      </c>
      <c r="F26" s="5" t="n">
        <v>13</v>
      </c>
      <c r="G26" s="20" t="s">
        <v>223</v>
      </c>
      <c r="H26" s="20" t="s">
        <v>224</v>
      </c>
      <c r="I26" s="20" t="s">
        <v>230</v>
      </c>
      <c r="J26" s="21"/>
      <c r="K26" s="21"/>
      <c r="L26" s="21"/>
    </row>
    <row r="27" customFormat="false" ht="15" hidden="false" customHeight="false" outlineLevel="0" collapsed="false">
      <c r="A27" s="5" t="s">
        <v>88</v>
      </c>
      <c r="B27" s="5" t="s">
        <v>89</v>
      </c>
      <c r="C27" s="5" t="s">
        <v>53</v>
      </c>
      <c r="D27" s="5" t="n">
        <f aca="false">'RAG tracker'!$E14</f>
        <v>0</v>
      </c>
      <c r="E27" s="5" t="s">
        <v>232</v>
      </c>
      <c r="F27" s="5" t="n">
        <v>13</v>
      </c>
      <c r="G27" s="20" t="s">
        <v>223</v>
      </c>
      <c r="H27" s="20" t="s">
        <v>224</v>
      </c>
      <c r="I27" s="20" t="s">
        <v>230</v>
      </c>
      <c r="J27" s="21"/>
      <c r="K27" s="21"/>
      <c r="L27" s="21"/>
    </row>
    <row r="28" customFormat="false" ht="15" hidden="false" customHeight="false" outlineLevel="0" collapsed="false">
      <c r="A28" s="5" t="s">
        <v>91</v>
      </c>
      <c r="B28" s="5" t="s">
        <v>92</v>
      </c>
      <c r="C28" s="5" t="s">
        <v>53</v>
      </c>
      <c r="D28" s="5" t="n">
        <f aca="false">'RAG tracker'!$E15</f>
        <v>0</v>
      </c>
      <c r="E28" s="5" t="s">
        <v>250</v>
      </c>
      <c r="F28" s="5"/>
      <c r="G28" s="5"/>
      <c r="H28" s="5"/>
      <c r="I28" s="5"/>
      <c r="J28" s="5"/>
      <c r="K28" s="5"/>
      <c r="L28" s="5"/>
    </row>
    <row r="29" customFormat="false" ht="15" hidden="false" customHeight="false" outlineLevel="0" collapsed="false">
      <c r="A29" s="5" t="s">
        <v>94</v>
      </c>
      <c r="B29" s="5" t="s">
        <v>95</v>
      </c>
      <c r="C29" s="5" t="s">
        <v>53</v>
      </c>
      <c r="D29" s="5" t="n">
        <f aca="false">'RAG tracker'!$E16</f>
        <v>0</v>
      </c>
      <c r="E29" s="5" t="s">
        <v>251</v>
      </c>
      <c r="F29" s="5" t="n">
        <v>13</v>
      </c>
      <c r="G29" s="20" t="s">
        <v>223</v>
      </c>
      <c r="H29" s="20" t="s">
        <v>224</v>
      </c>
      <c r="I29" s="20" t="s">
        <v>230</v>
      </c>
      <c r="J29" s="21"/>
      <c r="K29" s="21"/>
      <c r="L29" s="21"/>
    </row>
    <row r="30" customFormat="false" ht="15" hidden="false" customHeight="false" outlineLevel="0" collapsed="false">
      <c r="A30" s="5" t="s">
        <v>94</v>
      </c>
      <c r="B30" s="5" t="s">
        <v>95</v>
      </c>
      <c r="C30" s="5" t="s">
        <v>53</v>
      </c>
      <c r="D30" s="5" t="n">
        <f aca="false">'RAG tracker'!$E16</f>
        <v>0</v>
      </c>
      <c r="E30" s="5" t="s">
        <v>235</v>
      </c>
      <c r="F30" s="5" t="n">
        <v>13</v>
      </c>
      <c r="G30" s="20" t="s">
        <v>223</v>
      </c>
      <c r="H30" s="20" t="s">
        <v>224</v>
      </c>
      <c r="I30" s="20" t="s">
        <v>230</v>
      </c>
      <c r="J30" s="21"/>
      <c r="K30" s="21"/>
      <c r="L30" s="21"/>
    </row>
    <row r="31" customFormat="false" ht="15" hidden="false" customHeight="false" outlineLevel="0" collapsed="false">
      <c r="A31" s="5" t="s">
        <v>97</v>
      </c>
      <c r="B31" s="5" t="s">
        <v>98</v>
      </c>
      <c r="C31" s="5" t="s">
        <v>53</v>
      </c>
      <c r="D31" s="5" t="n">
        <f aca="false">'RAG tracker'!$E17</f>
        <v>0</v>
      </c>
      <c r="E31" s="5" t="s">
        <v>252</v>
      </c>
      <c r="F31" s="5" t="n">
        <v>13</v>
      </c>
      <c r="G31" s="20" t="s">
        <v>223</v>
      </c>
      <c r="H31" s="20" t="s">
        <v>224</v>
      </c>
      <c r="I31" s="20" t="s">
        <v>230</v>
      </c>
      <c r="J31" s="21"/>
      <c r="K31" s="21"/>
      <c r="L31" s="21"/>
    </row>
    <row r="32" customFormat="false" ht="15" hidden="false" customHeight="false" outlineLevel="0" collapsed="false">
      <c r="A32" s="5" t="s">
        <v>97</v>
      </c>
      <c r="B32" s="5" t="s">
        <v>98</v>
      </c>
      <c r="C32" s="5" t="s">
        <v>53</v>
      </c>
      <c r="D32" s="5" t="n">
        <f aca="false">'RAG tracker'!$E17</f>
        <v>0</v>
      </c>
      <c r="E32" s="5" t="s">
        <v>253</v>
      </c>
      <c r="F32" s="5" t="n">
        <v>13</v>
      </c>
      <c r="G32" s="20" t="s">
        <v>223</v>
      </c>
      <c r="H32" s="20" t="s">
        <v>224</v>
      </c>
      <c r="I32" s="20" t="s">
        <v>230</v>
      </c>
      <c r="J32" s="21"/>
      <c r="K32" s="21"/>
      <c r="L32" s="21"/>
    </row>
    <row r="33" customFormat="false" ht="15" hidden="false" customHeight="false" outlineLevel="0" collapsed="false">
      <c r="A33" s="5" t="s">
        <v>97</v>
      </c>
      <c r="B33" s="5" t="s">
        <v>98</v>
      </c>
      <c r="C33" s="5" t="s">
        <v>53</v>
      </c>
      <c r="D33" s="5" t="n">
        <f aca="false">'RAG tracker'!$E17</f>
        <v>0</v>
      </c>
      <c r="E33" s="5" t="s">
        <v>251</v>
      </c>
      <c r="F33" s="5" t="n">
        <v>13</v>
      </c>
      <c r="G33" s="20" t="s">
        <v>223</v>
      </c>
      <c r="H33" s="20" t="s">
        <v>224</v>
      </c>
      <c r="I33" s="20" t="s">
        <v>230</v>
      </c>
      <c r="J33" s="21"/>
      <c r="K33" s="21"/>
      <c r="L33" s="21"/>
    </row>
    <row r="34" customFormat="false" ht="15" hidden="false" customHeight="false" outlineLevel="0" collapsed="false">
      <c r="A34" s="5" t="s">
        <v>97</v>
      </c>
      <c r="B34" s="5" t="s">
        <v>98</v>
      </c>
      <c r="C34" s="5" t="s">
        <v>53</v>
      </c>
      <c r="D34" s="5" t="n">
        <f aca="false">'RAG tracker'!$E17</f>
        <v>0</v>
      </c>
      <c r="E34" s="5" t="s">
        <v>254</v>
      </c>
      <c r="F34" s="5" t="n">
        <v>13</v>
      </c>
      <c r="G34" s="20" t="s">
        <v>223</v>
      </c>
      <c r="H34" s="20" t="s">
        <v>224</v>
      </c>
      <c r="I34" s="20" t="s">
        <v>230</v>
      </c>
      <c r="J34" s="21"/>
      <c r="K34" s="21"/>
      <c r="L34" s="21"/>
    </row>
    <row r="35" customFormat="false" ht="15" hidden="false" customHeight="false" outlineLevel="0" collapsed="false">
      <c r="A35" s="5" t="s">
        <v>100</v>
      </c>
      <c r="B35" s="5" t="s">
        <v>101</v>
      </c>
      <c r="C35" s="5" t="s">
        <v>62</v>
      </c>
      <c r="D35" s="5" t="n">
        <f aca="false">'RAG tracker'!$E18</f>
        <v>0</v>
      </c>
      <c r="E35" s="5" t="s">
        <v>255</v>
      </c>
      <c r="F35" s="5" t="n">
        <v>13</v>
      </c>
      <c r="G35" s="20" t="s">
        <v>223</v>
      </c>
      <c r="H35" s="20" t="s">
        <v>224</v>
      </c>
      <c r="I35" s="20" t="s">
        <v>230</v>
      </c>
      <c r="J35" s="21"/>
      <c r="K35" s="21"/>
      <c r="L35" s="21"/>
    </row>
    <row r="36" customFormat="false" ht="15" hidden="false" customHeight="false" outlineLevel="0" collapsed="false">
      <c r="A36" s="5" t="s">
        <v>100</v>
      </c>
      <c r="B36" s="5" t="s">
        <v>101</v>
      </c>
      <c r="C36" s="5" t="s">
        <v>62</v>
      </c>
      <c r="D36" s="5" t="n">
        <f aca="false">'RAG tracker'!$E18</f>
        <v>0</v>
      </c>
      <c r="E36" s="5" t="s">
        <v>256</v>
      </c>
      <c r="F36" s="5" t="n">
        <v>13</v>
      </c>
      <c r="G36" s="20" t="s">
        <v>223</v>
      </c>
      <c r="H36" s="20" t="s">
        <v>224</v>
      </c>
      <c r="I36" s="20" t="s">
        <v>230</v>
      </c>
      <c r="J36" s="21"/>
      <c r="K36" s="21"/>
      <c r="L36" s="21"/>
    </row>
    <row r="37" customFormat="false" ht="15" hidden="false" customHeight="false" outlineLevel="0" collapsed="false">
      <c r="A37" s="5" t="s">
        <v>100</v>
      </c>
      <c r="B37" s="5" t="s">
        <v>101</v>
      </c>
      <c r="C37" s="5" t="s">
        <v>62</v>
      </c>
      <c r="D37" s="5" t="n">
        <f aca="false">'RAG tracker'!$E18</f>
        <v>0</v>
      </c>
      <c r="E37" s="5" t="s">
        <v>257</v>
      </c>
      <c r="F37" s="5" t="n">
        <v>13</v>
      </c>
      <c r="G37" s="20" t="s">
        <v>223</v>
      </c>
      <c r="H37" s="20" t="s">
        <v>224</v>
      </c>
      <c r="I37" s="20" t="s">
        <v>230</v>
      </c>
      <c r="J37" s="21"/>
      <c r="K37" s="21"/>
      <c r="L37" s="21"/>
    </row>
    <row r="38" customFormat="false" ht="15" hidden="false" customHeight="false" outlineLevel="0" collapsed="false">
      <c r="A38" s="5" t="s">
        <v>100</v>
      </c>
      <c r="B38" s="5" t="s">
        <v>101</v>
      </c>
      <c r="C38" s="5" t="s">
        <v>62</v>
      </c>
      <c r="D38" s="5" t="n">
        <f aca="false">'RAG tracker'!$E18</f>
        <v>0</v>
      </c>
      <c r="E38" s="5" t="s">
        <v>258</v>
      </c>
      <c r="F38" s="5" t="n">
        <v>13</v>
      </c>
      <c r="G38" s="20" t="s">
        <v>223</v>
      </c>
      <c r="H38" s="20" t="s">
        <v>224</v>
      </c>
      <c r="I38" s="20" t="s">
        <v>230</v>
      </c>
      <c r="J38" s="21"/>
      <c r="K38" s="21"/>
      <c r="L38" s="21"/>
    </row>
    <row r="39" customFormat="false" ht="15" hidden="false" customHeight="false" outlineLevel="0" collapsed="false">
      <c r="A39" s="5" t="s">
        <v>103</v>
      </c>
      <c r="B39" s="5" t="s">
        <v>104</v>
      </c>
      <c r="C39" s="5" t="s">
        <v>53</v>
      </c>
      <c r="D39" s="5" t="n">
        <f aca="false">'RAG tracker'!$E19</f>
        <v>0</v>
      </c>
      <c r="E39" s="5" t="s">
        <v>259</v>
      </c>
      <c r="F39" s="5" t="n">
        <v>13</v>
      </c>
      <c r="G39" s="20" t="s">
        <v>223</v>
      </c>
      <c r="H39" s="20" t="s">
        <v>224</v>
      </c>
      <c r="I39" s="20" t="s">
        <v>230</v>
      </c>
      <c r="J39" s="21"/>
      <c r="K39" s="21"/>
      <c r="L39" s="21"/>
    </row>
    <row r="40" customFormat="false" ht="15" hidden="false" customHeight="false" outlineLevel="0" collapsed="false">
      <c r="A40" s="5" t="s">
        <v>103</v>
      </c>
      <c r="B40" s="5" t="s">
        <v>104</v>
      </c>
      <c r="C40" s="5" t="s">
        <v>53</v>
      </c>
      <c r="D40" s="5" t="n">
        <f aca="false">'RAG tracker'!$E19</f>
        <v>0</v>
      </c>
      <c r="E40" s="5" t="s">
        <v>260</v>
      </c>
      <c r="F40" s="5" t="n">
        <v>13</v>
      </c>
      <c r="G40" s="20" t="s">
        <v>223</v>
      </c>
      <c r="H40" s="20" t="s">
        <v>224</v>
      </c>
      <c r="I40" s="20" t="s">
        <v>230</v>
      </c>
      <c r="J40" s="21"/>
      <c r="K40" s="21"/>
      <c r="L40" s="21"/>
    </row>
    <row r="41" customFormat="false" ht="15" hidden="false" customHeight="false" outlineLevel="0" collapsed="false">
      <c r="A41" s="5" t="s">
        <v>103</v>
      </c>
      <c r="B41" s="5" t="s">
        <v>104</v>
      </c>
      <c r="C41" s="5" t="s">
        <v>53</v>
      </c>
      <c r="D41" s="5" t="n">
        <f aca="false">'RAG tracker'!$E19</f>
        <v>0</v>
      </c>
      <c r="E41" s="5" t="s">
        <v>261</v>
      </c>
      <c r="F41" s="5" t="n">
        <v>13</v>
      </c>
      <c r="G41" s="20" t="s">
        <v>223</v>
      </c>
      <c r="H41" s="20" t="s">
        <v>224</v>
      </c>
      <c r="I41" s="20" t="s">
        <v>230</v>
      </c>
      <c r="J41" s="21"/>
      <c r="K41" s="21"/>
      <c r="L41" s="21"/>
    </row>
    <row r="42" customFormat="false" ht="15" hidden="false" customHeight="false" outlineLevel="0" collapsed="false">
      <c r="A42" s="5" t="s">
        <v>106</v>
      </c>
      <c r="B42" s="5" t="s">
        <v>107</v>
      </c>
      <c r="C42" s="5" t="s">
        <v>53</v>
      </c>
      <c r="D42" s="5" t="n">
        <f aca="false">'RAG tracker'!$E20</f>
        <v>0</v>
      </c>
      <c r="E42" s="5" t="s">
        <v>262</v>
      </c>
      <c r="F42" s="5" t="n">
        <v>13</v>
      </c>
      <c r="G42" s="20" t="s">
        <v>223</v>
      </c>
      <c r="H42" s="20" t="s">
        <v>224</v>
      </c>
      <c r="I42" s="20" t="s">
        <v>230</v>
      </c>
      <c r="J42" s="21"/>
      <c r="K42" s="21"/>
      <c r="L42" s="21"/>
    </row>
    <row r="43" customFormat="false" ht="15" hidden="false" customHeight="false" outlineLevel="0" collapsed="false">
      <c r="A43" s="5" t="s">
        <v>109</v>
      </c>
      <c r="B43" s="5" t="s">
        <v>110</v>
      </c>
      <c r="C43" s="5" t="s">
        <v>112</v>
      </c>
      <c r="D43" s="5" t="n">
        <f aca="false">'RAG tracker'!$E21</f>
        <v>0</v>
      </c>
      <c r="E43" s="5" t="s">
        <v>263</v>
      </c>
      <c r="F43" s="5" t="n">
        <v>13</v>
      </c>
      <c r="G43" s="20" t="s">
        <v>223</v>
      </c>
      <c r="H43" s="20" t="s">
        <v>224</v>
      </c>
      <c r="I43" s="20" t="s">
        <v>230</v>
      </c>
      <c r="J43" s="21"/>
      <c r="K43" s="21"/>
      <c r="L43" s="21"/>
    </row>
    <row r="44" customFormat="false" ht="15" hidden="false" customHeight="false" outlineLevel="0" collapsed="false">
      <c r="A44" s="5" t="s">
        <v>109</v>
      </c>
      <c r="B44" s="5" t="s">
        <v>110</v>
      </c>
      <c r="C44" s="5" t="s">
        <v>112</v>
      </c>
      <c r="D44" s="5" t="n">
        <f aca="false">'RAG tracker'!$E21</f>
        <v>0</v>
      </c>
      <c r="E44" s="5" t="s">
        <v>264</v>
      </c>
      <c r="F44" s="5" t="n">
        <v>13</v>
      </c>
      <c r="G44" s="20" t="s">
        <v>223</v>
      </c>
      <c r="H44" s="20" t="s">
        <v>224</v>
      </c>
      <c r="I44" s="20" t="s">
        <v>230</v>
      </c>
      <c r="J44" s="21"/>
      <c r="K44" s="21"/>
      <c r="L44" s="21"/>
    </row>
    <row r="45" customFormat="false" ht="15" hidden="false" customHeight="false" outlineLevel="0" collapsed="false">
      <c r="A45" s="5" t="s">
        <v>113</v>
      </c>
      <c r="B45" s="5" t="s">
        <v>114</v>
      </c>
      <c r="C45" s="5" t="s">
        <v>53</v>
      </c>
      <c r="D45" s="5" t="n">
        <f aca="false">'RAG tracker'!$E22</f>
        <v>0</v>
      </c>
      <c r="E45" s="5" t="s">
        <v>265</v>
      </c>
      <c r="F45" s="5" t="n">
        <v>13</v>
      </c>
      <c r="G45" s="20" t="s">
        <v>223</v>
      </c>
      <c r="H45" s="20" t="s">
        <v>224</v>
      </c>
      <c r="I45" s="20" t="s">
        <v>230</v>
      </c>
      <c r="J45" s="21"/>
      <c r="K45" s="21"/>
      <c r="L45" s="21"/>
    </row>
    <row r="46" customFormat="false" ht="15" hidden="false" customHeight="false" outlineLevel="0" collapsed="false">
      <c r="A46" s="5" t="s">
        <v>113</v>
      </c>
      <c r="B46" s="5" t="s">
        <v>114</v>
      </c>
      <c r="C46" s="5" t="s">
        <v>53</v>
      </c>
      <c r="D46" s="5" t="n">
        <f aca="false">'RAG tracker'!$E22</f>
        <v>0</v>
      </c>
      <c r="E46" s="5" t="s">
        <v>266</v>
      </c>
      <c r="F46" s="5" t="n">
        <v>13</v>
      </c>
      <c r="G46" s="20" t="s">
        <v>223</v>
      </c>
      <c r="H46" s="20" t="s">
        <v>224</v>
      </c>
      <c r="I46" s="20" t="s">
        <v>230</v>
      </c>
      <c r="J46" s="21"/>
      <c r="K46" s="21"/>
      <c r="L46" s="21"/>
    </row>
    <row r="47" customFormat="false" ht="15" hidden="false" customHeight="false" outlineLevel="0" collapsed="false">
      <c r="A47" s="5" t="s">
        <v>116</v>
      </c>
      <c r="B47" s="5" t="s">
        <v>117</v>
      </c>
      <c r="C47" s="5" t="s">
        <v>112</v>
      </c>
      <c r="D47" s="5" t="n">
        <f aca="false">'RAG tracker'!$E23</f>
        <v>0</v>
      </c>
      <c r="E47" s="5" t="s">
        <v>267</v>
      </c>
      <c r="F47" s="5" t="n">
        <v>13</v>
      </c>
      <c r="G47" s="20" t="s">
        <v>223</v>
      </c>
      <c r="H47" s="20" t="s">
        <v>224</v>
      </c>
      <c r="I47" s="20" t="s">
        <v>230</v>
      </c>
      <c r="J47" s="21"/>
      <c r="K47" s="21"/>
      <c r="L47" s="21"/>
    </row>
    <row r="48" customFormat="false" ht="15" hidden="false" customHeight="false" outlineLevel="0" collapsed="false">
      <c r="A48" s="5" t="s">
        <v>116</v>
      </c>
      <c r="B48" s="5" t="s">
        <v>117</v>
      </c>
      <c r="C48" s="5" t="s">
        <v>112</v>
      </c>
      <c r="D48" s="5" t="n">
        <f aca="false">'RAG tracker'!$E23</f>
        <v>0</v>
      </c>
      <c r="E48" s="5" t="s">
        <v>253</v>
      </c>
      <c r="F48" s="5" t="n">
        <v>13</v>
      </c>
      <c r="G48" s="20" t="s">
        <v>223</v>
      </c>
      <c r="H48" s="20" t="s">
        <v>224</v>
      </c>
      <c r="I48" s="20" t="s">
        <v>230</v>
      </c>
      <c r="J48" s="21"/>
      <c r="K48" s="21"/>
      <c r="L48" s="21"/>
    </row>
    <row r="49" customFormat="false" ht="15" hidden="false" customHeight="false" outlineLevel="0" collapsed="false">
      <c r="A49" s="5" t="s">
        <v>119</v>
      </c>
      <c r="B49" s="5" t="s">
        <v>120</v>
      </c>
      <c r="C49" s="5" t="s">
        <v>62</v>
      </c>
      <c r="D49" s="5" t="n">
        <f aca="false">'RAG tracker'!$E24</f>
        <v>0</v>
      </c>
      <c r="E49" s="5" t="s">
        <v>267</v>
      </c>
      <c r="F49" s="5" t="n">
        <v>13</v>
      </c>
      <c r="G49" s="20" t="s">
        <v>223</v>
      </c>
      <c r="H49" s="20" t="s">
        <v>224</v>
      </c>
      <c r="I49" s="20" t="s">
        <v>230</v>
      </c>
      <c r="J49" s="21"/>
      <c r="K49" s="21"/>
      <c r="L49" s="21"/>
    </row>
    <row r="50" customFormat="false" ht="15" hidden="false" customHeight="false" outlineLevel="0" collapsed="false">
      <c r="A50" s="5" t="s">
        <v>119</v>
      </c>
      <c r="B50" s="5" t="s">
        <v>120</v>
      </c>
      <c r="C50" s="5" t="s">
        <v>62</v>
      </c>
      <c r="D50" s="5" t="n">
        <f aca="false">'RAG tracker'!$E24</f>
        <v>0</v>
      </c>
      <c r="E50" s="5" t="s">
        <v>257</v>
      </c>
      <c r="F50" s="5" t="n">
        <v>13</v>
      </c>
      <c r="G50" s="20" t="s">
        <v>223</v>
      </c>
      <c r="H50" s="20" t="s">
        <v>224</v>
      </c>
      <c r="I50" s="20" t="s">
        <v>230</v>
      </c>
      <c r="J50" s="21"/>
      <c r="K50" s="21"/>
      <c r="L50" s="21"/>
    </row>
    <row r="51" customFormat="false" ht="15" hidden="false" customHeight="false" outlineLevel="0" collapsed="false">
      <c r="A51" s="5" t="s">
        <v>122</v>
      </c>
      <c r="B51" s="5" t="s">
        <v>123</v>
      </c>
      <c r="C51" s="5" t="s">
        <v>53</v>
      </c>
      <c r="D51" s="5" t="n">
        <f aca="false">'RAG tracker'!$E25</f>
        <v>0</v>
      </c>
      <c r="E51" s="5" t="s">
        <v>123</v>
      </c>
      <c r="F51" s="5" t="n">
        <v>13</v>
      </c>
      <c r="G51" s="20" t="s">
        <v>223</v>
      </c>
      <c r="H51" s="20" t="s">
        <v>224</v>
      </c>
      <c r="I51" s="20" t="s">
        <v>230</v>
      </c>
      <c r="J51" s="21"/>
      <c r="K51" s="21"/>
      <c r="L51" s="21"/>
    </row>
    <row r="52" customFormat="false" ht="15" hidden="false" customHeight="false" outlineLevel="0" collapsed="false">
      <c r="A52" s="5" t="s">
        <v>122</v>
      </c>
      <c r="B52" s="5" t="s">
        <v>123</v>
      </c>
      <c r="C52" s="5" t="s">
        <v>53</v>
      </c>
      <c r="D52" s="5" t="n">
        <f aca="false">'RAG tracker'!$E25</f>
        <v>0</v>
      </c>
      <c r="E52" s="5" t="s">
        <v>268</v>
      </c>
      <c r="F52" s="5" t="n">
        <v>13</v>
      </c>
      <c r="G52" s="20" t="s">
        <v>223</v>
      </c>
      <c r="H52" s="20" t="s">
        <v>224</v>
      </c>
      <c r="I52" s="20" t="s">
        <v>230</v>
      </c>
      <c r="J52" s="21"/>
      <c r="K52" s="21"/>
      <c r="L52" s="21"/>
    </row>
    <row r="53" customFormat="false" ht="15" hidden="false" customHeight="false" outlineLevel="0" collapsed="false">
      <c r="A53" s="5" t="s">
        <v>125</v>
      </c>
      <c r="B53" s="5" t="s">
        <v>126</v>
      </c>
      <c r="C53" s="5" t="s">
        <v>62</v>
      </c>
      <c r="D53" s="5" t="n">
        <f aca="false">'RAG tracker'!$E26</f>
        <v>0</v>
      </c>
      <c r="E53" s="5" t="s">
        <v>269</v>
      </c>
      <c r="F53" s="5" t="n">
        <v>13</v>
      </c>
      <c r="G53" s="20" t="s">
        <v>223</v>
      </c>
      <c r="H53" s="20" t="s">
        <v>224</v>
      </c>
      <c r="I53" s="20" t="s">
        <v>230</v>
      </c>
      <c r="J53" s="21"/>
      <c r="K53" s="21"/>
      <c r="L53" s="21"/>
    </row>
    <row r="54" customFormat="false" ht="15" hidden="false" customHeight="false" outlineLevel="0" collapsed="false">
      <c r="A54" s="5" t="s">
        <v>128</v>
      </c>
      <c r="B54" s="5" t="s">
        <v>129</v>
      </c>
      <c r="C54" s="5" t="s">
        <v>53</v>
      </c>
      <c r="D54" s="5" t="n">
        <f aca="false">'RAG tracker'!$E27</f>
        <v>0</v>
      </c>
      <c r="E54" s="5" t="s">
        <v>129</v>
      </c>
      <c r="F54" s="5" t="n">
        <v>13</v>
      </c>
      <c r="G54" s="20" t="s">
        <v>223</v>
      </c>
      <c r="H54" s="20" t="s">
        <v>224</v>
      </c>
      <c r="I54" s="20" t="s">
        <v>230</v>
      </c>
      <c r="J54" s="21"/>
      <c r="K54" s="21"/>
      <c r="L54" s="21"/>
    </row>
    <row r="55" customFormat="false" ht="15" hidden="false" customHeight="false" outlineLevel="0" collapsed="false">
      <c r="A55" s="5" t="s">
        <v>131</v>
      </c>
      <c r="B55" s="5" t="s">
        <v>132</v>
      </c>
      <c r="C55" s="5" t="s">
        <v>112</v>
      </c>
      <c r="D55" s="5" t="n">
        <f aca="false">'RAG tracker'!$E28</f>
        <v>0</v>
      </c>
      <c r="E55" s="5" t="s">
        <v>129</v>
      </c>
      <c r="F55" s="5" t="n">
        <v>13</v>
      </c>
      <c r="G55" s="20" t="s">
        <v>223</v>
      </c>
      <c r="H55" s="20" t="s">
        <v>224</v>
      </c>
      <c r="I55" s="20" t="s">
        <v>230</v>
      </c>
      <c r="J55" s="21"/>
      <c r="K55" s="21"/>
      <c r="L55" s="21"/>
    </row>
    <row r="56" customFormat="false" ht="15" hidden="false" customHeight="false" outlineLevel="0" collapsed="false">
      <c r="A56" s="5" t="s">
        <v>134</v>
      </c>
      <c r="B56" s="5" t="s">
        <v>135</v>
      </c>
      <c r="C56" s="5" t="s">
        <v>62</v>
      </c>
      <c r="D56" s="5" t="n">
        <f aca="false">'RAG tracker'!$E29</f>
        <v>0</v>
      </c>
      <c r="E56" s="5" t="s">
        <v>270</v>
      </c>
      <c r="F56" s="5" t="n">
        <v>13</v>
      </c>
      <c r="G56" s="20" t="s">
        <v>223</v>
      </c>
      <c r="H56" s="20" t="s">
        <v>224</v>
      </c>
      <c r="I56" s="20" t="s">
        <v>230</v>
      </c>
      <c r="J56" s="21"/>
      <c r="K56" s="21"/>
      <c r="L56" s="21"/>
    </row>
    <row r="57" customFormat="false" ht="15" hidden="false" customHeight="false" outlineLevel="0" collapsed="false">
      <c r="A57" s="5" t="s">
        <v>137</v>
      </c>
      <c r="B57" s="5" t="s">
        <v>138</v>
      </c>
      <c r="C57" s="5" t="s">
        <v>53</v>
      </c>
      <c r="D57" s="5" t="n">
        <f aca="false">'RAG tracker'!$E30</f>
        <v>0</v>
      </c>
      <c r="E57" s="5" t="s">
        <v>271</v>
      </c>
      <c r="F57" s="5" t="n">
        <v>13</v>
      </c>
      <c r="G57" s="20" t="s">
        <v>223</v>
      </c>
      <c r="H57" s="20" t="s">
        <v>224</v>
      </c>
      <c r="I57" s="20" t="s">
        <v>230</v>
      </c>
      <c r="J57" s="21"/>
      <c r="K57" s="21"/>
      <c r="L57" s="21"/>
    </row>
    <row r="58" customFormat="false" ht="15" hidden="false" customHeight="false" outlineLevel="0" collapsed="false">
      <c r="A58" s="5" t="s">
        <v>137</v>
      </c>
      <c r="B58" s="5" t="s">
        <v>138</v>
      </c>
      <c r="C58" s="5" t="s">
        <v>53</v>
      </c>
      <c r="D58" s="5" t="n">
        <f aca="false">'RAG tracker'!$E30</f>
        <v>0</v>
      </c>
      <c r="E58" s="5" t="s">
        <v>272</v>
      </c>
      <c r="F58" s="5" t="n">
        <v>13</v>
      </c>
      <c r="G58" s="20" t="s">
        <v>223</v>
      </c>
      <c r="H58" s="20" t="s">
        <v>224</v>
      </c>
      <c r="I58" s="20" t="s">
        <v>230</v>
      </c>
      <c r="J58" s="21"/>
      <c r="K58" s="21"/>
      <c r="L58" s="21"/>
    </row>
    <row r="59" customFormat="false" ht="15" hidden="false" customHeight="false" outlineLevel="0" collapsed="false">
      <c r="A59" s="5" t="s">
        <v>137</v>
      </c>
      <c r="B59" s="5" t="s">
        <v>138</v>
      </c>
      <c r="C59" s="5" t="s">
        <v>53</v>
      </c>
      <c r="D59" s="5" t="n">
        <f aca="false">'RAG tracker'!$E30</f>
        <v>0</v>
      </c>
      <c r="E59" s="5" t="s">
        <v>273</v>
      </c>
      <c r="F59" s="5" t="n">
        <v>13</v>
      </c>
      <c r="G59" s="20" t="s">
        <v>223</v>
      </c>
      <c r="H59" s="20" t="s">
        <v>224</v>
      </c>
      <c r="I59" s="20" t="s">
        <v>230</v>
      </c>
      <c r="J59" s="21"/>
      <c r="K59" s="21"/>
      <c r="L59" s="21"/>
    </row>
    <row r="60" customFormat="false" ht="15" hidden="false" customHeight="false" outlineLevel="0" collapsed="false">
      <c r="A60" s="5" t="s">
        <v>137</v>
      </c>
      <c r="B60" s="5" t="s">
        <v>138</v>
      </c>
      <c r="C60" s="5" t="s">
        <v>53</v>
      </c>
      <c r="D60" s="5" t="n">
        <f aca="false">'RAG tracker'!$E30</f>
        <v>0</v>
      </c>
      <c r="E60" s="5" t="s">
        <v>274</v>
      </c>
      <c r="F60" s="5" t="n">
        <v>13</v>
      </c>
      <c r="G60" s="20" t="s">
        <v>223</v>
      </c>
      <c r="H60" s="20" t="s">
        <v>224</v>
      </c>
      <c r="I60" s="20" t="s">
        <v>230</v>
      </c>
      <c r="J60" s="21"/>
      <c r="K60" s="21"/>
      <c r="L60" s="21"/>
    </row>
    <row r="61" customFormat="false" ht="15" hidden="false" customHeight="false" outlineLevel="0" collapsed="false">
      <c r="A61" s="5" t="s">
        <v>137</v>
      </c>
      <c r="B61" s="5" t="s">
        <v>138</v>
      </c>
      <c r="C61" s="5" t="s">
        <v>53</v>
      </c>
      <c r="D61" s="5" t="n">
        <f aca="false">'RAG tracker'!$E30</f>
        <v>0</v>
      </c>
      <c r="E61" s="5" t="s">
        <v>275</v>
      </c>
      <c r="F61" s="5" t="n">
        <v>13</v>
      </c>
      <c r="G61" s="20" t="s">
        <v>223</v>
      </c>
      <c r="H61" s="20" t="s">
        <v>224</v>
      </c>
      <c r="I61" s="20" t="s">
        <v>230</v>
      </c>
      <c r="J61" s="21"/>
      <c r="K61" s="21"/>
      <c r="L61" s="21"/>
    </row>
    <row r="62" customFormat="false" ht="15" hidden="false" customHeight="false" outlineLevel="0" collapsed="false">
      <c r="A62" s="5" t="s">
        <v>140</v>
      </c>
      <c r="B62" s="5" t="s">
        <v>141</v>
      </c>
      <c r="C62" s="5" t="s">
        <v>112</v>
      </c>
      <c r="D62" s="5" t="n">
        <f aca="false">'RAG tracker'!$E31</f>
        <v>0</v>
      </c>
      <c r="E62" s="5" t="s">
        <v>276</v>
      </c>
      <c r="F62" s="5" t="n">
        <v>13</v>
      </c>
      <c r="G62" s="20" t="s">
        <v>223</v>
      </c>
      <c r="H62" s="20" t="s">
        <v>224</v>
      </c>
      <c r="I62" s="20" t="s">
        <v>230</v>
      </c>
      <c r="J62" s="21"/>
      <c r="K62" s="21"/>
      <c r="L62" s="21"/>
    </row>
    <row r="63" customFormat="false" ht="15" hidden="false" customHeight="false" outlineLevel="0" collapsed="false">
      <c r="A63" s="5" t="s">
        <v>140</v>
      </c>
      <c r="B63" s="5" t="s">
        <v>141</v>
      </c>
      <c r="C63" s="5" t="s">
        <v>112</v>
      </c>
      <c r="D63" s="5" t="n">
        <f aca="false">'RAG tracker'!$E31</f>
        <v>0</v>
      </c>
      <c r="E63" s="5" t="s">
        <v>277</v>
      </c>
      <c r="F63" s="5" t="n">
        <v>13</v>
      </c>
      <c r="G63" s="20" t="s">
        <v>223</v>
      </c>
      <c r="H63" s="20" t="s">
        <v>224</v>
      </c>
      <c r="I63" s="20" t="s">
        <v>230</v>
      </c>
      <c r="J63" s="21"/>
      <c r="K63" s="21"/>
      <c r="L63" s="21"/>
    </row>
    <row r="64" customFormat="false" ht="15" hidden="false" customHeight="false" outlineLevel="0" collapsed="false">
      <c r="A64" s="5" t="s">
        <v>143</v>
      </c>
      <c r="B64" s="5" t="s">
        <v>144</v>
      </c>
      <c r="C64" s="5" t="s">
        <v>62</v>
      </c>
      <c r="D64" s="5" t="n">
        <f aca="false">'RAG tracker'!$E32</f>
        <v>0</v>
      </c>
      <c r="E64" s="5" t="s">
        <v>278</v>
      </c>
      <c r="F64" s="5" t="n">
        <v>13</v>
      </c>
      <c r="G64" s="20" t="s">
        <v>223</v>
      </c>
      <c r="H64" s="20" t="s">
        <v>224</v>
      </c>
      <c r="I64" s="20" t="s">
        <v>230</v>
      </c>
      <c r="J64" s="21"/>
      <c r="K64" s="21"/>
      <c r="L64" s="21"/>
    </row>
    <row r="65" customFormat="false" ht="15" hidden="false" customHeight="false" outlineLevel="0" collapsed="false">
      <c r="A65" s="5" t="s">
        <v>143</v>
      </c>
      <c r="B65" s="5" t="s">
        <v>144</v>
      </c>
      <c r="C65" s="5" t="s">
        <v>62</v>
      </c>
      <c r="D65" s="5" t="n">
        <f aca="false">'RAG tracker'!$E32</f>
        <v>0</v>
      </c>
      <c r="E65" s="5" t="s">
        <v>279</v>
      </c>
      <c r="F65" s="5" t="n">
        <v>13</v>
      </c>
      <c r="G65" s="20" t="s">
        <v>223</v>
      </c>
      <c r="H65" s="20" t="s">
        <v>224</v>
      </c>
      <c r="I65" s="20" t="s">
        <v>230</v>
      </c>
      <c r="J65" s="21"/>
      <c r="K65" s="21"/>
      <c r="L65" s="21"/>
    </row>
    <row r="66" customFormat="false" ht="15" hidden="false" customHeight="false" outlineLevel="0" collapsed="false">
      <c r="A66" s="5" t="s">
        <v>143</v>
      </c>
      <c r="B66" s="5" t="s">
        <v>144</v>
      </c>
      <c r="C66" s="5" t="s">
        <v>62</v>
      </c>
      <c r="D66" s="5" t="n">
        <f aca="false">'RAG tracker'!$E32</f>
        <v>0</v>
      </c>
      <c r="E66" s="5" t="s">
        <v>280</v>
      </c>
      <c r="F66" s="5" t="n">
        <v>13</v>
      </c>
      <c r="G66" s="20" t="s">
        <v>223</v>
      </c>
      <c r="H66" s="20" t="s">
        <v>224</v>
      </c>
      <c r="I66" s="20" t="s">
        <v>230</v>
      </c>
      <c r="J66" s="21"/>
      <c r="K66" s="21"/>
      <c r="L66" s="21"/>
    </row>
    <row r="67" customFormat="false" ht="15" hidden="false" customHeight="false" outlineLevel="0" collapsed="false">
      <c r="A67" s="5" t="s">
        <v>143</v>
      </c>
      <c r="B67" s="5" t="s">
        <v>144</v>
      </c>
      <c r="C67" s="5" t="s">
        <v>62</v>
      </c>
      <c r="D67" s="5" t="n">
        <f aca="false">'RAG tracker'!$E32</f>
        <v>0</v>
      </c>
      <c r="E67" s="5" t="s">
        <v>281</v>
      </c>
      <c r="F67" s="5" t="n">
        <v>13</v>
      </c>
      <c r="G67" s="20" t="s">
        <v>223</v>
      </c>
      <c r="H67" s="20" t="s">
        <v>224</v>
      </c>
      <c r="I67" s="20" t="s">
        <v>230</v>
      </c>
      <c r="J67" s="21"/>
      <c r="K67" s="21"/>
      <c r="L67" s="21"/>
    </row>
    <row r="68" customFormat="false" ht="15" hidden="false" customHeight="false" outlineLevel="0" collapsed="false">
      <c r="A68" s="5" t="s">
        <v>143</v>
      </c>
      <c r="B68" s="5" t="s">
        <v>144</v>
      </c>
      <c r="C68" s="5" t="s">
        <v>62</v>
      </c>
      <c r="D68" s="5" t="n">
        <f aca="false">'RAG tracker'!$E32</f>
        <v>0</v>
      </c>
      <c r="E68" s="5" t="s">
        <v>282</v>
      </c>
      <c r="F68" s="5" t="n">
        <v>13</v>
      </c>
      <c r="G68" s="20" t="s">
        <v>223</v>
      </c>
      <c r="H68" s="20" t="s">
        <v>224</v>
      </c>
      <c r="I68" s="20" t="s">
        <v>230</v>
      </c>
      <c r="J68" s="21"/>
      <c r="K68" s="21"/>
      <c r="L68" s="21"/>
    </row>
    <row r="69" customFormat="false" ht="15" hidden="false" customHeight="false" outlineLevel="0" collapsed="false">
      <c r="A69" s="5" t="s">
        <v>146</v>
      </c>
      <c r="B69" s="5" t="s">
        <v>147</v>
      </c>
      <c r="C69" s="5" t="s">
        <v>62</v>
      </c>
      <c r="D69" s="5" t="n">
        <f aca="false">'RAG tracker'!$E33</f>
        <v>0</v>
      </c>
      <c r="E69" s="5" t="s">
        <v>250</v>
      </c>
      <c r="F69" s="5"/>
      <c r="G69" s="5"/>
      <c r="H69" s="5"/>
      <c r="I69" s="5"/>
      <c r="J69" s="5"/>
      <c r="K69" s="5"/>
      <c r="L69" s="5"/>
    </row>
    <row r="70" customFormat="false" ht="15" hidden="false" customHeight="false" outlineLevel="0" collapsed="false">
      <c r="A70" s="5" t="s">
        <v>149</v>
      </c>
      <c r="B70" s="5" t="s">
        <v>150</v>
      </c>
      <c r="C70" s="5" t="s">
        <v>53</v>
      </c>
      <c r="D70" s="5" t="n">
        <f aca="false">'RAG tracker'!$E34</f>
        <v>0</v>
      </c>
      <c r="E70" s="5" t="s">
        <v>283</v>
      </c>
      <c r="F70" s="5" t="n">
        <v>13</v>
      </c>
      <c r="G70" s="20" t="s">
        <v>223</v>
      </c>
      <c r="H70" s="20" t="s">
        <v>224</v>
      </c>
      <c r="I70" s="20" t="s">
        <v>230</v>
      </c>
      <c r="J70" s="21"/>
      <c r="K70" s="21"/>
      <c r="L70" s="21"/>
    </row>
    <row r="71" customFormat="false" ht="15" hidden="false" customHeight="false" outlineLevel="0" collapsed="false">
      <c r="A71" s="5" t="s">
        <v>149</v>
      </c>
      <c r="B71" s="5" t="s">
        <v>150</v>
      </c>
      <c r="C71" s="5" t="s">
        <v>53</v>
      </c>
      <c r="D71" s="5" t="n">
        <f aca="false">'RAG tracker'!$E34</f>
        <v>0</v>
      </c>
      <c r="E71" s="5" t="s">
        <v>284</v>
      </c>
      <c r="F71" s="5" t="n">
        <v>13</v>
      </c>
      <c r="G71" s="20" t="s">
        <v>223</v>
      </c>
      <c r="H71" s="20" t="s">
        <v>224</v>
      </c>
      <c r="I71" s="20" t="s">
        <v>230</v>
      </c>
      <c r="J71" s="21"/>
      <c r="K71" s="21"/>
      <c r="L71" s="21"/>
    </row>
    <row r="72" customFormat="false" ht="15" hidden="false" customHeight="false" outlineLevel="0" collapsed="false">
      <c r="A72" s="5" t="s">
        <v>152</v>
      </c>
      <c r="B72" s="5" t="s">
        <v>153</v>
      </c>
      <c r="C72" s="5" t="s">
        <v>53</v>
      </c>
      <c r="D72" s="5" t="n">
        <f aca="false">'RAG tracker'!$E35</f>
        <v>0</v>
      </c>
      <c r="E72" s="5" t="s">
        <v>285</v>
      </c>
      <c r="F72" s="5" t="n">
        <v>13</v>
      </c>
      <c r="G72" s="20" t="s">
        <v>223</v>
      </c>
      <c r="H72" s="20" t="s">
        <v>224</v>
      </c>
      <c r="I72" s="20" t="s">
        <v>230</v>
      </c>
      <c r="J72" s="21"/>
      <c r="K72" s="21"/>
      <c r="L72" s="21"/>
    </row>
    <row r="73" customFormat="false" ht="15" hidden="false" customHeight="false" outlineLevel="0" collapsed="false">
      <c r="A73" s="5" t="s">
        <v>152</v>
      </c>
      <c r="B73" s="5" t="s">
        <v>153</v>
      </c>
      <c r="C73" s="5" t="s">
        <v>53</v>
      </c>
      <c r="D73" s="5" t="n">
        <f aca="false">'RAG tracker'!$E35</f>
        <v>0</v>
      </c>
      <c r="E73" s="5" t="s">
        <v>286</v>
      </c>
      <c r="F73" s="5" t="n">
        <v>13</v>
      </c>
      <c r="G73" s="20" t="s">
        <v>223</v>
      </c>
      <c r="H73" s="20" t="s">
        <v>224</v>
      </c>
      <c r="I73" s="20" t="s">
        <v>230</v>
      </c>
      <c r="J73" s="21"/>
      <c r="K73" s="21"/>
      <c r="L73" s="21"/>
    </row>
    <row r="74" customFormat="false" ht="15" hidden="false" customHeight="false" outlineLevel="0" collapsed="false">
      <c r="A74" s="5" t="s">
        <v>152</v>
      </c>
      <c r="B74" s="5" t="s">
        <v>153</v>
      </c>
      <c r="C74" s="5" t="s">
        <v>53</v>
      </c>
      <c r="D74" s="5" t="n">
        <f aca="false">'RAG tracker'!$E35</f>
        <v>0</v>
      </c>
      <c r="E74" s="5" t="s">
        <v>287</v>
      </c>
      <c r="F74" s="5" t="n">
        <v>13</v>
      </c>
      <c r="G74" s="20" t="s">
        <v>223</v>
      </c>
      <c r="H74" s="20" t="s">
        <v>224</v>
      </c>
      <c r="I74" s="20" t="s">
        <v>230</v>
      </c>
      <c r="J74" s="21"/>
      <c r="K74" s="21"/>
      <c r="L74" s="21"/>
    </row>
    <row r="75" customFormat="false" ht="15" hidden="false" customHeight="false" outlineLevel="0" collapsed="false">
      <c r="A75" s="5" t="s">
        <v>155</v>
      </c>
      <c r="B75" s="5" t="s">
        <v>156</v>
      </c>
      <c r="C75" s="5" t="s">
        <v>53</v>
      </c>
      <c r="D75" s="5" t="n">
        <f aca="false">'RAG tracker'!$E36</f>
        <v>0</v>
      </c>
      <c r="E75" s="5" t="s">
        <v>286</v>
      </c>
      <c r="F75" s="5" t="n">
        <v>13</v>
      </c>
      <c r="G75" s="20" t="s">
        <v>223</v>
      </c>
      <c r="H75" s="20" t="s">
        <v>224</v>
      </c>
      <c r="I75" s="20" t="s">
        <v>230</v>
      </c>
      <c r="J75" s="21"/>
      <c r="K75" s="21"/>
      <c r="L75" s="21"/>
    </row>
    <row r="76" customFormat="false" ht="15" hidden="false" customHeight="false" outlineLevel="0" collapsed="false">
      <c r="A76" s="5" t="s">
        <v>158</v>
      </c>
      <c r="B76" s="5" t="s">
        <v>159</v>
      </c>
      <c r="C76" s="5" t="s">
        <v>53</v>
      </c>
      <c r="D76" s="5" t="n">
        <f aca="false">'RAG tracker'!$E37</f>
        <v>0</v>
      </c>
      <c r="E76" s="5" t="s">
        <v>288</v>
      </c>
      <c r="F76" s="5" t="n">
        <v>13</v>
      </c>
      <c r="G76" s="20" t="s">
        <v>223</v>
      </c>
      <c r="H76" s="20" t="s">
        <v>224</v>
      </c>
      <c r="I76" s="20" t="s">
        <v>230</v>
      </c>
      <c r="J76" s="21"/>
      <c r="K76" s="21"/>
      <c r="L76" s="21"/>
    </row>
    <row r="77" customFormat="false" ht="15" hidden="false" customHeight="false" outlineLevel="0" collapsed="false">
      <c r="A77" s="5" t="s">
        <v>158</v>
      </c>
      <c r="B77" s="5" t="s">
        <v>159</v>
      </c>
      <c r="C77" s="5" t="s">
        <v>53</v>
      </c>
      <c r="D77" s="5" t="n">
        <f aca="false">'RAG tracker'!$E37</f>
        <v>0</v>
      </c>
      <c r="E77" s="5" t="s">
        <v>289</v>
      </c>
      <c r="F77" s="5" t="n">
        <v>13</v>
      </c>
      <c r="G77" s="20" t="s">
        <v>223</v>
      </c>
      <c r="H77" s="20" t="s">
        <v>224</v>
      </c>
      <c r="I77" s="20" t="s">
        <v>230</v>
      </c>
      <c r="J77" s="21"/>
      <c r="K77" s="21"/>
      <c r="L77" s="21"/>
    </row>
    <row r="78" customFormat="false" ht="15" hidden="false" customHeight="false" outlineLevel="0" collapsed="false">
      <c r="A78" s="5" t="s">
        <v>158</v>
      </c>
      <c r="B78" s="5" t="s">
        <v>159</v>
      </c>
      <c r="C78" s="5" t="s">
        <v>53</v>
      </c>
      <c r="D78" s="5" t="n">
        <f aca="false">'RAG tracker'!$E37</f>
        <v>0</v>
      </c>
      <c r="E78" s="5" t="s">
        <v>290</v>
      </c>
      <c r="F78" s="5" t="n">
        <v>13</v>
      </c>
      <c r="G78" s="20" t="s">
        <v>223</v>
      </c>
      <c r="H78" s="20" t="s">
        <v>224</v>
      </c>
      <c r="I78" s="20" t="s">
        <v>230</v>
      </c>
      <c r="J78" s="21"/>
      <c r="K78" s="21"/>
      <c r="L78" s="21"/>
    </row>
    <row r="79" customFormat="false" ht="15" hidden="false" customHeight="false" outlineLevel="0" collapsed="false">
      <c r="A79" s="5" t="s">
        <v>158</v>
      </c>
      <c r="B79" s="5" t="s">
        <v>159</v>
      </c>
      <c r="C79" s="5" t="s">
        <v>53</v>
      </c>
      <c r="D79" s="5" t="n">
        <f aca="false">'RAG tracker'!$E37</f>
        <v>0</v>
      </c>
      <c r="E79" s="5" t="s">
        <v>291</v>
      </c>
      <c r="F79" s="5" t="n">
        <v>13</v>
      </c>
      <c r="G79" s="20" t="s">
        <v>223</v>
      </c>
      <c r="H79" s="20" t="s">
        <v>224</v>
      </c>
      <c r="I79" s="20" t="s">
        <v>230</v>
      </c>
      <c r="J79" s="21"/>
      <c r="K79" s="21"/>
      <c r="L79" s="21"/>
    </row>
    <row r="80" customFormat="false" ht="15" hidden="false" customHeight="false" outlineLevel="0" collapsed="false">
      <c r="A80" s="5" t="s">
        <v>158</v>
      </c>
      <c r="B80" s="5" t="s">
        <v>159</v>
      </c>
      <c r="C80" s="5" t="s">
        <v>53</v>
      </c>
      <c r="D80" s="5" t="n">
        <f aca="false">'RAG tracker'!$E37</f>
        <v>0</v>
      </c>
      <c r="E80" s="5" t="s">
        <v>249</v>
      </c>
      <c r="F80" s="5" t="n">
        <v>13</v>
      </c>
      <c r="G80" s="20" t="s">
        <v>223</v>
      </c>
      <c r="H80" s="20" t="s">
        <v>224</v>
      </c>
      <c r="I80" s="20" t="s">
        <v>230</v>
      </c>
      <c r="J80" s="21"/>
      <c r="K80" s="21"/>
      <c r="L80" s="21"/>
    </row>
    <row r="81" customFormat="false" ht="15" hidden="false" customHeight="false" outlineLevel="0" collapsed="false">
      <c r="A81" s="5" t="s">
        <v>161</v>
      </c>
      <c r="B81" s="5" t="s">
        <v>162</v>
      </c>
      <c r="C81" s="5" t="s">
        <v>53</v>
      </c>
      <c r="D81" s="5" t="n">
        <f aca="false">'RAG tracker'!$E38</f>
        <v>0</v>
      </c>
      <c r="E81" s="5" t="s">
        <v>292</v>
      </c>
      <c r="F81" s="5" t="n">
        <v>13</v>
      </c>
      <c r="G81" s="20" t="s">
        <v>223</v>
      </c>
      <c r="H81" s="20" t="s">
        <v>224</v>
      </c>
      <c r="I81" s="20" t="s">
        <v>230</v>
      </c>
      <c r="J81" s="21"/>
      <c r="K81" s="21"/>
      <c r="L81" s="21"/>
    </row>
    <row r="82" customFormat="false" ht="15" hidden="false" customHeight="false" outlineLevel="0" collapsed="false">
      <c r="A82" s="5" t="s">
        <v>161</v>
      </c>
      <c r="B82" s="5" t="s">
        <v>162</v>
      </c>
      <c r="C82" s="5" t="s">
        <v>53</v>
      </c>
      <c r="D82" s="5" t="n">
        <f aca="false">'RAG tracker'!$E38</f>
        <v>0</v>
      </c>
      <c r="E82" s="5" t="s">
        <v>243</v>
      </c>
      <c r="F82" s="5" t="n">
        <v>13</v>
      </c>
      <c r="G82" s="20" t="s">
        <v>223</v>
      </c>
      <c r="H82" s="20" t="s">
        <v>224</v>
      </c>
      <c r="I82" s="20" t="s">
        <v>230</v>
      </c>
      <c r="J82" s="21"/>
      <c r="K82" s="21"/>
      <c r="L82" s="21"/>
    </row>
    <row r="83" customFormat="false" ht="15" hidden="false" customHeight="false" outlineLevel="0" collapsed="false">
      <c r="A83" s="5" t="s">
        <v>164</v>
      </c>
      <c r="B83" s="5" t="s">
        <v>165</v>
      </c>
      <c r="C83" s="5" t="s">
        <v>53</v>
      </c>
      <c r="D83" s="5" t="n">
        <f aca="false">'RAG tracker'!$E39</f>
        <v>0</v>
      </c>
      <c r="E83" s="5" t="s">
        <v>293</v>
      </c>
      <c r="F83" s="5" t="n">
        <v>13</v>
      </c>
      <c r="G83" s="20" t="s">
        <v>223</v>
      </c>
      <c r="H83" s="20" t="s">
        <v>224</v>
      </c>
      <c r="I83" s="20" t="s">
        <v>230</v>
      </c>
      <c r="J83" s="21"/>
      <c r="K83" s="21"/>
      <c r="L83" s="21"/>
    </row>
    <row r="84" customFormat="false" ht="15" hidden="false" customHeight="false" outlineLevel="0" collapsed="false">
      <c r="A84" s="5" t="s">
        <v>164</v>
      </c>
      <c r="B84" s="5" t="s">
        <v>165</v>
      </c>
      <c r="C84" s="5" t="s">
        <v>53</v>
      </c>
      <c r="D84" s="5" t="n">
        <f aca="false">'RAG tracker'!$E39</f>
        <v>0</v>
      </c>
      <c r="E84" s="5" t="s">
        <v>287</v>
      </c>
      <c r="F84" s="5" t="n">
        <v>13</v>
      </c>
      <c r="G84" s="20" t="s">
        <v>223</v>
      </c>
      <c r="H84" s="20" t="s">
        <v>224</v>
      </c>
      <c r="I84" s="20" t="s">
        <v>230</v>
      </c>
      <c r="J84" s="21"/>
      <c r="K84" s="21"/>
      <c r="L84" s="21"/>
    </row>
    <row r="85" customFormat="false" ht="15" hidden="false" customHeight="false" outlineLevel="0" collapsed="false">
      <c r="A85" s="5" t="s">
        <v>167</v>
      </c>
      <c r="B85" s="5" t="s">
        <v>168</v>
      </c>
      <c r="C85" s="5" t="s">
        <v>62</v>
      </c>
      <c r="D85" s="5" t="n">
        <f aca="false">'RAG tracker'!$E40</f>
        <v>0</v>
      </c>
      <c r="E85" s="5" t="s">
        <v>294</v>
      </c>
      <c r="F85" s="5" t="n">
        <v>13</v>
      </c>
      <c r="G85" s="20" t="s">
        <v>223</v>
      </c>
      <c r="H85" s="20" t="s">
        <v>224</v>
      </c>
      <c r="I85" s="20" t="s">
        <v>230</v>
      </c>
      <c r="J85" s="21"/>
      <c r="K85" s="21"/>
      <c r="L85" s="21"/>
    </row>
    <row r="86" customFormat="false" ht="15" hidden="false" customHeight="false" outlineLevel="0" collapsed="false">
      <c r="A86" s="5" t="s">
        <v>170</v>
      </c>
      <c r="B86" s="5" t="s">
        <v>171</v>
      </c>
      <c r="C86" s="5" t="s">
        <v>53</v>
      </c>
      <c r="D86" s="5" t="n">
        <f aca="false">'RAG tracker'!$E41</f>
        <v>0</v>
      </c>
      <c r="E86" s="5" t="s">
        <v>283</v>
      </c>
      <c r="F86" s="5" t="n">
        <v>13</v>
      </c>
      <c r="G86" s="20" t="s">
        <v>223</v>
      </c>
      <c r="H86" s="20" t="s">
        <v>224</v>
      </c>
      <c r="I86" s="20" t="s">
        <v>230</v>
      </c>
      <c r="J86" s="21"/>
      <c r="K86" s="21"/>
      <c r="L86" s="21"/>
    </row>
    <row r="87" customFormat="false" ht="15" hidden="false" customHeight="false" outlineLevel="0" collapsed="false">
      <c r="A87" s="5" t="s">
        <v>173</v>
      </c>
      <c r="B87" s="5" t="s">
        <v>174</v>
      </c>
      <c r="C87" s="5" t="s">
        <v>53</v>
      </c>
      <c r="D87" s="5" t="n">
        <f aca="false">'RAG tracker'!$E42</f>
        <v>0</v>
      </c>
      <c r="E87" s="5" t="s">
        <v>295</v>
      </c>
      <c r="F87" s="5" t="n">
        <v>13</v>
      </c>
      <c r="G87" s="20" t="s">
        <v>223</v>
      </c>
      <c r="H87" s="20" t="s">
        <v>224</v>
      </c>
      <c r="I87" s="20" t="s">
        <v>230</v>
      </c>
      <c r="J87" s="21"/>
      <c r="K87" s="21"/>
      <c r="L87" s="21"/>
    </row>
    <row r="88" customFormat="false" ht="15" hidden="false" customHeight="false" outlineLevel="0" collapsed="false">
      <c r="A88" s="5" t="s">
        <v>173</v>
      </c>
      <c r="B88" s="5" t="s">
        <v>174</v>
      </c>
      <c r="C88" s="5" t="s">
        <v>53</v>
      </c>
      <c r="D88" s="5" t="n">
        <f aca="false">'RAG tracker'!$E42</f>
        <v>0</v>
      </c>
      <c r="E88" s="5" t="s">
        <v>296</v>
      </c>
      <c r="F88" s="5" t="n">
        <v>13</v>
      </c>
      <c r="G88" s="20" t="s">
        <v>223</v>
      </c>
      <c r="H88" s="20" t="s">
        <v>224</v>
      </c>
      <c r="I88" s="20" t="s">
        <v>230</v>
      </c>
      <c r="J88" s="21"/>
      <c r="K88" s="21"/>
      <c r="L88" s="21"/>
    </row>
    <row r="89" customFormat="false" ht="15" hidden="false" customHeight="false" outlineLevel="0" collapsed="false">
      <c r="A89" s="5" t="s">
        <v>173</v>
      </c>
      <c r="B89" s="5" t="s">
        <v>174</v>
      </c>
      <c r="C89" s="5" t="s">
        <v>53</v>
      </c>
      <c r="D89" s="5" t="n">
        <f aca="false">'RAG tracker'!$E42</f>
        <v>0</v>
      </c>
      <c r="E89" s="5" t="s">
        <v>288</v>
      </c>
      <c r="F89" s="5" t="n">
        <v>13</v>
      </c>
      <c r="G89" s="20" t="s">
        <v>223</v>
      </c>
      <c r="H89" s="20" t="s">
        <v>224</v>
      </c>
      <c r="I89" s="20" t="s">
        <v>230</v>
      </c>
      <c r="J89" s="21"/>
      <c r="K89" s="21"/>
      <c r="L89" s="21"/>
    </row>
    <row r="90" customFormat="false" ht="15" hidden="false" customHeight="false" outlineLevel="0" collapsed="false">
      <c r="A90" s="5" t="s">
        <v>176</v>
      </c>
      <c r="B90" s="5" t="s">
        <v>177</v>
      </c>
      <c r="C90" s="5" t="s">
        <v>62</v>
      </c>
      <c r="D90" s="5" t="n">
        <f aca="false">'RAG tracker'!$E43</f>
        <v>0</v>
      </c>
      <c r="E90" s="5" t="s">
        <v>297</v>
      </c>
      <c r="F90" s="5" t="n">
        <v>13</v>
      </c>
      <c r="G90" s="20" t="s">
        <v>223</v>
      </c>
      <c r="H90" s="20" t="s">
        <v>224</v>
      </c>
      <c r="I90" s="20" t="s">
        <v>230</v>
      </c>
      <c r="J90" s="21"/>
      <c r="K90" s="21"/>
      <c r="L90" s="21"/>
    </row>
    <row r="91" customFormat="false" ht="15" hidden="false" customHeight="false" outlineLevel="0" collapsed="false">
      <c r="A91" s="5" t="s">
        <v>176</v>
      </c>
      <c r="B91" s="5" t="s">
        <v>177</v>
      </c>
      <c r="C91" s="5" t="s">
        <v>62</v>
      </c>
      <c r="D91" s="5" t="n">
        <f aca="false">'RAG tracker'!$E43</f>
        <v>0</v>
      </c>
      <c r="E91" s="5" t="s">
        <v>298</v>
      </c>
      <c r="F91" s="5" t="n">
        <v>13</v>
      </c>
      <c r="G91" s="20" t="s">
        <v>223</v>
      </c>
      <c r="H91" s="20" t="s">
        <v>224</v>
      </c>
      <c r="I91" s="20" t="s">
        <v>230</v>
      </c>
      <c r="J91" s="21"/>
      <c r="K91" s="21"/>
      <c r="L91" s="21"/>
    </row>
    <row r="92" customFormat="false" ht="15" hidden="false" customHeight="false" outlineLevel="0" collapsed="false">
      <c r="A92" s="5" t="s">
        <v>179</v>
      </c>
      <c r="B92" s="5" t="s">
        <v>180</v>
      </c>
      <c r="C92" s="5" t="s">
        <v>53</v>
      </c>
      <c r="D92" s="5" t="n">
        <f aca="false">'RAG tracker'!$E44</f>
        <v>0</v>
      </c>
      <c r="E92" s="5" t="s">
        <v>299</v>
      </c>
      <c r="F92" s="5" t="n">
        <v>13</v>
      </c>
      <c r="G92" s="20" t="s">
        <v>223</v>
      </c>
      <c r="H92" s="20" t="s">
        <v>224</v>
      </c>
      <c r="I92" s="20" t="s">
        <v>230</v>
      </c>
      <c r="J92" s="21"/>
      <c r="K92" s="21"/>
      <c r="L92" s="21"/>
    </row>
    <row r="93" customFormat="false" ht="15" hidden="false" customHeight="false" outlineLevel="0" collapsed="false">
      <c r="A93" s="5" t="s">
        <v>179</v>
      </c>
      <c r="B93" s="5" t="s">
        <v>180</v>
      </c>
      <c r="C93" s="5" t="s">
        <v>53</v>
      </c>
      <c r="D93" s="5" t="n">
        <f aca="false">'RAG tracker'!$E44</f>
        <v>0</v>
      </c>
      <c r="E93" s="5" t="s">
        <v>300</v>
      </c>
      <c r="F93" s="5" t="n">
        <v>13</v>
      </c>
      <c r="G93" s="20" t="s">
        <v>223</v>
      </c>
      <c r="H93" s="20" t="s">
        <v>224</v>
      </c>
      <c r="I93" s="20" t="s">
        <v>230</v>
      </c>
      <c r="J93" s="21"/>
      <c r="K93" s="21"/>
      <c r="L93" s="21"/>
    </row>
    <row r="94" customFormat="false" ht="15" hidden="false" customHeight="false" outlineLevel="0" collapsed="false">
      <c r="A94" s="5" t="s">
        <v>179</v>
      </c>
      <c r="B94" s="5" t="s">
        <v>180</v>
      </c>
      <c r="C94" s="5" t="s">
        <v>53</v>
      </c>
      <c r="D94" s="5" t="n">
        <f aca="false">'RAG tracker'!$E44</f>
        <v>0</v>
      </c>
      <c r="E94" s="5" t="s">
        <v>301</v>
      </c>
      <c r="F94" s="5" t="n">
        <v>13</v>
      </c>
      <c r="G94" s="20" t="s">
        <v>223</v>
      </c>
      <c r="H94" s="20" t="s">
        <v>224</v>
      </c>
      <c r="I94" s="20" t="s">
        <v>230</v>
      </c>
      <c r="J94" s="21"/>
      <c r="K94" s="21"/>
      <c r="L94" s="21"/>
    </row>
    <row r="95" customFormat="false" ht="15" hidden="false" customHeight="false" outlineLevel="0" collapsed="false">
      <c r="A95" s="5" t="s">
        <v>179</v>
      </c>
      <c r="B95" s="5" t="s">
        <v>180</v>
      </c>
      <c r="C95" s="5" t="s">
        <v>53</v>
      </c>
      <c r="D95" s="5" t="n">
        <f aca="false">'RAG tracker'!$E44</f>
        <v>0</v>
      </c>
      <c r="E95" s="5" t="s">
        <v>302</v>
      </c>
      <c r="F95" s="5" t="n">
        <v>13</v>
      </c>
      <c r="G95" s="20" t="s">
        <v>223</v>
      </c>
      <c r="H95" s="20" t="s">
        <v>224</v>
      </c>
      <c r="I95" s="20" t="s">
        <v>230</v>
      </c>
      <c r="J95" s="21"/>
      <c r="K95" s="21"/>
      <c r="L95" s="21"/>
    </row>
    <row r="96" customFormat="false" ht="15" hidden="false" customHeight="false" outlineLevel="0" collapsed="false">
      <c r="A96" s="5" t="s">
        <v>179</v>
      </c>
      <c r="B96" s="5" t="s">
        <v>180</v>
      </c>
      <c r="C96" s="5" t="s">
        <v>53</v>
      </c>
      <c r="D96" s="5" t="n">
        <f aca="false">'RAG tracker'!$E44</f>
        <v>0</v>
      </c>
      <c r="E96" s="5" t="s">
        <v>303</v>
      </c>
      <c r="F96" s="5" t="n">
        <v>13</v>
      </c>
      <c r="G96" s="20" t="s">
        <v>223</v>
      </c>
      <c r="H96" s="20" t="s">
        <v>224</v>
      </c>
      <c r="I96" s="20" t="s">
        <v>230</v>
      </c>
      <c r="J96" s="21"/>
      <c r="K96" s="21"/>
      <c r="L96" s="21"/>
    </row>
    <row r="97" customFormat="false" ht="15" hidden="false" customHeight="false" outlineLevel="0" collapsed="false">
      <c r="A97" s="5" t="s">
        <v>182</v>
      </c>
      <c r="B97" s="5" t="s">
        <v>183</v>
      </c>
      <c r="C97" s="5" t="s">
        <v>112</v>
      </c>
      <c r="D97" s="5" t="n">
        <f aca="false">'RAG tracker'!$E45</f>
        <v>0</v>
      </c>
      <c r="E97" s="5" t="s">
        <v>304</v>
      </c>
      <c r="F97" s="5" t="n">
        <v>13</v>
      </c>
      <c r="G97" s="20" t="s">
        <v>223</v>
      </c>
      <c r="H97" s="20" t="s">
        <v>224</v>
      </c>
      <c r="I97" s="20" t="s">
        <v>230</v>
      </c>
      <c r="J97" s="21"/>
      <c r="K97" s="21"/>
      <c r="L97" s="21"/>
    </row>
    <row r="98" customFormat="false" ht="15" hidden="false" customHeight="false" outlineLevel="0" collapsed="false">
      <c r="A98" s="5" t="s">
        <v>185</v>
      </c>
      <c r="B98" s="5" t="s">
        <v>186</v>
      </c>
      <c r="C98" s="5" t="s">
        <v>53</v>
      </c>
      <c r="D98" s="5" t="n">
        <f aca="false">'RAG tracker'!$E46</f>
        <v>0</v>
      </c>
      <c r="E98" s="5" t="s">
        <v>305</v>
      </c>
      <c r="F98" s="5" t="n">
        <v>13</v>
      </c>
      <c r="G98" s="20" t="s">
        <v>223</v>
      </c>
      <c r="H98" s="20" t="s">
        <v>224</v>
      </c>
      <c r="I98" s="20" t="s">
        <v>230</v>
      </c>
      <c r="J98" s="21"/>
      <c r="K98" s="21"/>
      <c r="L98" s="21"/>
    </row>
    <row r="99" customFormat="false" ht="15" hidden="false" customHeight="false" outlineLevel="0" collapsed="false">
      <c r="A99" s="5" t="s">
        <v>185</v>
      </c>
      <c r="B99" s="5" t="s">
        <v>186</v>
      </c>
      <c r="C99" s="5" t="s">
        <v>53</v>
      </c>
      <c r="D99" s="5" t="n">
        <f aca="false">'RAG tracker'!$E46</f>
        <v>0</v>
      </c>
      <c r="E99" s="5" t="s">
        <v>286</v>
      </c>
      <c r="F99" s="5" t="n">
        <v>13</v>
      </c>
      <c r="G99" s="20" t="s">
        <v>223</v>
      </c>
      <c r="H99" s="20" t="s">
        <v>224</v>
      </c>
      <c r="I99" s="20" t="s">
        <v>230</v>
      </c>
      <c r="J99" s="21"/>
      <c r="K99" s="21"/>
      <c r="L99" s="21"/>
    </row>
    <row r="100" customFormat="false" ht="15" hidden="false" customHeight="false" outlineLevel="0" collapsed="false">
      <c r="A100" s="5" t="s">
        <v>188</v>
      </c>
      <c r="B100" s="5" t="s">
        <v>189</v>
      </c>
      <c r="C100" s="5" t="s">
        <v>112</v>
      </c>
      <c r="D100" s="5" t="n">
        <f aca="false">'RAG tracker'!$E47</f>
        <v>0</v>
      </c>
      <c r="E100" s="5" t="s">
        <v>305</v>
      </c>
      <c r="F100" s="5" t="n">
        <v>13</v>
      </c>
      <c r="G100" s="20" t="s">
        <v>223</v>
      </c>
      <c r="H100" s="20" t="s">
        <v>224</v>
      </c>
      <c r="I100" s="20" t="s">
        <v>230</v>
      </c>
      <c r="J100" s="21"/>
      <c r="K100" s="21"/>
      <c r="L100" s="21"/>
    </row>
    <row r="101" customFormat="false" ht="15" hidden="false" customHeight="false" outlineLevel="0" collapsed="false">
      <c r="A101" s="5" t="s">
        <v>191</v>
      </c>
      <c r="B101" s="5" t="s">
        <v>192</v>
      </c>
      <c r="C101" s="5" t="s">
        <v>53</v>
      </c>
      <c r="D101" s="5" t="n">
        <f aca="false">'RAG tracker'!$E48</f>
        <v>0</v>
      </c>
      <c r="E101" s="5" t="s">
        <v>306</v>
      </c>
      <c r="F101" s="5" t="n">
        <v>13</v>
      </c>
      <c r="G101" s="20" t="s">
        <v>223</v>
      </c>
      <c r="H101" s="20" t="s">
        <v>224</v>
      </c>
      <c r="I101" s="20" t="s">
        <v>230</v>
      </c>
      <c r="J101" s="21"/>
      <c r="K101" s="21"/>
      <c r="L101" s="21"/>
    </row>
    <row r="102" customFormat="false" ht="15" hidden="false" customHeight="false" outlineLevel="0" collapsed="false">
      <c r="A102" s="5" t="s">
        <v>191</v>
      </c>
      <c r="B102" s="5" t="s">
        <v>192</v>
      </c>
      <c r="C102" s="5" t="s">
        <v>53</v>
      </c>
      <c r="D102" s="5" t="n">
        <f aca="false">'RAG tracker'!$E48</f>
        <v>0</v>
      </c>
      <c r="E102" s="5" t="s">
        <v>243</v>
      </c>
      <c r="F102" s="5" t="n">
        <v>13</v>
      </c>
      <c r="G102" s="20" t="s">
        <v>223</v>
      </c>
      <c r="H102" s="20" t="s">
        <v>224</v>
      </c>
      <c r="I102" s="20" t="s">
        <v>230</v>
      </c>
      <c r="J102" s="21"/>
      <c r="K102" s="21"/>
      <c r="L102" s="21"/>
    </row>
    <row r="103" customFormat="false" ht="15" hidden="false" customHeight="false" outlineLevel="0" collapsed="false">
      <c r="A103" s="5" t="s">
        <v>194</v>
      </c>
      <c r="B103" s="5" t="s">
        <v>195</v>
      </c>
      <c r="C103" s="5" t="s">
        <v>112</v>
      </c>
      <c r="D103" s="5" t="n">
        <f aca="false">'RAG tracker'!$E49</f>
        <v>0</v>
      </c>
      <c r="E103" s="5" t="s">
        <v>307</v>
      </c>
      <c r="F103" s="5" t="n">
        <v>13</v>
      </c>
      <c r="G103" s="20" t="s">
        <v>223</v>
      </c>
      <c r="H103" s="20" t="s">
        <v>224</v>
      </c>
      <c r="I103" s="20" t="s">
        <v>230</v>
      </c>
      <c r="J103" s="21"/>
      <c r="K103" s="21"/>
      <c r="L103" s="21"/>
    </row>
    <row r="104" customFormat="false" ht="15" hidden="false" customHeight="false" outlineLevel="0" collapsed="false">
      <c r="A104" s="5" t="s">
        <v>197</v>
      </c>
      <c r="B104" s="5" t="s">
        <v>198</v>
      </c>
      <c r="C104" s="5" t="s">
        <v>62</v>
      </c>
      <c r="D104" s="5" t="n">
        <f aca="false">'RAG tracker'!$E50</f>
        <v>0</v>
      </c>
      <c r="E104" s="5" t="s">
        <v>308</v>
      </c>
      <c r="F104" s="5" t="n">
        <v>13</v>
      </c>
      <c r="G104" s="20" t="s">
        <v>223</v>
      </c>
      <c r="H104" s="20" t="s">
        <v>224</v>
      </c>
      <c r="I104" s="20" t="s">
        <v>230</v>
      </c>
      <c r="J104" s="21"/>
      <c r="K104" s="21"/>
      <c r="L104" s="21"/>
    </row>
    <row r="105" customFormat="false" ht="15" hidden="false" customHeight="false" outlineLevel="0" collapsed="false">
      <c r="A105" s="5" t="s">
        <v>197</v>
      </c>
      <c r="B105" s="5" t="s">
        <v>198</v>
      </c>
      <c r="C105" s="5" t="s">
        <v>62</v>
      </c>
      <c r="D105" s="5" t="n">
        <f aca="false">'RAG tracker'!$E50</f>
        <v>0</v>
      </c>
      <c r="E105" s="5" t="s">
        <v>309</v>
      </c>
      <c r="F105" s="5" t="n">
        <v>13</v>
      </c>
      <c r="G105" s="20" t="s">
        <v>223</v>
      </c>
      <c r="H105" s="20" t="s">
        <v>224</v>
      </c>
      <c r="I105" s="20" t="s">
        <v>230</v>
      </c>
      <c r="J105" s="21"/>
      <c r="K105" s="21"/>
      <c r="L105" s="21"/>
    </row>
    <row r="106" customFormat="false" ht="15" hidden="false" customHeight="false" outlineLevel="0" collapsed="false">
      <c r="A106" s="5" t="s">
        <v>197</v>
      </c>
      <c r="B106" s="5" t="s">
        <v>198</v>
      </c>
      <c r="C106" s="5" t="s">
        <v>62</v>
      </c>
      <c r="D106" s="5" t="n">
        <f aca="false">'RAG tracker'!$E50</f>
        <v>0</v>
      </c>
      <c r="E106" s="5" t="s">
        <v>310</v>
      </c>
      <c r="F106" s="5" t="n">
        <v>13</v>
      </c>
      <c r="G106" s="20" t="s">
        <v>223</v>
      </c>
      <c r="H106" s="20" t="s">
        <v>224</v>
      </c>
      <c r="I106" s="20" t="s">
        <v>230</v>
      </c>
      <c r="J106" s="21"/>
      <c r="K106" s="21"/>
      <c r="L106" s="21"/>
    </row>
    <row r="107" customFormat="false" ht="15" hidden="false" customHeight="false" outlineLevel="0" collapsed="false">
      <c r="A107" s="5" t="s">
        <v>200</v>
      </c>
      <c r="B107" s="5" t="s">
        <v>201</v>
      </c>
      <c r="C107" s="5" t="s">
        <v>53</v>
      </c>
      <c r="D107" s="5" t="n">
        <f aca="false">'RAG tracker'!$E51</f>
        <v>0</v>
      </c>
      <c r="E107" s="5" t="s">
        <v>311</v>
      </c>
      <c r="F107" s="5" t="n">
        <v>13</v>
      </c>
      <c r="G107" s="20" t="s">
        <v>223</v>
      </c>
      <c r="H107" s="20" t="s">
        <v>224</v>
      </c>
      <c r="I107" s="20" t="s">
        <v>230</v>
      </c>
      <c r="J107" s="21"/>
      <c r="K107" s="21"/>
      <c r="L107" s="21"/>
    </row>
    <row r="108" customFormat="false" ht="15" hidden="false" customHeight="false" outlineLevel="0" collapsed="false">
      <c r="A108" s="5" t="s">
        <v>200</v>
      </c>
      <c r="B108" s="5" t="s">
        <v>201</v>
      </c>
      <c r="C108" s="5" t="s">
        <v>53</v>
      </c>
      <c r="D108" s="5" t="n">
        <f aca="false">'RAG tracker'!$E51</f>
        <v>0</v>
      </c>
      <c r="E108" s="5" t="s">
        <v>310</v>
      </c>
      <c r="F108" s="5" t="n">
        <v>13</v>
      </c>
      <c r="G108" s="20" t="s">
        <v>223</v>
      </c>
      <c r="H108" s="20" t="s">
        <v>224</v>
      </c>
      <c r="I108" s="20" t="s">
        <v>230</v>
      </c>
      <c r="J108" s="21"/>
      <c r="K108" s="21"/>
      <c r="L108" s="21"/>
    </row>
    <row r="109" customFormat="false" ht="15" hidden="false" customHeight="false" outlineLevel="0" collapsed="false">
      <c r="A109" s="5" t="s">
        <v>203</v>
      </c>
      <c r="B109" s="5" t="s">
        <v>204</v>
      </c>
      <c r="C109" s="5" t="s">
        <v>53</v>
      </c>
      <c r="D109" s="5" t="n">
        <f aca="false">'RAG tracker'!$E52</f>
        <v>0</v>
      </c>
      <c r="E109" s="5" t="s">
        <v>312</v>
      </c>
      <c r="F109" s="5" t="n">
        <v>13</v>
      </c>
      <c r="G109" s="20" t="s">
        <v>223</v>
      </c>
      <c r="H109" s="20" t="s">
        <v>224</v>
      </c>
      <c r="I109" s="20" t="s">
        <v>230</v>
      </c>
      <c r="J109" s="21"/>
      <c r="K109" s="21"/>
      <c r="L109" s="21"/>
    </row>
    <row r="110" customFormat="false" ht="15" hidden="false" customHeight="false" outlineLevel="0" collapsed="false">
      <c r="A110" s="5" t="s">
        <v>203</v>
      </c>
      <c r="B110" s="5" t="s">
        <v>204</v>
      </c>
      <c r="C110" s="5" t="s">
        <v>53</v>
      </c>
      <c r="D110" s="5" t="n">
        <f aca="false">'RAG tracker'!$E52</f>
        <v>0</v>
      </c>
      <c r="E110" s="5" t="s">
        <v>313</v>
      </c>
      <c r="F110" s="5" t="n">
        <v>13</v>
      </c>
      <c r="G110" s="20" t="s">
        <v>223</v>
      </c>
      <c r="H110" s="20" t="s">
        <v>224</v>
      </c>
      <c r="I110" s="20" t="s">
        <v>230</v>
      </c>
      <c r="J110" s="21"/>
      <c r="K110" s="21"/>
      <c r="L110" s="21"/>
    </row>
    <row r="111" customFormat="false" ht="15" hidden="false" customHeight="false" outlineLevel="0" collapsed="false">
      <c r="A111" s="5" t="s">
        <v>206</v>
      </c>
      <c r="B111" s="5" t="s">
        <v>207</v>
      </c>
      <c r="C111" s="5" t="s">
        <v>62</v>
      </c>
      <c r="D111" s="5" t="n">
        <f aca="false">'RAG tracker'!$E53</f>
        <v>0</v>
      </c>
      <c r="E111" s="5" t="s">
        <v>314</v>
      </c>
      <c r="F111" s="5" t="n">
        <v>13</v>
      </c>
      <c r="G111" s="20" t="s">
        <v>223</v>
      </c>
      <c r="H111" s="20" t="s">
        <v>224</v>
      </c>
      <c r="I111" s="20" t="s">
        <v>230</v>
      </c>
      <c r="J111" s="21"/>
      <c r="K111" s="21"/>
      <c r="L111" s="21"/>
    </row>
    <row r="112" customFormat="false" ht="15" hidden="false" customHeight="false" outlineLevel="0" collapsed="false">
      <c r="A112" s="5" t="s">
        <v>206</v>
      </c>
      <c r="B112" s="5" t="s">
        <v>207</v>
      </c>
      <c r="C112" s="5" t="s">
        <v>62</v>
      </c>
      <c r="D112" s="5" t="n">
        <f aca="false">'RAG tracker'!$E53</f>
        <v>0</v>
      </c>
      <c r="E112" s="5" t="s">
        <v>315</v>
      </c>
      <c r="F112" s="5" t="n">
        <v>13</v>
      </c>
      <c r="G112" s="20" t="s">
        <v>223</v>
      </c>
      <c r="H112" s="20" t="s">
        <v>224</v>
      </c>
      <c r="I112" s="20" t="s">
        <v>230</v>
      </c>
      <c r="J112" s="21"/>
      <c r="K112" s="21"/>
      <c r="L112" s="21"/>
    </row>
    <row r="113" customFormat="false" ht="15" hidden="false" customHeight="false" outlineLevel="0" collapsed="false">
      <c r="A113" s="5" t="s">
        <v>209</v>
      </c>
      <c r="B113" s="5" t="s">
        <v>210</v>
      </c>
      <c r="C113" s="5" t="s">
        <v>53</v>
      </c>
      <c r="D113" s="5" t="n">
        <f aca="false">'RAG tracker'!$E54</f>
        <v>0</v>
      </c>
      <c r="E113" s="5" t="s">
        <v>316</v>
      </c>
      <c r="F113" s="5" t="n">
        <v>13</v>
      </c>
      <c r="G113" s="20" t="s">
        <v>223</v>
      </c>
      <c r="H113" s="20" t="s">
        <v>224</v>
      </c>
      <c r="I113" s="20" t="s">
        <v>230</v>
      </c>
      <c r="J113" s="21"/>
      <c r="K113" s="21"/>
      <c r="L113" s="21"/>
    </row>
    <row r="114" customFormat="false" ht="15" hidden="false" customHeight="false" outlineLevel="0" collapsed="false">
      <c r="A114" s="5" t="s">
        <v>209</v>
      </c>
      <c r="B114" s="5" t="s">
        <v>210</v>
      </c>
      <c r="C114" s="5" t="s">
        <v>53</v>
      </c>
      <c r="D114" s="5" t="n">
        <f aca="false">'RAG tracker'!$E54</f>
        <v>0</v>
      </c>
      <c r="E114" s="5" t="s">
        <v>313</v>
      </c>
      <c r="F114" s="5" t="n">
        <v>13</v>
      </c>
      <c r="G114" s="20" t="s">
        <v>223</v>
      </c>
      <c r="H114" s="20" t="s">
        <v>224</v>
      </c>
      <c r="I114" s="20" t="s">
        <v>230</v>
      </c>
      <c r="J114" s="21"/>
      <c r="K114" s="21"/>
      <c r="L114" s="21"/>
    </row>
    <row r="115" customFormat="false" ht="15" hidden="false" customHeight="false" outlineLevel="0" collapsed="false">
      <c r="A115" s="5" t="s">
        <v>212</v>
      </c>
      <c r="B115" s="5" t="s">
        <v>213</v>
      </c>
      <c r="C115" s="5" t="s">
        <v>112</v>
      </c>
      <c r="D115" s="5" t="n">
        <f aca="false">'RAG tracker'!$E55</f>
        <v>0</v>
      </c>
      <c r="E115" s="5" t="s">
        <v>315</v>
      </c>
      <c r="F115" s="5" t="n">
        <v>13</v>
      </c>
      <c r="G115" s="20" t="s">
        <v>223</v>
      </c>
      <c r="H115" s="20" t="s">
        <v>224</v>
      </c>
      <c r="I115" s="20" t="s">
        <v>230</v>
      </c>
      <c r="J115" s="21"/>
      <c r="K115" s="21"/>
      <c r="L115" s="21"/>
    </row>
    <row r="116" customFormat="false" ht="15" hidden="false" customHeight="false" outlineLevel="0" collapsed="false">
      <c r="A116" s="5" t="s">
        <v>215</v>
      </c>
      <c r="B116" s="5" t="s">
        <v>216</v>
      </c>
      <c r="C116" s="5" t="s">
        <v>53</v>
      </c>
      <c r="D116" s="5" t="n">
        <f aca="false">'RAG tracker'!$E56</f>
        <v>0</v>
      </c>
      <c r="E116" s="5" t="s">
        <v>317</v>
      </c>
      <c r="F116" s="5" t="n">
        <v>13</v>
      </c>
      <c r="G116" s="20" t="s">
        <v>223</v>
      </c>
      <c r="H116" s="20" t="s">
        <v>224</v>
      </c>
      <c r="I116" s="20" t="s">
        <v>230</v>
      </c>
      <c r="J116" s="21"/>
      <c r="K116" s="21"/>
      <c r="L116" s="21"/>
    </row>
    <row r="117" customFormat="false" ht="15" hidden="false" customHeight="false" outlineLevel="0" collapsed="false">
      <c r="A117" s="5" t="s">
        <v>215</v>
      </c>
      <c r="B117" s="5" t="s">
        <v>216</v>
      </c>
      <c r="C117" s="5" t="s">
        <v>53</v>
      </c>
      <c r="D117" s="5" t="n">
        <f aca="false">'RAG tracker'!$E56</f>
        <v>0</v>
      </c>
      <c r="E117" s="5" t="s">
        <v>318</v>
      </c>
      <c r="F117" s="5" t="n">
        <v>13</v>
      </c>
      <c r="G117" s="20" t="s">
        <v>223</v>
      </c>
      <c r="H117" s="20" t="s">
        <v>224</v>
      </c>
      <c r="I117" s="20" t="s">
        <v>230</v>
      </c>
      <c r="J117" s="21"/>
      <c r="K117" s="21"/>
      <c r="L117" s="21"/>
    </row>
    <row r="118" customFormat="false" ht="15" hidden="false" customHeight="false" outlineLevel="0" collapsed="false">
      <c r="A118" s="5" t="s">
        <v>215</v>
      </c>
      <c r="B118" s="5" t="s">
        <v>216</v>
      </c>
      <c r="C118" s="5" t="s">
        <v>53</v>
      </c>
      <c r="D118" s="5" t="n">
        <f aca="false">'RAG tracker'!$E56</f>
        <v>0</v>
      </c>
      <c r="E118" s="5" t="s">
        <v>237</v>
      </c>
      <c r="F118" s="5" t="n">
        <v>13</v>
      </c>
      <c r="G118" s="20" t="s">
        <v>223</v>
      </c>
      <c r="H118" s="20" t="s">
        <v>224</v>
      </c>
      <c r="I118" s="20" t="s">
        <v>230</v>
      </c>
      <c r="J118" s="21"/>
      <c r="K118" s="21"/>
      <c r="L118" s="21"/>
    </row>
    <row r="119" customFormat="false" ht="15" hidden="false" customHeight="false" outlineLevel="0" collapsed="false">
      <c r="A119" s="5" t="s">
        <v>218</v>
      </c>
      <c r="B119" s="5" t="s">
        <v>219</v>
      </c>
      <c r="C119" s="5" t="s">
        <v>53</v>
      </c>
      <c r="D119" s="5" t="n">
        <f aca="false">'RAG tracker'!$E57</f>
        <v>0</v>
      </c>
      <c r="E119" s="5" t="s">
        <v>319</v>
      </c>
      <c r="F119" s="5" t="n">
        <v>13</v>
      </c>
      <c r="G119" s="20" t="s">
        <v>223</v>
      </c>
      <c r="H119" s="20" t="s">
        <v>224</v>
      </c>
      <c r="I119" s="20" t="s">
        <v>230</v>
      </c>
      <c r="J119" s="21"/>
      <c r="K119" s="21"/>
      <c r="L119" s="21"/>
    </row>
    <row r="120" customFormat="false" ht="15" hidden="false" customHeight="false" outlineLevel="0" collapsed="false">
      <c r="A120" s="5" t="s">
        <v>218</v>
      </c>
      <c r="B120" s="5" t="s">
        <v>219</v>
      </c>
      <c r="C120" s="5" t="s">
        <v>53</v>
      </c>
      <c r="D120" s="5" t="n">
        <f aca="false">'RAG tracker'!$E57</f>
        <v>0</v>
      </c>
      <c r="E120" s="5" t="s">
        <v>320</v>
      </c>
      <c r="F120" s="5" t="n">
        <v>13</v>
      </c>
      <c r="G120" s="20" t="s">
        <v>223</v>
      </c>
      <c r="H120" s="20" t="s">
        <v>224</v>
      </c>
      <c r="I120" s="20" t="s">
        <v>230</v>
      </c>
      <c r="J120" s="21"/>
      <c r="K120" s="21"/>
      <c r="L120" s="21"/>
    </row>
  </sheetData>
  <conditionalFormatting sqref="D2:D120">
    <cfRule type="cellIs" priority="2" operator="equal" aboveAverage="0" equalAverage="0" bottom="0" percent="0" rank="0" text="" dxfId="0">
      <formula>"R"</formula>
    </cfRule>
    <cfRule type="cellIs" priority="3" operator="equal" aboveAverage="0" equalAverage="0" bottom="0" percent="0" rank="0" text="" dxfId="1">
      <formula>"A"</formula>
    </cfRule>
    <cfRule type="cellIs" priority="4" operator="equal" aboveAverage="0" equalAverage="0" bottom="0" percent="0" rank="0" text="" dxfId="2">
      <formula>"G"</formula>
    </cfRule>
  </conditionalFormatting>
  <hyperlinks>
    <hyperlink ref="G2" r:id="rId1" display="QP"/>
    <hyperlink ref="H2" r:id="rId2" display="MS"/>
    <hyperlink ref="I2" r:id="rId3" display="Ans"/>
    <hyperlink ref="G3" r:id="rId4" display="QP"/>
    <hyperlink ref="H3" r:id="rId5" display="MS"/>
    <hyperlink ref="I3" r:id="rId6" display="Ans"/>
    <hyperlink ref="G4" r:id="rId7" display="QP"/>
    <hyperlink ref="H4" r:id="rId8" display="MS"/>
    <hyperlink ref="I4" r:id="rId9" display="Ans"/>
    <hyperlink ref="G5" r:id="rId10" display="QP"/>
    <hyperlink ref="H5" r:id="rId11" display="MS"/>
    <hyperlink ref="I5" r:id="rId12" display="Ans"/>
    <hyperlink ref="G6" r:id="rId13" display="QP"/>
    <hyperlink ref="H6" r:id="rId14" display="MS"/>
    <hyperlink ref="I6" r:id="rId15" display="Ans"/>
    <hyperlink ref="G7" r:id="rId16" display="QP"/>
    <hyperlink ref="H7" r:id="rId17" display="MS"/>
    <hyperlink ref="I7" r:id="rId18" display="Ans"/>
    <hyperlink ref="G8" r:id="rId19" display="QP"/>
    <hyperlink ref="H8" r:id="rId20" display="MS"/>
    <hyperlink ref="I8" r:id="rId21" display="Ans"/>
    <hyperlink ref="G9" r:id="rId22" display="QP"/>
    <hyperlink ref="H9" r:id="rId23" display="MS"/>
    <hyperlink ref="I9" r:id="rId24" display="Ans"/>
    <hyperlink ref="G10" r:id="rId25" display="QP"/>
    <hyperlink ref="H10" r:id="rId26" display="MS"/>
    <hyperlink ref="I10" r:id="rId27" display="Ans"/>
    <hyperlink ref="G11" r:id="rId28" display="QP"/>
    <hyperlink ref="H11" r:id="rId29" display="MS"/>
    <hyperlink ref="I11" r:id="rId30" display="Ans"/>
    <hyperlink ref="G12" r:id="rId31" display="QP"/>
    <hyperlink ref="H12" r:id="rId32" display="MS"/>
    <hyperlink ref="I12" r:id="rId33" display="Ans"/>
    <hyperlink ref="G13" r:id="rId34" display="QP"/>
    <hyperlink ref="H13" r:id="rId35" display="MS"/>
    <hyperlink ref="I13" r:id="rId36" display="Ans"/>
    <hyperlink ref="G14" r:id="rId37" display="QP"/>
    <hyperlink ref="H14" r:id="rId38" display="MS"/>
    <hyperlink ref="I14" r:id="rId39" display="Ans"/>
    <hyperlink ref="G15" r:id="rId40" display="QP"/>
    <hyperlink ref="H15" r:id="rId41" display="MS"/>
    <hyperlink ref="I15" r:id="rId42" display="Ans"/>
    <hyperlink ref="G16" r:id="rId43" display="QP"/>
    <hyperlink ref="H16" r:id="rId44" display="MS"/>
    <hyperlink ref="I16" r:id="rId45" display="Ans"/>
    <hyperlink ref="G17" r:id="rId46" display="QP"/>
    <hyperlink ref="H17" r:id="rId47" display="MS"/>
    <hyperlink ref="I17" r:id="rId48" display="Ans"/>
    <hyperlink ref="G18" r:id="rId49" display="QP"/>
    <hyperlink ref="H18" r:id="rId50" display="MS"/>
    <hyperlink ref="I18" r:id="rId51" display="Ans"/>
    <hyperlink ref="G19" r:id="rId52" display="QP"/>
    <hyperlink ref="H19" r:id="rId53" display="MS"/>
    <hyperlink ref="I19" r:id="rId54" display="Ans"/>
    <hyperlink ref="G20" r:id="rId55" display="QP"/>
    <hyperlink ref="H20" r:id="rId56" display="MS"/>
    <hyperlink ref="I20" r:id="rId57" display="Ans"/>
    <hyperlink ref="G21" r:id="rId58" display="QP"/>
    <hyperlink ref="H21" r:id="rId59" display="MS"/>
    <hyperlink ref="I21" r:id="rId60" display="Ans"/>
    <hyperlink ref="G22" r:id="rId61" display="QP"/>
    <hyperlink ref="H22" r:id="rId62" display="MS"/>
    <hyperlink ref="I22" r:id="rId63" display="Ans"/>
    <hyperlink ref="G23" r:id="rId64" display="QP"/>
    <hyperlink ref="H23" r:id="rId65" display="MS"/>
    <hyperlink ref="I23" r:id="rId66" display="Ans"/>
    <hyperlink ref="G24" r:id="rId67" display="QP"/>
    <hyperlink ref="H24" r:id="rId68" display="MS"/>
    <hyperlink ref="I24" r:id="rId69" display="Ans"/>
    <hyperlink ref="G25" r:id="rId70" display="QP"/>
    <hyperlink ref="H25" r:id="rId71" display="MS"/>
    <hyperlink ref="I25" r:id="rId72" display="Ans"/>
    <hyperlink ref="G26" r:id="rId73" display="QP"/>
    <hyperlink ref="H26" r:id="rId74" display="MS"/>
    <hyperlink ref="I26" r:id="rId75" display="Ans"/>
    <hyperlink ref="G27" r:id="rId76" display="QP"/>
    <hyperlink ref="H27" r:id="rId77" display="MS"/>
    <hyperlink ref="I27" r:id="rId78" display="Ans"/>
    <hyperlink ref="G29" r:id="rId79" display="QP"/>
    <hyperlink ref="H29" r:id="rId80" display="MS"/>
    <hyperlink ref="I29" r:id="rId81" display="Ans"/>
    <hyperlink ref="G30" r:id="rId82" display="QP"/>
    <hyperlink ref="H30" r:id="rId83" display="MS"/>
    <hyperlink ref="I30" r:id="rId84" display="Ans"/>
    <hyperlink ref="G31" r:id="rId85" display="QP"/>
    <hyperlink ref="H31" r:id="rId86" display="MS"/>
    <hyperlink ref="I31" r:id="rId87" display="Ans"/>
    <hyperlink ref="G32" r:id="rId88" display="QP"/>
    <hyperlink ref="H32" r:id="rId89" display="MS"/>
    <hyperlink ref="I32" r:id="rId90" display="Ans"/>
    <hyperlink ref="G33" r:id="rId91" display="QP"/>
    <hyperlink ref="H33" r:id="rId92" display="MS"/>
    <hyperlink ref="I33" r:id="rId93" display="Ans"/>
    <hyperlink ref="G34" r:id="rId94" display="QP"/>
    <hyperlink ref="H34" r:id="rId95" display="MS"/>
    <hyperlink ref="I34" r:id="rId96" display="Ans"/>
    <hyperlink ref="G35" r:id="rId97" display="QP"/>
    <hyperlink ref="H35" r:id="rId98" display="MS"/>
    <hyperlink ref="I35" r:id="rId99" display="Ans"/>
    <hyperlink ref="G36" r:id="rId100" display="QP"/>
    <hyperlink ref="H36" r:id="rId101" display="MS"/>
    <hyperlink ref="I36" r:id="rId102" display="Ans"/>
    <hyperlink ref="G37" r:id="rId103" display="QP"/>
    <hyperlink ref="H37" r:id="rId104" display="MS"/>
    <hyperlink ref="I37" r:id="rId105" display="Ans"/>
    <hyperlink ref="G38" r:id="rId106" display="QP"/>
    <hyperlink ref="H38" r:id="rId107" display="MS"/>
    <hyperlink ref="I38" r:id="rId108" display="Ans"/>
    <hyperlink ref="G39" r:id="rId109" display="QP"/>
    <hyperlink ref="H39" r:id="rId110" display="MS"/>
    <hyperlink ref="I39" r:id="rId111" display="Ans"/>
    <hyperlink ref="G40" r:id="rId112" display="QP"/>
    <hyperlink ref="H40" r:id="rId113" display="MS"/>
    <hyperlink ref="I40" r:id="rId114" display="Ans"/>
    <hyperlink ref="G41" r:id="rId115" display="QP"/>
    <hyperlink ref="H41" r:id="rId116" display="MS"/>
    <hyperlink ref="I41" r:id="rId117" display="Ans"/>
    <hyperlink ref="G42" r:id="rId118" display="QP"/>
    <hyperlink ref="H42" r:id="rId119" display="MS"/>
    <hyperlink ref="I42" r:id="rId120" display="Ans"/>
    <hyperlink ref="G43" r:id="rId121" display="QP"/>
    <hyperlink ref="H43" r:id="rId122" display="MS"/>
    <hyperlink ref="I43" r:id="rId123" display="Ans"/>
    <hyperlink ref="G44" r:id="rId124" display="QP"/>
    <hyperlink ref="H44" r:id="rId125" display="MS"/>
    <hyperlink ref="I44" r:id="rId126" display="Ans"/>
    <hyperlink ref="G45" r:id="rId127" display="QP"/>
    <hyperlink ref="H45" r:id="rId128" display="MS"/>
    <hyperlink ref="I45" r:id="rId129" display="Ans"/>
    <hyperlink ref="G46" r:id="rId130" display="QP"/>
    <hyperlink ref="H46" r:id="rId131" display="MS"/>
    <hyperlink ref="I46" r:id="rId132" display="Ans"/>
    <hyperlink ref="G47" r:id="rId133" display="QP"/>
    <hyperlink ref="H47" r:id="rId134" display="MS"/>
    <hyperlink ref="I47" r:id="rId135" display="Ans"/>
    <hyperlink ref="G48" r:id="rId136" display="QP"/>
    <hyperlink ref="H48" r:id="rId137" display="MS"/>
    <hyperlink ref="I48" r:id="rId138" display="Ans"/>
    <hyperlink ref="G49" r:id="rId139" display="QP"/>
    <hyperlink ref="H49" r:id="rId140" display="MS"/>
    <hyperlink ref="I49" r:id="rId141" display="Ans"/>
    <hyperlink ref="G50" r:id="rId142" display="QP"/>
    <hyperlink ref="H50" r:id="rId143" display="MS"/>
    <hyperlink ref="I50" r:id="rId144" display="Ans"/>
    <hyperlink ref="G51" r:id="rId145" display="QP"/>
    <hyperlink ref="H51" r:id="rId146" display="MS"/>
    <hyperlink ref="I51" r:id="rId147" display="Ans"/>
    <hyperlink ref="G52" r:id="rId148" display="QP"/>
    <hyperlink ref="H52" r:id="rId149" display="MS"/>
    <hyperlink ref="I52" r:id="rId150" display="Ans"/>
    <hyperlink ref="G53" r:id="rId151" display="QP"/>
    <hyperlink ref="H53" r:id="rId152" display="MS"/>
    <hyperlink ref="I53" r:id="rId153" display="Ans"/>
    <hyperlink ref="G54" r:id="rId154" display="QP"/>
    <hyperlink ref="H54" r:id="rId155" display="MS"/>
    <hyperlink ref="I54" r:id="rId156" display="Ans"/>
    <hyperlink ref="G55" r:id="rId157" display="QP"/>
    <hyperlink ref="H55" r:id="rId158" display="MS"/>
    <hyperlink ref="I55" r:id="rId159" display="Ans"/>
    <hyperlink ref="G56" r:id="rId160" display="QP"/>
    <hyperlink ref="H56" r:id="rId161" display="MS"/>
    <hyperlink ref="I56" r:id="rId162" display="Ans"/>
    <hyperlink ref="G57" r:id="rId163" display="QP"/>
    <hyperlink ref="H57" r:id="rId164" display="MS"/>
    <hyperlink ref="I57" r:id="rId165" display="Ans"/>
    <hyperlink ref="G58" r:id="rId166" display="QP"/>
    <hyperlink ref="H58" r:id="rId167" display="MS"/>
    <hyperlink ref="I58" r:id="rId168" display="Ans"/>
    <hyperlink ref="G59" r:id="rId169" display="QP"/>
    <hyperlink ref="H59" r:id="rId170" display="MS"/>
    <hyperlink ref="I59" r:id="rId171" display="Ans"/>
    <hyperlink ref="G60" r:id="rId172" display="QP"/>
    <hyperlink ref="H60" r:id="rId173" display="MS"/>
    <hyperlink ref="I60" r:id="rId174" display="Ans"/>
    <hyperlink ref="G61" r:id="rId175" display="QP"/>
    <hyperlink ref="H61" r:id="rId176" display="MS"/>
    <hyperlink ref="I61" r:id="rId177" display="Ans"/>
    <hyperlink ref="G62" r:id="rId178" display="QP"/>
    <hyperlink ref="H62" r:id="rId179" display="MS"/>
    <hyperlink ref="I62" r:id="rId180" display="Ans"/>
    <hyperlink ref="G63" r:id="rId181" display="QP"/>
    <hyperlink ref="H63" r:id="rId182" display="MS"/>
    <hyperlink ref="I63" r:id="rId183" display="Ans"/>
    <hyperlink ref="G64" r:id="rId184" display="QP"/>
    <hyperlink ref="H64" r:id="rId185" display="MS"/>
    <hyperlink ref="I64" r:id="rId186" display="Ans"/>
    <hyperlink ref="G65" r:id="rId187" display="QP"/>
    <hyperlink ref="H65" r:id="rId188" display="MS"/>
    <hyperlink ref="I65" r:id="rId189" display="Ans"/>
    <hyperlink ref="G66" r:id="rId190" display="QP"/>
    <hyperlink ref="H66" r:id="rId191" display="MS"/>
    <hyperlink ref="I66" r:id="rId192" display="Ans"/>
    <hyperlink ref="G67" r:id="rId193" display="QP"/>
    <hyperlink ref="H67" r:id="rId194" display="MS"/>
    <hyperlink ref="I67" r:id="rId195" display="Ans"/>
    <hyperlink ref="G68" r:id="rId196" display="QP"/>
    <hyperlink ref="H68" r:id="rId197" display="MS"/>
    <hyperlink ref="I68" r:id="rId198" display="Ans"/>
    <hyperlink ref="G70" r:id="rId199" display="QP"/>
    <hyperlink ref="H70" r:id="rId200" display="MS"/>
    <hyperlink ref="I70" r:id="rId201" display="Ans"/>
    <hyperlink ref="G71" r:id="rId202" display="QP"/>
    <hyperlink ref="H71" r:id="rId203" display="MS"/>
    <hyperlink ref="I71" r:id="rId204" display="Ans"/>
    <hyperlink ref="G72" r:id="rId205" display="QP"/>
    <hyperlink ref="H72" r:id="rId206" display="MS"/>
    <hyperlink ref="I72" r:id="rId207" display="Ans"/>
    <hyperlink ref="G73" r:id="rId208" display="QP"/>
    <hyperlink ref="H73" r:id="rId209" display="MS"/>
    <hyperlink ref="I73" r:id="rId210" display="Ans"/>
    <hyperlink ref="G74" r:id="rId211" display="QP"/>
    <hyperlink ref="H74" r:id="rId212" display="MS"/>
    <hyperlink ref="I74" r:id="rId213" display="Ans"/>
    <hyperlink ref="G75" r:id="rId214" display="QP"/>
    <hyperlink ref="H75" r:id="rId215" display="MS"/>
    <hyperlink ref="I75" r:id="rId216" display="Ans"/>
    <hyperlink ref="G76" r:id="rId217" display="QP"/>
    <hyperlink ref="H76" r:id="rId218" display="MS"/>
    <hyperlink ref="I76" r:id="rId219" display="Ans"/>
    <hyperlink ref="G77" r:id="rId220" display="QP"/>
    <hyperlink ref="H77" r:id="rId221" display="MS"/>
    <hyperlink ref="I77" r:id="rId222" display="Ans"/>
    <hyperlink ref="G78" r:id="rId223" display="QP"/>
    <hyperlink ref="H78" r:id="rId224" display="MS"/>
    <hyperlink ref="I78" r:id="rId225" display="Ans"/>
    <hyperlink ref="G79" r:id="rId226" display="QP"/>
    <hyperlink ref="H79" r:id="rId227" display="MS"/>
    <hyperlink ref="I79" r:id="rId228" display="Ans"/>
    <hyperlink ref="G80" r:id="rId229" display="QP"/>
    <hyperlink ref="H80" r:id="rId230" display="MS"/>
    <hyperlink ref="I80" r:id="rId231" display="Ans"/>
    <hyperlink ref="G81" r:id="rId232" display="QP"/>
    <hyperlink ref="H81" r:id="rId233" display="MS"/>
    <hyperlink ref="I81" r:id="rId234" display="Ans"/>
    <hyperlink ref="G82" r:id="rId235" display="QP"/>
    <hyperlink ref="H82" r:id="rId236" display="MS"/>
    <hyperlink ref="I82" r:id="rId237" display="Ans"/>
    <hyperlink ref="G83" r:id="rId238" display="QP"/>
    <hyperlink ref="H83" r:id="rId239" display="MS"/>
    <hyperlink ref="I83" r:id="rId240" display="Ans"/>
    <hyperlink ref="G84" r:id="rId241" display="QP"/>
    <hyperlink ref="H84" r:id="rId242" display="MS"/>
    <hyperlink ref="I84" r:id="rId243" display="Ans"/>
    <hyperlink ref="G85" r:id="rId244" display="QP"/>
    <hyperlink ref="H85" r:id="rId245" display="MS"/>
    <hyperlink ref="I85" r:id="rId246" display="Ans"/>
    <hyperlink ref="G86" r:id="rId247" display="QP"/>
    <hyperlink ref="H86" r:id="rId248" display="MS"/>
    <hyperlink ref="I86" r:id="rId249" display="Ans"/>
    <hyperlink ref="G87" r:id="rId250" display="QP"/>
    <hyperlink ref="H87" r:id="rId251" display="MS"/>
    <hyperlink ref="I87" r:id="rId252" display="Ans"/>
    <hyperlink ref="G88" r:id="rId253" display="QP"/>
    <hyperlink ref="H88" r:id="rId254" display="MS"/>
    <hyperlink ref="I88" r:id="rId255" display="Ans"/>
    <hyperlink ref="G89" r:id="rId256" display="QP"/>
    <hyperlink ref="H89" r:id="rId257" display="MS"/>
    <hyperlink ref="I89" r:id="rId258" display="Ans"/>
    <hyperlink ref="G90" r:id="rId259" display="QP"/>
    <hyperlink ref="H90" r:id="rId260" display="MS"/>
    <hyperlink ref="I90" r:id="rId261" display="Ans"/>
    <hyperlink ref="G91" r:id="rId262" display="QP"/>
    <hyperlink ref="H91" r:id="rId263" display="MS"/>
    <hyperlink ref="I91" r:id="rId264" display="Ans"/>
    <hyperlink ref="G92" r:id="rId265" display="QP"/>
    <hyperlink ref="H92" r:id="rId266" display="MS"/>
    <hyperlink ref="I92" r:id="rId267" display="Ans"/>
    <hyperlink ref="G93" r:id="rId268" display="QP"/>
    <hyperlink ref="H93" r:id="rId269" display="MS"/>
    <hyperlink ref="I93" r:id="rId270" display="Ans"/>
    <hyperlink ref="G94" r:id="rId271" display="QP"/>
    <hyperlink ref="H94" r:id="rId272" display="MS"/>
    <hyperlink ref="I94" r:id="rId273" display="Ans"/>
    <hyperlink ref="G95" r:id="rId274" display="QP"/>
    <hyperlink ref="H95" r:id="rId275" display="MS"/>
    <hyperlink ref="I95" r:id="rId276" display="Ans"/>
    <hyperlink ref="G96" r:id="rId277" display="QP"/>
    <hyperlink ref="H96" r:id="rId278" display="MS"/>
    <hyperlink ref="I96" r:id="rId279" display="Ans"/>
    <hyperlink ref="G97" r:id="rId280" display="QP"/>
    <hyperlink ref="H97" r:id="rId281" display="MS"/>
    <hyperlink ref="I97" r:id="rId282" display="Ans"/>
    <hyperlink ref="G98" r:id="rId283" display="QP"/>
    <hyperlink ref="H98" r:id="rId284" display="MS"/>
    <hyperlink ref="I98" r:id="rId285" display="Ans"/>
    <hyperlink ref="G99" r:id="rId286" display="QP"/>
    <hyperlink ref="H99" r:id="rId287" display="MS"/>
    <hyperlink ref="I99" r:id="rId288" display="Ans"/>
    <hyperlink ref="G100" r:id="rId289" display="QP"/>
    <hyperlink ref="H100" r:id="rId290" display="MS"/>
    <hyperlink ref="I100" r:id="rId291" display="Ans"/>
    <hyperlink ref="G101" r:id="rId292" display="QP"/>
    <hyperlink ref="H101" r:id="rId293" display="MS"/>
    <hyperlink ref="I101" r:id="rId294" display="Ans"/>
    <hyperlink ref="G102" r:id="rId295" display="QP"/>
    <hyperlink ref="H102" r:id="rId296" display="MS"/>
    <hyperlink ref="I102" r:id="rId297" display="Ans"/>
    <hyperlink ref="G103" r:id="rId298" display="QP"/>
    <hyperlink ref="H103" r:id="rId299" display="MS"/>
    <hyperlink ref="I103" r:id="rId300" display="Ans"/>
    <hyperlink ref="G104" r:id="rId301" display="QP"/>
    <hyperlink ref="H104" r:id="rId302" display="MS"/>
    <hyperlink ref="I104" r:id="rId303" display="Ans"/>
    <hyperlink ref="G105" r:id="rId304" display="QP"/>
    <hyperlink ref="H105" r:id="rId305" display="MS"/>
    <hyperlink ref="I105" r:id="rId306" display="Ans"/>
    <hyperlink ref="G106" r:id="rId307" display="QP"/>
    <hyperlink ref="H106" r:id="rId308" display="MS"/>
    <hyperlink ref="I106" r:id="rId309" display="Ans"/>
    <hyperlink ref="G107" r:id="rId310" display="QP"/>
    <hyperlink ref="H107" r:id="rId311" display="MS"/>
    <hyperlink ref="I107" r:id="rId312" display="Ans"/>
    <hyperlink ref="G108" r:id="rId313" display="QP"/>
    <hyperlink ref="H108" r:id="rId314" display="MS"/>
    <hyperlink ref="I108" r:id="rId315" display="Ans"/>
    <hyperlink ref="G109" r:id="rId316" display="QP"/>
    <hyperlink ref="H109" r:id="rId317" display="MS"/>
    <hyperlink ref="I109" r:id="rId318" display="Ans"/>
    <hyperlink ref="G110" r:id="rId319" display="QP"/>
    <hyperlink ref="H110" r:id="rId320" display="MS"/>
    <hyperlink ref="I110" r:id="rId321" display="Ans"/>
    <hyperlink ref="G111" r:id="rId322" display="QP"/>
    <hyperlink ref="H111" r:id="rId323" display="MS"/>
    <hyperlink ref="I111" r:id="rId324" display="Ans"/>
    <hyperlink ref="G112" r:id="rId325" display="QP"/>
    <hyperlink ref="H112" r:id="rId326" display="MS"/>
    <hyperlink ref="I112" r:id="rId327" display="Ans"/>
    <hyperlink ref="G113" r:id="rId328" display="QP"/>
    <hyperlink ref="H113" r:id="rId329" display="MS"/>
    <hyperlink ref="I113" r:id="rId330" display="Ans"/>
    <hyperlink ref="G114" r:id="rId331" display="QP"/>
    <hyperlink ref="H114" r:id="rId332" display="MS"/>
    <hyperlink ref="I114" r:id="rId333" display="Ans"/>
    <hyperlink ref="G115" r:id="rId334" display="QP"/>
    <hyperlink ref="H115" r:id="rId335" display="MS"/>
    <hyperlink ref="I115" r:id="rId336" display="Ans"/>
    <hyperlink ref="G116" r:id="rId337" display="QP"/>
    <hyperlink ref="H116" r:id="rId338" display="MS"/>
    <hyperlink ref="I116" r:id="rId339" display="Ans"/>
    <hyperlink ref="G117" r:id="rId340" display="QP"/>
    <hyperlink ref="H117" r:id="rId341" display="MS"/>
    <hyperlink ref="I117" r:id="rId342" display="Ans"/>
    <hyperlink ref="G118" r:id="rId343" display="QP"/>
    <hyperlink ref="H118" r:id="rId344" display="MS"/>
    <hyperlink ref="I118" r:id="rId345" display="Ans"/>
    <hyperlink ref="G119" r:id="rId346" display="QP"/>
    <hyperlink ref="H119" r:id="rId347" display="MS"/>
    <hyperlink ref="I119" r:id="rId348" display="Ans"/>
    <hyperlink ref="G120" r:id="rId349" display="QP"/>
    <hyperlink ref="H120" r:id="rId350" display="MS"/>
    <hyperlink ref="I120" r:id="rId351" display="A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2026-09-21T13:23:41Z</dcterms:created>
  <dc:creator>openpyxl</dc:creator>
  <dc:description/>
  <dc:language>en-US</dc:language>
  <cp:lastModifiedBy/>
  <dcterms:modified xsi:type="dcterms:W3CDTF">2026-09-21T13:23:41Z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